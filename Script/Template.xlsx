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cripts\"/>
    </mc:Choice>
  </mc:AlternateContent>
  <xr:revisionPtr revIDLastSave="0" documentId="13_ncr:1_{0650C582-1D68-41BD-93B3-363250BF1E14}" xr6:coauthVersionLast="47" xr6:coauthVersionMax="47" xr10:uidLastSave="{00000000-0000-0000-0000-000000000000}"/>
  <bookViews>
    <workbookView xWindow="28680" yWindow="-120" windowWidth="29040" windowHeight="15720" tabRatio="954" firstSheet="1" activeTab="1" xr2:uid="{00000000-000D-0000-FFFF-FFFF00000000}"/>
  </bookViews>
  <sheets>
    <sheet name="SourceData" sheetId="1" state="hidden" r:id="rId1"/>
    <sheet name="Extraction Record" sheetId="22" r:id="rId2"/>
    <sheet name="Initial QC" sheetId="3" r:id="rId3"/>
    <sheet name="LP-16s" sheetId="4" r:id="rId4"/>
    <sheet name="LP-10X" sheetId="5" r:id="rId5"/>
    <sheet name="LP-ATAC" sheetId="21" r:id="rId6"/>
    <sheet name="LP-RNA" sheetId="6" r:id="rId7"/>
    <sheet name="LP-smRNA" sheetId="7" r:id="rId8"/>
    <sheet name="LP-WGS" sheetId="9" r:id="rId9"/>
    <sheet name="LP-WES" sheetId="8" r:id="rId10"/>
    <sheet name="LP-HiC" sheetId="20" r:id="rId11"/>
    <sheet name="LP-WGBS" sheetId="10" r:id="rId12"/>
    <sheet name="LP-Nextera" sheetId="11" r:id="rId13"/>
    <sheet name="LP-ddRAD" sheetId="12" r:id="rId14"/>
    <sheet name="Barcodes" sheetId="23" r:id="rId15"/>
    <sheet name="Barcode Seq" sheetId="24" r:id="rId16"/>
    <sheet name="10X indexplate" sheetId="19" state="hidden" r:id="rId17"/>
    <sheet name="Final QC" sheetId="15" r:id="rId18"/>
    <sheet name="Initial QC Report" sheetId="16" r:id="rId19"/>
    <sheet name="FL QC Report" sheetId="17" r:id="rId20"/>
    <sheet name="Sheet2" sheetId="25" r:id="rId21"/>
    <sheet name="Sheet1" sheetId="18" r:id="rId22"/>
  </sheets>
  <definedNames>
    <definedName name="_xlnm._FilterDatabase" localSheetId="16" hidden="1">'10X indexplate'!$K$1:$O$384</definedName>
    <definedName name="_xlnm._FilterDatabase" localSheetId="17" hidden="1">'Final QC'!$A$4:$AA$4</definedName>
    <definedName name="Transfer">SourceData!$A$2:$A$4</definedName>
    <definedName name="Z_06B20B6D_586D_417B_B2C7_DD3AD1D95C74_.wvu.Cols" localSheetId="13" hidden="1">'LP-ddRAD'!$F:$G,'LP-ddRAD'!$I:$J</definedName>
    <definedName name="Z_2BC1E808_931A_46A2_B977_4D9F78EDA44A_.wvu.Cols" localSheetId="13" hidden="1">'LP-ddRAD'!$F:$G,'LP-ddRAD'!$I:$J</definedName>
    <definedName name="Z_A4BD9991_0908_4EDC_898A_8A5DE615ED00_.wvu.Cols" localSheetId="13" hidden="1">'LP-ddRAD'!$F:$G,'LP-ddRAD'!$I:$J</definedName>
    <definedName name="Z_A4BD9991_0908_4EDC_898A_8A5DE615ED00_.wvu.FilterData" localSheetId="17" hidden="1">'Final QC'!$A$4:$AA$4</definedName>
    <definedName name="Z_A4BD9991_0908_4EDC_898A_8A5DE615ED00_.wvu.Rows" localSheetId="2" hidden="1">'Initial QC'!$3:$3</definedName>
    <definedName name="Z_B9D1245A_6F65_411F_ACAD_79E12E0ECF81_.wvu.Cols" localSheetId="13" hidden="1">'LP-ddRAD'!$F:$G,'LP-ddRAD'!$I:$J</definedName>
    <definedName name="Z_D3CFAFA8_482F_48C6_BE6D_5FA776530F31_.wvu.Cols" localSheetId="13" hidden="1">'LP-ddRAD'!$F:$G,'LP-ddRAD'!$I:$J</definedName>
    <definedName name="Z_EC0E793E_8367_4E35_8093_20D9C43DBD5E_.wvu.Cols" localSheetId="13" hidden="1">'LP-ddRAD'!$F:$G,'LP-ddRAD'!$I:$J</definedName>
  </definedNames>
  <calcPr calcId="191029"/>
  <customWorkbookViews>
    <customWorkbookView name="Grace Box - Personal View" guid="{A4BD9991-0908-4EDC-898A-8A5DE615ED00}" mergeInterval="0" personalView="1" maximized="1" xWindow="1912" yWindow="-82" windowWidth="1936" windowHeight="1096" tabRatio="904" activeSheetId="2" showComments="commIndAndComment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" i="5" l="1"/>
  <c r="K51" i="22"/>
  <c r="K50" i="22"/>
  <c r="K49" i="22"/>
  <c r="K48" i="22"/>
  <c r="K47" i="22"/>
  <c r="K46" i="22"/>
  <c r="K45" i="22"/>
  <c r="K44" i="22"/>
  <c r="O5" i="5" l="1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AB6" i="12" l="1"/>
  <c r="AG6" i="12"/>
  <c r="AY6" i="12"/>
  <c r="BG6" i="12"/>
  <c r="AG7" i="12"/>
  <c r="BG7" i="12"/>
  <c r="AG8" i="12"/>
  <c r="BG8" i="12"/>
  <c r="AG9" i="12"/>
  <c r="BG9" i="12"/>
  <c r="AG10" i="12"/>
  <c r="BG10" i="12"/>
  <c r="AG11" i="12"/>
  <c r="BG11" i="12"/>
  <c r="BG12" i="12"/>
  <c r="BG13" i="12"/>
  <c r="BG14" i="12"/>
  <c r="BG15" i="12"/>
  <c r="BG16" i="12"/>
  <c r="BG17" i="12"/>
  <c r="AB30" i="12"/>
  <c r="AY30" i="12"/>
  <c r="AB54" i="12"/>
  <c r="AY54" i="12"/>
  <c r="AB78" i="12"/>
  <c r="AY78" i="12"/>
  <c r="AB102" i="12"/>
  <c r="AY102" i="12"/>
  <c r="AB126" i="12"/>
  <c r="AY126" i="12"/>
  <c r="AB150" i="12"/>
  <c r="AY150" i="12"/>
  <c r="AB174" i="12"/>
  <c r="AY174" i="12"/>
  <c r="AB198" i="12"/>
  <c r="AY198" i="12"/>
  <c r="AB222" i="12"/>
  <c r="AY222" i="12"/>
  <c r="AB246" i="12"/>
  <c r="AY246" i="12"/>
  <c r="AB270" i="12"/>
  <c r="AY270" i="12"/>
  <c r="Y196" i="15" l="1"/>
  <c r="R196" i="15"/>
  <c r="D196" i="15"/>
  <c r="Y195" i="15"/>
  <c r="R195" i="15"/>
  <c r="D195" i="15"/>
  <c r="Y194" i="15"/>
  <c r="R194" i="15"/>
  <c r="D194" i="15"/>
  <c r="Y193" i="15"/>
  <c r="R193" i="15"/>
  <c r="D193" i="15"/>
  <c r="Y192" i="15"/>
  <c r="R192" i="15"/>
  <c r="D192" i="15"/>
  <c r="Y191" i="15"/>
  <c r="R191" i="15"/>
  <c r="D191" i="15"/>
  <c r="Y190" i="15"/>
  <c r="R190" i="15"/>
  <c r="D190" i="15"/>
  <c r="Y189" i="15"/>
  <c r="R189" i="15"/>
  <c r="D189" i="15"/>
  <c r="Y188" i="15"/>
  <c r="R188" i="15"/>
  <c r="D188" i="15"/>
  <c r="Y187" i="15"/>
  <c r="R187" i="15"/>
  <c r="D187" i="15"/>
  <c r="Y186" i="15"/>
  <c r="R186" i="15"/>
  <c r="D186" i="15"/>
  <c r="Y185" i="15"/>
  <c r="R185" i="15"/>
  <c r="D185" i="15"/>
  <c r="Y184" i="15"/>
  <c r="R184" i="15"/>
  <c r="D184" i="15"/>
  <c r="Y183" i="15"/>
  <c r="R183" i="15"/>
  <c r="D183" i="15"/>
  <c r="Y182" i="15"/>
  <c r="R182" i="15"/>
  <c r="D182" i="15"/>
  <c r="Y181" i="15"/>
  <c r="R181" i="15"/>
  <c r="D181" i="15"/>
  <c r="Y180" i="15"/>
  <c r="R180" i="15"/>
  <c r="D180" i="15"/>
  <c r="Y179" i="15"/>
  <c r="R179" i="15"/>
  <c r="D179" i="15"/>
  <c r="Y178" i="15"/>
  <c r="R178" i="15"/>
  <c r="D178" i="15"/>
  <c r="Y177" i="15"/>
  <c r="R177" i="15"/>
  <c r="D177" i="15"/>
  <c r="Y176" i="15"/>
  <c r="R176" i="15"/>
  <c r="D176" i="15"/>
  <c r="Y175" i="15"/>
  <c r="R175" i="15"/>
  <c r="D175" i="15"/>
  <c r="Y174" i="15"/>
  <c r="R174" i="15"/>
  <c r="D174" i="15"/>
  <c r="Y173" i="15"/>
  <c r="R173" i="15"/>
  <c r="D173" i="15"/>
  <c r="Y172" i="15"/>
  <c r="R172" i="15"/>
  <c r="D172" i="15"/>
  <c r="Y171" i="15"/>
  <c r="R171" i="15"/>
  <c r="D171" i="15"/>
  <c r="Y170" i="15"/>
  <c r="R170" i="15"/>
  <c r="D170" i="15"/>
  <c r="Y169" i="15"/>
  <c r="R169" i="15"/>
  <c r="D169" i="15"/>
  <c r="Y168" i="15"/>
  <c r="R168" i="15"/>
  <c r="D168" i="15"/>
  <c r="Y167" i="15"/>
  <c r="R167" i="15"/>
  <c r="D167" i="15"/>
  <c r="Y166" i="15"/>
  <c r="R166" i="15"/>
  <c r="D166" i="15"/>
  <c r="Y165" i="15"/>
  <c r="R165" i="15"/>
  <c r="D165" i="15"/>
  <c r="Y164" i="15"/>
  <c r="R164" i="15"/>
  <c r="D164" i="15"/>
  <c r="Y163" i="15"/>
  <c r="R163" i="15"/>
  <c r="D163" i="15"/>
  <c r="Y162" i="15"/>
  <c r="R162" i="15"/>
  <c r="D162" i="15"/>
  <c r="Y161" i="15"/>
  <c r="R161" i="15"/>
  <c r="D161" i="15"/>
  <c r="Y160" i="15"/>
  <c r="R160" i="15"/>
  <c r="D160" i="15"/>
  <c r="Y159" i="15"/>
  <c r="R159" i="15"/>
  <c r="D159" i="15"/>
  <c r="Y158" i="15"/>
  <c r="R158" i="15"/>
  <c r="D158" i="15"/>
  <c r="Y157" i="15"/>
  <c r="R157" i="15"/>
  <c r="D157" i="15"/>
  <c r="Y156" i="15"/>
  <c r="R156" i="15"/>
  <c r="D156" i="15"/>
  <c r="Y155" i="15"/>
  <c r="R155" i="15"/>
  <c r="D155" i="15"/>
  <c r="Y154" i="15"/>
  <c r="R154" i="15"/>
  <c r="D154" i="15"/>
  <c r="Y153" i="15"/>
  <c r="R153" i="15"/>
  <c r="D153" i="15"/>
  <c r="Y152" i="15"/>
  <c r="R152" i="15"/>
  <c r="D152" i="15"/>
  <c r="Y151" i="15"/>
  <c r="R151" i="15"/>
  <c r="D151" i="15"/>
  <c r="Y150" i="15"/>
  <c r="R150" i="15"/>
  <c r="D150" i="15"/>
  <c r="Y149" i="15"/>
  <c r="R149" i="15"/>
  <c r="D149" i="15"/>
  <c r="Y148" i="15"/>
  <c r="R148" i="15"/>
  <c r="D148" i="15"/>
  <c r="Y147" i="15"/>
  <c r="R147" i="15"/>
  <c r="D147" i="15"/>
  <c r="Y146" i="15"/>
  <c r="R146" i="15"/>
  <c r="D146" i="15"/>
  <c r="Y145" i="15"/>
  <c r="R145" i="15"/>
  <c r="D145" i="15"/>
  <c r="Y144" i="15"/>
  <c r="R144" i="15"/>
  <c r="D144" i="15"/>
  <c r="Y143" i="15"/>
  <c r="R143" i="15"/>
  <c r="D143" i="15"/>
  <c r="Y142" i="15"/>
  <c r="R142" i="15"/>
  <c r="D142" i="15"/>
  <c r="Y141" i="15"/>
  <c r="R141" i="15"/>
  <c r="D141" i="15"/>
  <c r="Y140" i="15"/>
  <c r="R140" i="15"/>
  <c r="D140" i="15"/>
  <c r="Y139" i="15"/>
  <c r="R139" i="15"/>
  <c r="D139" i="15"/>
  <c r="Y138" i="15"/>
  <c r="R138" i="15"/>
  <c r="D138" i="15"/>
  <c r="Y137" i="15"/>
  <c r="R137" i="15"/>
  <c r="D137" i="15"/>
  <c r="Y136" i="15"/>
  <c r="R136" i="15"/>
  <c r="D136" i="15"/>
  <c r="Y135" i="15"/>
  <c r="R135" i="15"/>
  <c r="D135" i="15"/>
  <c r="Y134" i="15"/>
  <c r="R134" i="15"/>
  <c r="D134" i="15"/>
  <c r="Y133" i="15"/>
  <c r="R133" i="15"/>
  <c r="D133" i="15"/>
  <c r="Y132" i="15"/>
  <c r="R132" i="15"/>
  <c r="D132" i="15"/>
  <c r="Y131" i="15"/>
  <c r="R131" i="15"/>
  <c r="D131" i="15"/>
  <c r="Y130" i="15"/>
  <c r="R130" i="15"/>
  <c r="D130" i="15"/>
  <c r="Y129" i="15"/>
  <c r="R129" i="15"/>
  <c r="D129" i="15"/>
  <c r="Y128" i="15"/>
  <c r="R128" i="15"/>
  <c r="D128" i="15"/>
  <c r="Y127" i="15"/>
  <c r="R127" i="15"/>
  <c r="D127" i="15"/>
  <c r="Y126" i="15"/>
  <c r="R126" i="15"/>
  <c r="D126" i="15"/>
  <c r="Y125" i="15"/>
  <c r="R125" i="15"/>
  <c r="D125" i="15"/>
  <c r="Y124" i="15"/>
  <c r="R124" i="15"/>
  <c r="D124" i="15"/>
  <c r="Y123" i="15"/>
  <c r="R123" i="15"/>
  <c r="D123" i="15"/>
  <c r="Y122" i="15"/>
  <c r="R122" i="15"/>
  <c r="D122" i="15"/>
  <c r="Y121" i="15"/>
  <c r="R121" i="15"/>
  <c r="D121" i="15"/>
  <c r="Y120" i="15"/>
  <c r="R120" i="15"/>
  <c r="D120" i="15"/>
  <c r="Y119" i="15"/>
  <c r="R119" i="15"/>
  <c r="D119" i="15"/>
  <c r="Y118" i="15"/>
  <c r="R118" i="15"/>
  <c r="D118" i="15"/>
  <c r="Y117" i="15"/>
  <c r="R117" i="15"/>
  <c r="D117" i="15"/>
  <c r="Y116" i="15"/>
  <c r="R116" i="15"/>
  <c r="D116" i="15"/>
  <c r="Y115" i="15"/>
  <c r="R115" i="15"/>
  <c r="D115" i="15"/>
  <c r="Y114" i="15"/>
  <c r="R114" i="15"/>
  <c r="D114" i="15"/>
  <c r="Y113" i="15"/>
  <c r="R113" i="15"/>
  <c r="D113" i="15"/>
  <c r="Y112" i="15"/>
  <c r="R112" i="15"/>
  <c r="D112" i="15"/>
  <c r="Y111" i="15"/>
  <c r="R111" i="15"/>
  <c r="D111" i="15"/>
  <c r="Y110" i="15"/>
  <c r="R110" i="15"/>
  <c r="D110" i="15"/>
  <c r="Y109" i="15"/>
  <c r="R109" i="15"/>
  <c r="D109" i="15"/>
  <c r="Y108" i="15"/>
  <c r="R108" i="15"/>
  <c r="D108" i="15"/>
  <c r="Y107" i="15"/>
  <c r="R107" i="15"/>
  <c r="D107" i="15"/>
  <c r="Y106" i="15"/>
  <c r="R106" i="15"/>
  <c r="D106" i="15"/>
  <c r="Y105" i="15"/>
  <c r="R105" i="15"/>
  <c r="D105" i="15"/>
  <c r="Y104" i="15"/>
  <c r="R104" i="15"/>
  <c r="D104" i="15"/>
  <c r="Y103" i="15"/>
  <c r="R103" i="15"/>
  <c r="D103" i="15"/>
  <c r="Y102" i="15"/>
  <c r="R102" i="15"/>
  <c r="D102" i="15"/>
  <c r="Y101" i="15"/>
  <c r="R101" i="15"/>
  <c r="D101" i="15"/>
  <c r="Y100" i="15"/>
  <c r="R100" i="15"/>
  <c r="D100" i="15"/>
  <c r="Y99" i="15"/>
  <c r="R99" i="15"/>
  <c r="D99" i="15"/>
  <c r="Y98" i="15"/>
  <c r="R98" i="15"/>
  <c r="D98" i="15"/>
  <c r="Y97" i="15"/>
  <c r="R97" i="15"/>
  <c r="D97" i="15"/>
  <c r="Y96" i="15"/>
  <c r="R96" i="15"/>
  <c r="D96" i="15"/>
  <c r="Y95" i="15"/>
  <c r="R95" i="15"/>
  <c r="D95" i="15"/>
  <c r="Y94" i="15"/>
  <c r="R94" i="15"/>
  <c r="D94" i="15"/>
  <c r="Y93" i="15"/>
  <c r="R93" i="15"/>
  <c r="D93" i="15"/>
  <c r="Y92" i="15"/>
  <c r="R92" i="15"/>
  <c r="D92" i="15"/>
  <c r="Y91" i="15"/>
  <c r="R91" i="15"/>
  <c r="D91" i="15"/>
  <c r="Y90" i="15"/>
  <c r="R90" i="15"/>
  <c r="D90" i="15"/>
  <c r="Y89" i="15"/>
  <c r="R89" i="15"/>
  <c r="D89" i="15"/>
  <c r="Y88" i="15"/>
  <c r="R88" i="15"/>
  <c r="D88" i="15"/>
  <c r="Y87" i="15"/>
  <c r="R87" i="15"/>
  <c r="D87" i="15"/>
  <c r="Y86" i="15"/>
  <c r="R86" i="15"/>
  <c r="D86" i="15"/>
  <c r="Y85" i="15"/>
  <c r="R85" i="15"/>
  <c r="D85" i="15"/>
  <c r="Y84" i="15"/>
  <c r="R84" i="15"/>
  <c r="D84" i="15"/>
  <c r="Y83" i="15"/>
  <c r="R83" i="15"/>
  <c r="D83" i="15"/>
  <c r="Y82" i="15"/>
  <c r="R82" i="15"/>
  <c r="D82" i="15"/>
  <c r="Y81" i="15"/>
  <c r="R81" i="15"/>
  <c r="D81" i="15"/>
  <c r="Y80" i="15"/>
  <c r="R80" i="15"/>
  <c r="D80" i="15"/>
  <c r="Y79" i="15"/>
  <c r="R79" i="15"/>
  <c r="D79" i="15"/>
  <c r="Y78" i="15"/>
  <c r="R78" i="15"/>
  <c r="D78" i="15"/>
  <c r="Y77" i="15"/>
  <c r="R77" i="15"/>
  <c r="D77" i="15"/>
  <c r="Y76" i="15"/>
  <c r="R76" i="15"/>
  <c r="D76" i="15"/>
  <c r="Y75" i="15"/>
  <c r="R75" i="15"/>
  <c r="D75" i="15"/>
  <c r="Y74" i="15"/>
  <c r="R74" i="15"/>
  <c r="D74" i="15"/>
  <c r="Y73" i="15"/>
  <c r="R73" i="15"/>
  <c r="D73" i="15"/>
  <c r="Y72" i="15"/>
  <c r="R72" i="15"/>
  <c r="D72" i="15"/>
  <c r="Y71" i="15"/>
  <c r="R71" i="15"/>
  <c r="D71" i="15"/>
  <c r="Y70" i="15"/>
  <c r="R70" i="15"/>
  <c r="D70" i="15"/>
  <c r="Y69" i="15"/>
  <c r="R69" i="15"/>
  <c r="D69" i="15"/>
  <c r="Y68" i="15"/>
  <c r="R68" i="15"/>
  <c r="D68" i="15"/>
  <c r="Y67" i="15"/>
  <c r="R67" i="15"/>
  <c r="D67" i="15"/>
  <c r="Y66" i="15"/>
  <c r="R66" i="15"/>
  <c r="D66" i="15"/>
  <c r="Y65" i="15"/>
  <c r="R65" i="15"/>
  <c r="D65" i="15"/>
  <c r="Y64" i="15"/>
  <c r="R64" i="15"/>
  <c r="D64" i="15"/>
  <c r="Y63" i="15"/>
  <c r="R63" i="15"/>
  <c r="D63" i="15"/>
  <c r="Y62" i="15"/>
  <c r="R62" i="15"/>
  <c r="D62" i="15"/>
  <c r="Y61" i="15"/>
  <c r="R61" i="15"/>
  <c r="D61" i="15"/>
  <c r="Y60" i="15"/>
  <c r="R60" i="15"/>
  <c r="D60" i="15"/>
  <c r="Y59" i="15"/>
  <c r="R59" i="15"/>
  <c r="D59" i="15"/>
  <c r="Y58" i="15"/>
  <c r="R58" i="15"/>
  <c r="D58" i="15"/>
  <c r="Y57" i="15"/>
  <c r="R57" i="15"/>
  <c r="D57" i="15"/>
  <c r="Y56" i="15"/>
  <c r="R56" i="15"/>
  <c r="D56" i="15"/>
  <c r="Y55" i="15"/>
  <c r="R55" i="15"/>
  <c r="D55" i="15"/>
  <c r="Y54" i="15"/>
  <c r="R54" i="15"/>
  <c r="D54" i="15"/>
  <c r="Y53" i="15"/>
  <c r="R53" i="15"/>
  <c r="D53" i="15"/>
  <c r="Y52" i="15"/>
  <c r="R52" i="15"/>
  <c r="D52" i="15"/>
  <c r="Y51" i="15"/>
  <c r="R51" i="15"/>
  <c r="D51" i="15"/>
  <c r="Y50" i="15"/>
  <c r="R50" i="15"/>
  <c r="D50" i="15"/>
  <c r="Y49" i="15"/>
  <c r="R49" i="15"/>
  <c r="D49" i="15"/>
  <c r="Y48" i="15"/>
  <c r="R48" i="15"/>
  <c r="D48" i="15"/>
  <c r="Y47" i="15"/>
  <c r="R47" i="15"/>
  <c r="D47" i="15"/>
  <c r="Y46" i="15"/>
  <c r="R46" i="15"/>
  <c r="D46" i="15"/>
  <c r="Y45" i="15"/>
  <c r="R45" i="15"/>
  <c r="D45" i="15"/>
  <c r="Y44" i="15"/>
  <c r="R44" i="15"/>
  <c r="D44" i="15"/>
  <c r="Y43" i="15"/>
  <c r="R43" i="15"/>
  <c r="D43" i="15"/>
  <c r="Y42" i="15"/>
  <c r="R42" i="15"/>
  <c r="D42" i="15"/>
  <c r="Y41" i="15"/>
  <c r="R41" i="15"/>
  <c r="D41" i="15"/>
  <c r="Y40" i="15"/>
  <c r="R40" i="15"/>
  <c r="D40" i="15"/>
  <c r="Y39" i="15"/>
  <c r="R39" i="15"/>
  <c r="D39" i="15"/>
  <c r="Y38" i="15"/>
  <c r="R38" i="15"/>
  <c r="D38" i="15"/>
  <c r="Y37" i="15"/>
  <c r="R37" i="15"/>
  <c r="D37" i="15"/>
  <c r="Y36" i="15"/>
  <c r="R36" i="15"/>
  <c r="D36" i="15"/>
  <c r="Y35" i="15"/>
  <c r="R35" i="15"/>
  <c r="D35" i="15"/>
  <c r="Y34" i="15"/>
  <c r="R34" i="15"/>
  <c r="D34" i="15"/>
  <c r="Y33" i="15"/>
  <c r="R33" i="15"/>
  <c r="D33" i="15"/>
  <c r="Y32" i="15"/>
  <c r="R32" i="15"/>
  <c r="D32" i="15"/>
  <c r="Y31" i="15"/>
  <c r="R31" i="15"/>
  <c r="D31" i="15"/>
  <c r="Y30" i="15"/>
  <c r="R30" i="15"/>
  <c r="D30" i="15"/>
  <c r="Y29" i="15"/>
  <c r="R29" i="15"/>
  <c r="D29" i="15"/>
  <c r="Y28" i="15"/>
  <c r="R28" i="15"/>
  <c r="D28" i="15"/>
  <c r="Y27" i="15"/>
  <c r="R27" i="15"/>
  <c r="D27" i="15"/>
  <c r="Y26" i="15"/>
  <c r="R26" i="15"/>
  <c r="D26" i="15"/>
  <c r="Y25" i="15"/>
  <c r="R25" i="15"/>
  <c r="D25" i="15"/>
  <c r="Y24" i="15"/>
  <c r="R24" i="15"/>
  <c r="D24" i="15"/>
  <c r="Y23" i="15"/>
  <c r="R23" i="15"/>
  <c r="D23" i="15"/>
  <c r="Y22" i="15"/>
  <c r="R22" i="15"/>
  <c r="D22" i="15"/>
  <c r="Y21" i="15"/>
  <c r="R21" i="15"/>
  <c r="D21" i="15"/>
  <c r="Y20" i="15"/>
  <c r="R20" i="15"/>
  <c r="D20" i="15"/>
  <c r="Y19" i="15"/>
  <c r="R19" i="15"/>
  <c r="D19" i="15"/>
  <c r="Y18" i="15"/>
  <c r="R18" i="15"/>
  <c r="D18" i="15"/>
  <c r="Y17" i="15"/>
  <c r="R17" i="15"/>
  <c r="D17" i="15"/>
  <c r="Y16" i="15"/>
  <c r="R16" i="15"/>
  <c r="D16" i="15"/>
  <c r="Y15" i="15"/>
  <c r="R15" i="15"/>
  <c r="D15" i="15"/>
  <c r="Y14" i="15"/>
  <c r="R14" i="15"/>
  <c r="D14" i="15"/>
  <c r="Y13" i="15"/>
  <c r="R13" i="15"/>
  <c r="D13" i="15"/>
  <c r="Y12" i="15"/>
  <c r="R12" i="15"/>
  <c r="D12" i="15"/>
  <c r="Y11" i="15"/>
  <c r="R11" i="15"/>
  <c r="D11" i="15"/>
  <c r="Y10" i="15"/>
  <c r="R10" i="15"/>
  <c r="D10" i="15"/>
  <c r="Y9" i="15"/>
  <c r="R9" i="15"/>
  <c r="D9" i="15"/>
  <c r="Y8" i="15"/>
  <c r="R8" i="15"/>
  <c r="D8" i="15"/>
  <c r="Y7" i="15"/>
  <c r="R7" i="15"/>
  <c r="D7" i="15"/>
  <c r="Y6" i="15"/>
  <c r="R6" i="15"/>
  <c r="D6" i="15"/>
  <c r="Y5" i="15"/>
  <c r="R5" i="15"/>
  <c r="D5" i="15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L75" i="3"/>
  <c r="M75" i="3" s="1"/>
  <c r="L74" i="3"/>
  <c r="M74" i="3" s="1"/>
  <c r="L73" i="3"/>
  <c r="M73" i="3" s="1"/>
  <c r="L72" i="3"/>
  <c r="M72" i="3" s="1"/>
  <c r="L71" i="3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L54" i="3"/>
  <c r="M54" i="3" s="1"/>
  <c r="L53" i="3"/>
  <c r="M53" i="3" s="1"/>
  <c r="L52" i="3"/>
  <c r="L51" i="3"/>
  <c r="M51" i="3" s="1"/>
  <c r="L50" i="3"/>
  <c r="M50" i="3" s="1"/>
  <c r="L49" i="3"/>
  <c r="M49" i="3" s="1"/>
  <c r="L48" i="3"/>
  <c r="M48" i="3" s="1"/>
  <c r="L47" i="3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M71" i="3"/>
  <c r="M55" i="3"/>
  <c r="M52" i="3"/>
  <c r="M35" i="3"/>
  <c r="M76" i="3"/>
  <c r="M47" i="3"/>
  <c r="I5" i="4"/>
</calcChain>
</file>

<file path=xl/sharedStrings.xml><?xml version="1.0" encoding="utf-8"?>
<sst xmlns="http://schemas.openxmlformats.org/spreadsheetml/2006/main" count="20561" uniqueCount="5987">
  <si>
    <t>CGATGT</t>
  </si>
  <si>
    <t>TTAGGC</t>
  </si>
  <si>
    <t>TGACCA</t>
  </si>
  <si>
    <t>ACAGTG</t>
  </si>
  <si>
    <t>GCCAAT</t>
  </si>
  <si>
    <t>CAGATC</t>
  </si>
  <si>
    <t>ACTTGA</t>
  </si>
  <si>
    <t>GATCAG</t>
  </si>
  <si>
    <t>TAGCTT</t>
  </si>
  <si>
    <t>GGCTAC</t>
  </si>
  <si>
    <t>CTTGTA</t>
  </si>
  <si>
    <t>AAACAT</t>
  </si>
  <si>
    <t>CAAAAG</t>
  </si>
  <si>
    <t>GAAACC</t>
  </si>
  <si>
    <t>AAAGCA</t>
  </si>
  <si>
    <t>ATTACTCG</t>
  </si>
  <si>
    <t>D702</t>
  </si>
  <si>
    <t>TCCGGAGA</t>
  </si>
  <si>
    <t>CGCTCATT</t>
  </si>
  <si>
    <t>GAGATTCC</t>
  </si>
  <si>
    <t>D703</t>
  </si>
  <si>
    <t>D704</t>
  </si>
  <si>
    <t>D705</t>
  </si>
  <si>
    <t>ATTCAGAA</t>
  </si>
  <si>
    <t>D706</t>
  </si>
  <si>
    <t>GAATTCGT</t>
  </si>
  <si>
    <t>D707</t>
  </si>
  <si>
    <t>CTGAAGCT</t>
  </si>
  <si>
    <t>D708</t>
  </si>
  <si>
    <t>TAATGCGC</t>
  </si>
  <si>
    <t>D709</t>
  </si>
  <si>
    <t>CGGCTATG</t>
  </si>
  <si>
    <t>D710</t>
  </si>
  <si>
    <t>TCCGCGAA</t>
  </si>
  <si>
    <t>D711</t>
  </si>
  <si>
    <t>TCTCGCGC</t>
  </si>
  <si>
    <t>D712</t>
  </si>
  <si>
    <t>AGCGATAG</t>
  </si>
  <si>
    <t>TATAGCCT</t>
  </si>
  <si>
    <t>D502</t>
  </si>
  <si>
    <t>ATAGAGGC</t>
  </si>
  <si>
    <t>D503</t>
  </si>
  <si>
    <t>CCTATCCT</t>
  </si>
  <si>
    <t>D504</t>
  </si>
  <si>
    <t>GGCTCTGA</t>
  </si>
  <si>
    <t>D505</t>
  </si>
  <si>
    <t>AGGCGAAG</t>
  </si>
  <si>
    <t>D506</t>
  </si>
  <si>
    <t>TAATCTTA</t>
  </si>
  <si>
    <t>D507</t>
  </si>
  <si>
    <t>CAGGACGT</t>
  </si>
  <si>
    <t>D508</t>
  </si>
  <si>
    <t>GTACTGAC</t>
  </si>
  <si>
    <t>AXX</t>
  </si>
  <si>
    <t>D7XX</t>
  </si>
  <si>
    <t>D5XX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</si>
  <si>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</si>
  <si>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</si>
  <si>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</si>
  <si>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</si>
  <si>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</si>
  <si>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</si>
  <si>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</si>
  <si>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</si>
  <si>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</si>
  <si>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</si>
  <si>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</si>
  <si>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</si>
  <si>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</si>
  <si>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</si>
  <si>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</si>
  <si>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</si>
  <si>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D701</t>
  </si>
  <si>
    <t>D501</t>
  </si>
  <si>
    <t xml:space="preserve"> </t>
  </si>
  <si>
    <t>CTCTCTAT</t>
  </si>
  <si>
    <t>TATCCTCT</t>
  </si>
  <si>
    <t>GTAAGGAG</t>
  </si>
  <si>
    <t>ACTGCATA</t>
  </si>
  <si>
    <t>AAGGAGTA</t>
  </si>
  <si>
    <t>CTAAGCCT</t>
  </si>
  <si>
    <t>CGTCTAAT</t>
  </si>
  <si>
    <t>TCTCTCCG</t>
  </si>
  <si>
    <t>TCGACTAG</t>
  </si>
  <si>
    <t>TTCTAGCT</t>
  </si>
  <si>
    <t>CCTAGAGT</t>
  </si>
  <si>
    <t>GCGTAAGA</t>
  </si>
  <si>
    <t>CTATTAAG</t>
  </si>
  <si>
    <t>AAGGCTAT</t>
  </si>
  <si>
    <t>GAGCCTTA</t>
  </si>
  <si>
    <t>TTATGCGA</t>
  </si>
  <si>
    <t xml:space="preserve">i7 index name </t>
  </si>
  <si>
    <t xml:space="preserve">N701 </t>
  </si>
  <si>
    <t xml:space="preserve">N702 </t>
  </si>
  <si>
    <t xml:space="preserve">N703 </t>
  </si>
  <si>
    <t xml:space="preserve">N704 </t>
  </si>
  <si>
    <t xml:space="preserve">N705 </t>
  </si>
  <si>
    <t xml:space="preserve">N706 </t>
  </si>
  <si>
    <t xml:space="preserve">N707 </t>
  </si>
  <si>
    <t xml:space="preserve">N710 </t>
  </si>
  <si>
    <t xml:space="preserve">N711 </t>
  </si>
  <si>
    <t xml:space="preserve">N712 </t>
  </si>
  <si>
    <t xml:space="preserve">N714 </t>
  </si>
  <si>
    <t xml:space="preserve">N716 </t>
  </si>
  <si>
    <t xml:space="preserve">N719 </t>
  </si>
  <si>
    <t xml:space="preserve">N720 </t>
  </si>
  <si>
    <t xml:space="preserve">N726 </t>
  </si>
  <si>
    <t xml:space="preserve">N727 </t>
  </si>
  <si>
    <t>TGCAGCTA</t>
  </si>
  <si>
    <t>TCGACGTC</t>
  </si>
  <si>
    <t>Adapter</t>
  </si>
  <si>
    <t>AGATCGGAAGAGCACACGTCTGAACTCCAGTCA</t>
  </si>
  <si>
    <t>AdapterRead2</t>
  </si>
  <si>
    <t>AGATCGGAAGAGCGTCGTGTAGGGAAAGAGTGT</t>
  </si>
  <si>
    <t>﻿TCGCCTTA</t>
  </si>
  <si>
    <t>CTAGTACG</t>
  </si>
  <si>
    <t>TTCTGCCT</t>
  </si>
  <si>
    <t>GCTCAGGA</t>
  </si>
  <si>
    <t>AGGAGTCC</t>
  </si>
  <si>
    <t>CATGCCTA</t>
  </si>
  <si>
    <t>GTAGAGAG</t>
  </si>
  <si>
    <t>CAGCCTCG</t>
  </si>
  <si>
    <t>TGCCTCTT</t>
  </si>
  <si>
    <t>TCCTCTAC</t>
  </si>
  <si>
    <t>TCATGAGC</t>
  </si>
  <si>
    <t>CCTGAGAT</t>
  </si>
  <si>
    <t>TAGCGAGT</t>
  </si>
  <si>
    <t>GTAGCTCC</t>
  </si>
  <si>
    <t>TACTACGC</t>
  </si>
  <si>
    <t>AGGCTCCG</t>
  </si>
  <si>
    <t>GCAGCGTA</t>
  </si>
  <si>
    <t>CTGCGCAT</t>
  </si>
  <si>
    <t>GAGCGCTA</t>
  </si>
  <si>
    <t>CGCTCAGT</t>
  </si>
  <si>
    <t>GTCTTAGG</t>
  </si>
  <si>
    <t>ACTGATCG</t>
  </si>
  <si>
    <t>﻿TAGCTGCA</t>
  </si>
  <si>
    <t>GACGTCGA</t>
  </si>
  <si>
    <t>TAAGGCGA</t>
  </si>
  <si>
    <t>CGTACTAG</t>
  </si>
  <si>
    <t>AGGCAGAA</t>
  </si>
  <si>
    <t>TCCTGAGC</t>
  </si>
  <si>
    <t>GGACTCCT</t>
  </si>
  <si>
    <t>TAGGCATG</t>
  </si>
  <si>
    <t>CTCTCTAC</t>
  </si>
  <si>
    <t>CGAGGCTG</t>
  </si>
  <si>
    <t>AAGAGGCA</t>
  </si>
  <si>
    <t>GTAGAGGA</t>
  </si>
  <si>
    <t>GCTCATGA</t>
  </si>
  <si>
    <t>ATCTCAGG</t>
  </si>
  <si>
    <t>ACTCGCTA</t>
  </si>
  <si>
    <t>GGAGCTAC</t>
  </si>
  <si>
    <t>GCGTAGTA</t>
  </si>
  <si>
    <t>CGGAGCCT</t>
  </si>
  <si>
    <t>TACGCTGC</t>
  </si>
  <si>
    <t>ATGCGCAG</t>
  </si>
  <si>
    <t>TAGCGCTC</t>
  </si>
  <si>
    <t>ACTGAGCG</t>
  </si>
  <si>
    <t>CCTAAGAC</t>
  </si>
  <si>
    <t>CGATCAGT</t>
  </si>
  <si>
    <t xml:space="preserve">i5 index name </t>
  </si>
  <si>
    <t>i5 bases for entry on sample sheet</t>
  </si>
  <si>
    <t>Index</t>
    <phoneticPr fontId="0" type="noConversion"/>
  </si>
  <si>
    <t>N701</t>
  </si>
  <si>
    <t>N702</t>
  </si>
  <si>
    <t>N703</t>
  </si>
  <si>
    <t>N704</t>
  </si>
  <si>
    <t>N707</t>
  </si>
  <si>
    <t>N710</t>
  </si>
  <si>
    <t>N711</t>
  </si>
  <si>
    <t>N712</t>
  </si>
  <si>
    <t>N714</t>
  </si>
  <si>
    <t>N715</t>
  </si>
  <si>
    <t>S502</t>
  </si>
  <si>
    <t>S503</t>
  </si>
  <si>
    <t>S505</t>
  </si>
  <si>
    <t>S506</t>
  </si>
  <si>
    <t>S507</t>
  </si>
  <si>
    <t>S508</t>
  </si>
  <si>
    <t>S510</t>
  </si>
  <si>
    <t>S511</t>
  </si>
  <si>
    <t>S513</t>
  </si>
  <si>
    <t>S515</t>
  </si>
  <si>
    <t>S516</t>
  </si>
  <si>
    <t>S517</t>
  </si>
  <si>
    <t>S518</t>
  </si>
  <si>
    <t>S520</t>
  </si>
  <si>
    <t>S521</t>
  </si>
  <si>
    <t>S522</t>
  </si>
  <si>
    <t>N705</t>
  </si>
  <si>
    <t>N706</t>
  </si>
  <si>
    <t>N/A</t>
  </si>
  <si>
    <t>Sample ID</t>
  </si>
  <si>
    <t>sample #</t>
  </si>
  <si>
    <t>well position</t>
  </si>
  <si>
    <t>F1</t>
  </si>
  <si>
    <t>F2</t>
  </si>
  <si>
    <t>F3</t>
  </si>
  <si>
    <t>F4</t>
  </si>
  <si>
    <t>F5</t>
  </si>
  <si>
    <t>F6</t>
  </si>
  <si>
    <t>N716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</si>
  <si>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</si>
  <si>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</si>
  <si>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</si>
  <si>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</si>
  <si>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</si>
  <si>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</si>
  <si>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</si>
  <si>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</si>
  <si>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</si>
  <si>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</si>
  <si>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</si>
  <si>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Index</t>
  </si>
  <si>
    <t>Sequence</t>
  </si>
  <si>
    <t>*The barcode sequence in adapters 13 – 27 contains an additional two nucleotides (underlined) which may be incorporated into the sequencing index.</t>
  </si>
  <si>
    <t>ATCACG</t>
  </si>
  <si>
    <r>
      <t>AGTCAA</t>
    </r>
    <r>
      <rPr>
        <u/>
        <sz val="11"/>
        <color theme="1"/>
        <rFont val="Calibri"/>
        <family val="2"/>
        <scheme val="minor"/>
      </rPr>
      <t>CA</t>
    </r>
  </si>
  <si>
    <r>
      <t>AGTTCC</t>
    </r>
    <r>
      <rPr>
        <u/>
        <sz val="11"/>
        <color theme="1"/>
        <rFont val="Calibri"/>
        <family val="2"/>
        <scheme val="minor"/>
      </rPr>
      <t>GT</t>
    </r>
  </si>
  <si>
    <r>
      <t>ATGTCA</t>
    </r>
    <r>
      <rPr>
        <u/>
        <sz val="11"/>
        <color theme="1"/>
        <rFont val="Calibri"/>
        <family val="2"/>
        <scheme val="minor"/>
      </rPr>
      <t>GA</t>
    </r>
  </si>
  <si>
    <r>
      <t>CCGTCC</t>
    </r>
    <r>
      <rPr>
        <u/>
        <sz val="11"/>
        <color theme="1"/>
        <rFont val="Calibri"/>
        <family val="2"/>
        <scheme val="minor"/>
      </rPr>
      <t>CG</t>
    </r>
  </si>
  <si>
    <r>
      <t>GTCCGC</t>
    </r>
    <r>
      <rPr>
        <u/>
        <sz val="11"/>
        <color theme="1"/>
        <rFont val="Calibri"/>
        <family val="2"/>
        <scheme val="minor"/>
      </rPr>
      <t>AC</t>
    </r>
  </si>
  <si>
    <r>
      <t>GTGAAA</t>
    </r>
    <r>
      <rPr>
        <u/>
        <sz val="11"/>
        <color theme="1"/>
        <rFont val="Calibri"/>
        <family val="2"/>
        <scheme val="minor"/>
      </rPr>
      <t>CG</t>
    </r>
  </si>
  <si>
    <r>
      <t>GTGGCC</t>
    </r>
    <r>
      <rPr>
        <u/>
        <sz val="11"/>
        <color theme="1"/>
        <rFont val="Calibri"/>
        <family val="2"/>
        <scheme val="minor"/>
      </rPr>
      <t>TT</t>
    </r>
  </si>
  <si>
    <r>
      <t>GTTTCG</t>
    </r>
    <r>
      <rPr>
        <u/>
        <sz val="11"/>
        <color theme="1"/>
        <rFont val="Calibri"/>
        <family val="2"/>
        <scheme val="minor"/>
      </rPr>
      <t>GA</t>
    </r>
  </si>
  <si>
    <r>
      <t>CGTACG</t>
    </r>
    <r>
      <rPr>
        <u/>
        <sz val="11"/>
        <color theme="1"/>
        <rFont val="Calibri"/>
        <family val="2"/>
        <scheme val="minor"/>
      </rPr>
      <t>TA</t>
    </r>
  </si>
  <si>
    <r>
      <t>GAGTGG</t>
    </r>
    <r>
      <rPr>
        <u/>
        <sz val="11"/>
        <color theme="1"/>
        <rFont val="Calibri"/>
        <family val="2"/>
        <scheme val="minor"/>
      </rPr>
      <t>AT</t>
    </r>
  </si>
  <si>
    <r>
      <t>ACTGAT</t>
    </r>
    <r>
      <rPr>
        <u/>
        <sz val="11"/>
        <color theme="1"/>
        <rFont val="Calibri"/>
        <family val="2"/>
        <scheme val="minor"/>
      </rPr>
      <t>AT</t>
    </r>
  </si>
  <si>
    <r>
      <t>ATTCCT</t>
    </r>
    <r>
      <rPr>
        <u/>
        <sz val="11"/>
        <color theme="1"/>
        <rFont val="Calibri"/>
        <family val="2"/>
        <scheme val="minor"/>
      </rPr>
      <t>TT</t>
    </r>
  </si>
  <si>
    <t>Set A</t>
  </si>
  <si>
    <t xml:space="preserve"> Set B</t>
  </si>
  <si>
    <t>F7</t>
  </si>
  <si>
    <t>F8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</si>
  <si>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</si>
  <si>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</si>
  <si>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</si>
  <si>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</si>
  <si>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</si>
  <si>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</si>
  <si>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</si>
  <si>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</si>
  <si>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</si>
  <si>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</si>
  <si>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</si>
  <si>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</si>
  <si>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</si>
  <si>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</si>
  <si>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</si>
  <si>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</si>
  <si>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</si>
  <si>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</si>
  <si>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</si>
  <si>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</si>
  <si>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</si>
  <si>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</si>
  <si>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</si>
  <si>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</si>
  <si>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Customer's sample Name</t>
  </si>
  <si>
    <r>
      <rPr>
        <b/>
        <u/>
        <sz val="14"/>
        <color rgb="FF000000"/>
        <rFont val="Times New Roman"/>
        <family val="1"/>
      </rPr>
      <t>NOTES:</t>
    </r>
    <r>
      <rPr>
        <b/>
        <sz val="11"/>
        <color rgb="FF000000"/>
        <rFont val="Times New Roman"/>
        <family val="1"/>
      </rPr>
      <t xml:space="preserve">
WHOLE GENOME, WHOLE EXOSME, RNA SEQ - USE DIFFERENT 7's IN CASE OF SEQUENCING ON HISEQ.
DO NOT USE FIRST PLATE COMBINATION FOR ANY SAMPLES SO THEY CAN BE SEQUENCED WITH CHINA V2 SAMPLES IF NEEDED</t>
    </r>
  </si>
  <si>
    <t>MMDDYY_LASTNAME_SERVICE</t>
  </si>
  <si>
    <t>FRAGMENTATION</t>
  </si>
  <si>
    <t>TEMP</t>
  </si>
  <si>
    <t>TIME</t>
  </si>
  <si>
    <t>KAPA Single-Indexed Primers Adapter Kit *coresponds to Illumina AXXX barcode set</t>
  </si>
  <si>
    <r>
      <rPr>
        <b/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copy blue sections from project info tab</t>
    </r>
  </si>
  <si>
    <t>Final QC customer MM/DD/YYYY Service</t>
  </si>
  <si>
    <t>EB to Add uL</t>
  </si>
  <si>
    <t>DNA to Add uL</t>
  </si>
  <si>
    <t>X = dilution 
*used for qubit</t>
  </si>
  <si>
    <t>Y = total ng
*based on row E*</t>
  </si>
  <si>
    <t>Z= total volume 
*to use for covaris</t>
  </si>
  <si>
    <t>Pool ID</t>
  </si>
  <si>
    <t>Customer Sample Name</t>
  </si>
  <si>
    <t>Customer's Sample name</t>
  </si>
  <si>
    <t>HYBRIDIZATION</t>
  </si>
  <si>
    <t>Well Position</t>
  </si>
  <si>
    <t>POOL ID</t>
  </si>
  <si>
    <t>Total Pool Volume</t>
  </si>
  <si>
    <t>Spin Time</t>
  </si>
  <si>
    <t>Probe</t>
  </si>
  <si>
    <t>WEPYY-XXX</t>
  </si>
  <si>
    <t>this =(500/# samples in pool)/sample concentration</t>
  </si>
  <si>
    <t>sum of all DNA volumes added to each pool</t>
  </si>
  <si>
    <t>this= volume of  highest pool - volume of pool</t>
  </si>
  <si>
    <t>Min to Spin =(total volume + 12)</t>
  </si>
  <si>
    <t>uL of Probe to use for pool + Volume H2O to use - add 2uL extra H2O per extra day of hyb</t>
  </si>
  <si>
    <t>total pool ng = 500</t>
  </si>
  <si>
    <t>Volume (ul)</t>
  </si>
  <si>
    <t>H2O to Add</t>
  </si>
  <si>
    <t>Y = total ng
*based on row E* usually 50ng</t>
  </si>
  <si>
    <t>Z= 25uL total volume - 17.5uL MM</t>
  </si>
  <si>
    <t>Customer ID</t>
  </si>
  <si>
    <t>Lab Personnel Initials</t>
  </si>
  <si>
    <t xml:space="preserve">Secondary </t>
  </si>
  <si>
    <t>Final Qubit</t>
  </si>
  <si>
    <t>Final Tapestation</t>
  </si>
  <si>
    <t>Final qPCR Calc</t>
  </si>
  <si>
    <t>AGTCAACA</t>
  </si>
  <si>
    <t>GTGGCCTT</t>
  </si>
  <si>
    <t>AGTTCCGT</t>
  </si>
  <si>
    <t>GTTTCGGA</t>
  </si>
  <si>
    <t>ATGTCAGA</t>
  </si>
  <si>
    <t>CGTACGTA</t>
  </si>
  <si>
    <t>CCGTCCCG</t>
  </si>
  <si>
    <t>GAGTGGAT</t>
  </si>
  <si>
    <t>GTCCGCAC</t>
  </si>
  <si>
    <t>ACTGATAT</t>
  </si>
  <si>
    <t>GTGAAACG</t>
  </si>
  <si>
    <t>ATTCCTTT</t>
  </si>
  <si>
    <t>AH ID</t>
  </si>
  <si>
    <t xml:space="preserve">Customer ID </t>
  </si>
  <si>
    <t>Total ng to be Used</t>
  </si>
  <si>
    <t>=uL DNA used * DNA concentration</t>
  </si>
  <si>
    <t>5-50</t>
  </si>
  <si>
    <t>Total ng used</t>
  </si>
  <si>
    <t>Illumina 384 Barcode Set</t>
  </si>
  <si>
    <t>Wafergen Barcodes</t>
  </si>
  <si>
    <t>*if running with dual index barcodes, make sure to fill in i5 barcode section with NNNNNNNNNN as these are single index,  also add NN up to 8 bases for the N7XX and S5XX barocodes for MiSeq sample sheet</t>
  </si>
  <si>
    <t>MiSeq</t>
  </si>
  <si>
    <t>NextSeq</t>
  </si>
  <si>
    <t>NextseqMiSeq</t>
  </si>
  <si>
    <t>I7_Index_ID</t>
  </si>
  <si>
    <t>index</t>
  </si>
  <si>
    <t>i5 bases for entry on sample sheet on NextSeq</t>
  </si>
  <si>
    <t>i7 bases for entry on sample sheet for MiSeq</t>
  </si>
  <si>
    <t>MID-1</t>
  </si>
  <si>
    <t>GTATACTGAC</t>
  </si>
  <si>
    <t>MID-25</t>
  </si>
  <si>
    <t>ATACGTAGAG</t>
  </si>
  <si>
    <t>MID-49</t>
  </si>
  <si>
    <t>CTATGCACTG</t>
  </si>
  <si>
    <t>MID-73</t>
  </si>
  <si>
    <t>TAGCTGTGCG</t>
  </si>
  <si>
    <t>ATAGAGAG</t>
  </si>
  <si>
    <t>MID-2</t>
  </si>
  <si>
    <t>CTGATCGTAC</t>
  </si>
  <si>
    <t>MID-26</t>
  </si>
  <si>
    <t>AGCATGCAGT</t>
  </si>
  <si>
    <t>MID-50</t>
  </si>
  <si>
    <t>TCTAGTCTAG</t>
  </si>
  <si>
    <t>MID-74</t>
  </si>
  <si>
    <t>AGCTAGTCGA</t>
  </si>
  <si>
    <t>AGAGGATA</t>
  </si>
  <si>
    <t>MID-3</t>
  </si>
  <si>
    <t>GAGTAGCGTA</t>
  </si>
  <si>
    <t>MID-27</t>
  </si>
  <si>
    <t>TAGCACGTGC</t>
  </si>
  <si>
    <t>MID-51</t>
  </si>
  <si>
    <t>TCATCATCGT</t>
  </si>
  <si>
    <t>MID-75</t>
  </si>
  <si>
    <t>TGAGTATGTG</t>
  </si>
  <si>
    <t>CTCCTTAC</t>
  </si>
  <si>
    <t>MID-4</t>
  </si>
  <si>
    <t>GCGAGATCAG</t>
  </si>
  <si>
    <t>MID-28</t>
  </si>
  <si>
    <t>CGTGTACGTA</t>
  </si>
  <si>
    <t>MID-52</t>
  </si>
  <si>
    <t>ACGTGTAGTA</t>
  </si>
  <si>
    <t>MID-76</t>
  </si>
  <si>
    <t>CTCAGCAGAC</t>
  </si>
  <si>
    <t>TATGCAGT</t>
  </si>
  <si>
    <t>MID-5</t>
  </si>
  <si>
    <t>TGCTAGACTA</t>
  </si>
  <si>
    <t>MID-29</t>
  </si>
  <si>
    <t>GTAGATAGCT</t>
  </si>
  <si>
    <t>MID-53</t>
  </si>
  <si>
    <t>CAGTATACGA</t>
  </si>
  <si>
    <t>MID-77</t>
  </si>
  <si>
    <t>ACGCGTCACA</t>
  </si>
  <si>
    <t>TACTCCTT</t>
  </si>
  <si>
    <t>MID-6</t>
  </si>
  <si>
    <t>ACGAGAGTAG</t>
  </si>
  <si>
    <t>MID-30</t>
  </si>
  <si>
    <t>CATCTGTGTC</t>
  </si>
  <si>
    <t>MID-54</t>
  </si>
  <si>
    <t>GTATCAGTAC</t>
  </si>
  <si>
    <t>MID-78</t>
  </si>
  <si>
    <t>TACATCTAGC</t>
  </si>
  <si>
    <t>AGGCTTAG</t>
  </si>
  <si>
    <t>MID-7</t>
  </si>
  <si>
    <t>CATCTCGTAC</t>
  </si>
  <si>
    <t>MID-31</t>
  </si>
  <si>
    <t>GACGTCATGA</t>
  </si>
  <si>
    <t>MID-55</t>
  </si>
  <si>
    <t>CTATACGTGA</t>
  </si>
  <si>
    <t>MID-79</t>
  </si>
  <si>
    <t>CTAGTGCTGT</t>
  </si>
  <si>
    <t>ATTAGACG</t>
  </si>
  <si>
    <t>MID-8</t>
  </si>
  <si>
    <t>AGCAGCGTGT</t>
  </si>
  <si>
    <t>MID-32</t>
  </si>
  <si>
    <t>ACATGACACG</t>
  </si>
  <si>
    <t>MID-56</t>
  </si>
  <si>
    <t>GCGATCGATG</t>
  </si>
  <si>
    <t>MID-80</t>
  </si>
  <si>
    <t>GCGACTGACT</t>
  </si>
  <si>
    <t>CGGAGAGA</t>
  </si>
  <si>
    <t>MID-9</t>
  </si>
  <si>
    <t>AGTATCGTCT</t>
  </si>
  <si>
    <t>MID-33</t>
  </si>
  <si>
    <t>TGACGCAGAC</t>
  </si>
  <si>
    <t>MID-57</t>
  </si>
  <si>
    <t>TGAGCAGCGT</t>
  </si>
  <si>
    <t>MID-81</t>
  </si>
  <si>
    <t>CACTCGACAC</t>
  </si>
  <si>
    <t>CTAGTCGA</t>
  </si>
  <si>
    <t>MID-10</t>
  </si>
  <si>
    <t>GATGTCACTA</t>
  </si>
  <si>
    <t>MID-34</t>
  </si>
  <si>
    <t>CAGTCGCTAT</t>
  </si>
  <si>
    <t>MID-58</t>
  </si>
  <si>
    <t>AGCGAGACAT</t>
  </si>
  <si>
    <t>MID-82</t>
  </si>
  <si>
    <t>GTACTGTAGC</t>
  </si>
  <si>
    <t>AGCTAGAA</t>
  </si>
  <si>
    <t>MID-11</t>
  </si>
  <si>
    <t>ATAGAGACAC</t>
  </si>
  <si>
    <t>MID-35</t>
  </si>
  <si>
    <t>CTATGTGACT</t>
  </si>
  <si>
    <t>MID-59</t>
  </si>
  <si>
    <t>GCGCTCATGA</t>
  </si>
  <si>
    <t>MID-83</t>
  </si>
  <si>
    <t>CATACTGTCG</t>
  </si>
  <si>
    <t>ACTCTAGG</t>
  </si>
  <si>
    <t>MID-12</t>
  </si>
  <si>
    <t>GTCGACTAGT</t>
  </si>
  <si>
    <t>MID-36</t>
  </si>
  <si>
    <t>ACGATAGTGA</t>
  </si>
  <si>
    <t>MID-60</t>
  </si>
  <si>
    <t>CGTGTGCACT</t>
  </si>
  <si>
    <t>MID-84</t>
  </si>
  <si>
    <t>GATACATCGA</t>
  </si>
  <si>
    <t>TCTTACGC</t>
  </si>
  <si>
    <t>MID-13</t>
  </si>
  <si>
    <t>TGACACGCTG</t>
  </si>
  <si>
    <t>MID-37</t>
  </si>
  <si>
    <t>CATGTCTCAT</t>
  </si>
  <si>
    <t>MID-61</t>
  </si>
  <si>
    <t>GAGCGAGTGT</t>
  </si>
  <si>
    <t>MID-85</t>
  </si>
  <si>
    <t>GCGATATGCA</t>
  </si>
  <si>
    <t>CTTAATAG</t>
  </si>
  <si>
    <t>MID-14</t>
  </si>
  <si>
    <t>CTGTGAGTCT</t>
  </si>
  <si>
    <t>MID-38</t>
  </si>
  <si>
    <t>CGTATGTGCT</t>
  </si>
  <si>
    <t>MID-62</t>
  </si>
  <si>
    <t>CTGCGTAGCA</t>
  </si>
  <si>
    <t>MID-86</t>
  </si>
  <si>
    <t>AGATAGAGCT</t>
  </si>
  <si>
    <t>ATAGCCTT</t>
  </si>
  <si>
    <t>MID-15</t>
  </si>
  <si>
    <t>CAGAGCATAC</t>
  </si>
  <si>
    <t>MID-39</t>
  </si>
  <si>
    <t>TACGCTCATC</t>
  </si>
  <si>
    <t>MID-63</t>
  </si>
  <si>
    <t>GTATAGCACG</t>
  </si>
  <si>
    <t>MID-87</t>
  </si>
  <si>
    <t>CATCGCTATC</t>
  </si>
  <si>
    <t>TAAGGCTC</t>
  </si>
  <si>
    <t>MID-16</t>
  </si>
  <si>
    <t>ACAGCGCACA</t>
  </si>
  <si>
    <t>MID-40</t>
  </si>
  <si>
    <t>TATACAGACG</t>
  </si>
  <si>
    <t>MID-64</t>
  </si>
  <si>
    <t>TCAGTCTATC</t>
  </si>
  <si>
    <t>MID-88</t>
  </si>
  <si>
    <t>CATACACGTC</t>
  </si>
  <si>
    <t>TCGCATAA</t>
  </si>
  <si>
    <t>MID-17</t>
  </si>
  <si>
    <t>GCATGCTATG</t>
  </si>
  <si>
    <t>MID-41</t>
  </si>
  <si>
    <t>AGAGTATCGC</t>
  </si>
  <si>
    <t>MID-65</t>
  </si>
  <si>
    <t>CGAGATGCTA</t>
  </si>
  <si>
    <t>MID-89</t>
  </si>
  <si>
    <t>ACGTAGCGTA</t>
  </si>
  <si>
    <t>MID-18</t>
  </si>
  <si>
    <t>GTATACGTAG</t>
  </si>
  <si>
    <t>MID-42</t>
  </si>
  <si>
    <t>ATAGCGATCG</t>
  </si>
  <si>
    <t>MID-66</t>
  </si>
  <si>
    <t>TAGCTATGAG</t>
  </si>
  <si>
    <t>MID-90</t>
  </si>
  <si>
    <t>GCTGTCTGTA</t>
  </si>
  <si>
    <t>MID-19</t>
  </si>
  <si>
    <t>CGCATACTAG</t>
  </si>
  <si>
    <t>MID-43</t>
  </si>
  <si>
    <t>CATCTCACAG</t>
  </si>
  <si>
    <t>MID-67</t>
  </si>
  <si>
    <t>GCTACTAGTG</t>
  </si>
  <si>
    <t>MID-91</t>
  </si>
  <si>
    <t>ATCGCGCGTA</t>
  </si>
  <si>
    <t>MID-20</t>
  </si>
  <si>
    <t>GTGTCTGATC</t>
  </si>
  <si>
    <t>MID-44</t>
  </si>
  <si>
    <t>TCTGCAGTAC</t>
  </si>
  <si>
    <t>MID-68</t>
  </si>
  <si>
    <t>GACACAGCTA</t>
  </si>
  <si>
    <t>MID-92</t>
  </si>
  <si>
    <t>GATCGTACAG</t>
  </si>
  <si>
    <t>MID-21</t>
  </si>
  <si>
    <t>ACAGCATCTC</t>
  </si>
  <si>
    <t>MID-45</t>
  </si>
  <si>
    <t>CAGAGTGTCG</t>
  </si>
  <si>
    <t>MID-69</t>
  </si>
  <si>
    <t>CTCTGAGCTA</t>
  </si>
  <si>
    <t>MID-93</t>
  </si>
  <si>
    <t>GTATAGCGTA</t>
  </si>
  <si>
    <t>MID-22</t>
  </si>
  <si>
    <t>CTGACTCAGT</t>
  </si>
  <si>
    <t>MID-46</t>
  </si>
  <si>
    <t>GTATCGAGTC</t>
  </si>
  <si>
    <t>MID-70</t>
  </si>
  <si>
    <t>CTATGTAGCA</t>
  </si>
  <si>
    <t>MID-94</t>
  </si>
  <si>
    <t>ACTCATCGAG</t>
  </si>
  <si>
    <t>MID-23</t>
  </si>
  <si>
    <t>TGCATCGCGT</t>
  </si>
  <si>
    <t>MID-47</t>
  </si>
  <si>
    <t>AGAGCAGAGT</t>
  </si>
  <si>
    <t>MID-71</t>
  </si>
  <si>
    <t>ACTCTACACT</t>
  </si>
  <si>
    <t>MID-95</t>
  </si>
  <si>
    <t>GAGATCTGTA</t>
  </si>
  <si>
    <t>MID-24</t>
  </si>
  <si>
    <t>TCTCTGATAG</t>
  </si>
  <si>
    <t>MID-48</t>
  </si>
  <si>
    <t>GACTCTGTAG</t>
  </si>
  <si>
    <t>MID-72</t>
  </si>
  <si>
    <t>TGCTAGACGT</t>
  </si>
  <si>
    <t>MID-96</t>
  </si>
  <si>
    <t>CGTGACTCTA</t>
  </si>
  <si>
    <t>TruSeq Ribo 6 base Adapter/Single Index</t>
  </si>
  <si>
    <t>MiSeq or NextSeq</t>
  </si>
  <si>
    <t>SMARTer</t>
  </si>
  <si>
    <t>Sequence for MiSeq</t>
  </si>
  <si>
    <t>Sequencer for NextSeq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</si>
  <si>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</si>
  <si>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</si>
  <si>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</si>
  <si>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</si>
  <si>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</si>
  <si>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</si>
  <si>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</si>
  <si>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</si>
  <si>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</si>
  <si>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</si>
  <si>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</si>
  <si>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</si>
  <si>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gDNA Box</t>
  </si>
  <si>
    <t>Int, Box</t>
  </si>
  <si>
    <t>FL Box</t>
  </si>
  <si>
    <t>Other</t>
  </si>
  <si>
    <t>RNA Box</t>
  </si>
  <si>
    <t>Package Conditions</t>
  </si>
  <si>
    <t>Ice pack-in tact</t>
  </si>
  <si>
    <t>Ice pack-melted</t>
  </si>
  <si>
    <t>Dry ice-intact</t>
  </si>
  <si>
    <t>Dry ice-evaporated</t>
  </si>
  <si>
    <t>Room Temperature</t>
  </si>
  <si>
    <t xml:space="preserve">Library Locations </t>
  </si>
  <si>
    <t>Qubit Conc. (ng/ul)</t>
  </si>
  <si>
    <t>Dilution factor</t>
  </si>
  <si>
    <t>Sample volume (ul)</t>
  </si>
  <si>
    <t>Freezer/Fridge Locations</t>
  </si>
  <si>
    <t>Sample Box name</t>
  </si>
  <si>
    <t>Ref0001_(4C-Post)</t>
  </si>
  <si>
    <t>Ref0002_(4C-Pre)</t>
  </si>
  <si>
    <r>
      <t>FR0007_(-20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C-Pre)</t>
    </r>
  </si>
  <si>
    <r>
      <t>FR0008_(-20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C-Post)</t>
    </r>
  </si>
  <si>
    <r>
      <t>FR0005_(-80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C)</t>
    </r>
  </si>
  <si>
    <t>Sample QC date</t>
  </si>
  <si>
    <t>RIN or DIN</t>
  </si>
  <si>
    <t>Library prep start date</t>
  </si>
  <si>
    <t>Total Volume (ul)</t>
  </si>
  <si>
    <t>H20 or EB to Add (uL)</t>
  </si>
  <si>
    <t>Total Qubit Concentration (ng/ul)</t>
  </si>
  <si>
    <t>RNA to Add (uL)</t>
  </si>
  <si>
    <t>Total RNA amount that used for LP (ng)</t>
  </si>
  <si>
    <t>ATCACGAT</t>
  </si>
  <si>
    <t>TTAGGCAT</t>
  </si>
  <si>
    <t>ACTTGAAT</t>
  </si>
  <si>
    <t>GATCAGAT</t>
  </si>
  <si>
    <t>TAGCTTAT</t>
  </si>
  <si>
    <t>GGCTACAT</t>
  </si>
  <si>
    <t>CGATGTAT</t>
  </si>
  <si>
    <t>TGACCAAT</t>
  </si>
  <si>
    <t>ACAGTGAT</t>
  </si>
  <si>
    <t>GCCAATAT</t>
  </si>
  <si>
    <t>CAGATCAT</t>
  </si>
  <si>
    <t>CTTGTAAT</t>
  </si>
  <si>
    <t>Admera Health
Total Qubit Concentration (ng/ul)</t>
  </si>
  <si>
    <t>Admera Health
Total Amount (ng)</t>
  </si>
  <si>
    <t>Admera Health
Sample ID</t>
  </si>
  <si>
    <t>Customer
Sample ID</t>
  </si>
  <si>
    <t>Customer Concentration (ng/ul)</t>
  </si>
  <si>
    <t>Operator Initial</t>
  </si>
  <si>
    <t>% per HiSeq Lane</t>
  </si>
  <si>
    <t>qPCR nM
Dilution</t>
  </si>
  <si>
    <t>qPCR nM
FL Stock</t>
  </si>
  <si>
    <t>Low TE to Add</t>
  </si>
  <si>
    <t>Final Library Qubit</t>
  </si>
  <si>
    <t>Final Library 
BP</t>
  </si>
  <si>
    <t>Final Library Pooling Info
Filled Out by EA/SC/SYC</t>
  </si>
  <si>
    <t xml:space="preserve">Diluted Library Locations </t>
  </si>
  <si>
    <t>Reads PE M</t>
  </si>
  <si>
    <t>Sequencing  Information 
Filled out By EA</t>
  </si>
  <si>
    <t>Final Library QC Information 
Filled out by LP Personnel</t>
  </si>
  <si>
    <t>Customer Sample Information
Filled out By EA</t>
  </si>
  <si>
    <t>uL DNA used for Dilution</t>
  </si>
  <si>
    <t>uL Low TE used for Dilution</t>
  </si>
  <si>
    <t>Final Library QPCR Information
Filled out by SC</t>
  </si>
  <si>
    <t>Final Library Locations
Filled Out by LP Personnel</t>
  </si>
  <si>
    <t>Sample #</t>
  </si>
  <si>
    <t>Final Library 
nM</t>
  </si>
  <si>
    <t>Y = total ng
*based on row E* usually 1ng for NexteraXt, 50nng</t>
  </si>
  <si>
    <t>Z= NexteraXT 5uL total volume - 17.5uL MM</t>
  </si>
  <si>
    <t>DNA for Dilution</t>
  </si>
  <si>
    <t>H2O For Dilution</t>
  </si>
  <si>
    <t>PCR Cycles</t>
  </si>
  <si>
    <t>Sample Volume</t>
  </si>
  <si>
    <t>nM to Normalzie To</t>
  </si>
  <si>
    <t>uL to FL to Use</t>
  </si>
  <si>
    <t>uL Total Volume - sum(uL each samples in pool)</t>
  </si>
  <si>
    <t>AGGCTATA</t>
  </si>
  <si>
    <t>GCCTCTAT</t>
  </si>
  <si>
    <t>AGGATAGG</t>
  </si>
  <si>
    <t>TCAGAGCC</t>
  </si>
  <si>
    <t>TAAGATTA</t>
  </si>
  <si>
    <t>ACGTCCTG</t>
  </si>
  <si>
    <t>GTCAGTAC</t>
  </si>
  <si>
    <t>CTTCGCCT</t>
  </si>
  <si>
    <t>7XX Barcode</t>
  </si>
  <si>
    <t>7XX Barcode Seq</t>
  </si>
  <si>
    <t>5XX Barcode</t>
  </si>
  <si>
    <t>5XX Barcode Seq</t>
  </si>
  <si>
    <t>Shipped/
Sequenced</t>
  </si>
  <si>
    <t>AHID</t>
  </si>
  <si>
    <t>HiSeq Seq</t>
  </si>
  <si>
    <t>AH01</t>
  </si>
  <si>
    <t>AACGTGAT</t>
  </si>
  <si>
    <t>AH25</t>
  </si>
  <si>
    <t>ACTATGCA</t>
  </si>
  <si>
    <t>AH02</t>
  </si>
  <si>
    <t>AAACATCG</t>
  </si>
  <si>
    <t>AH26</t>
  </si>
  <si>
    <t>AGAGTCAA</t>
  </si>
  <si>
    <t>AH03</t>
  </si>
  <si>
    <t>ATGCCTAA</t>
  </si>
  <si>
    <t>AH27</t>
  </si>
  <si>
    <t>AGATCGCA</t>
  </si>
  <si>
    <t>AH04</t>
  </si>
  <si>
    <t>AGTGGTCA</t>
  </si>
  <si>
    <t>AH28</t>
  </si>
  <si>
    <t>AGCAGGAA</t>
  </si>
  <si>
    <t>AH05</t>
  </si>
  <si>
    <t>ACCACTGT</t>
  </si>
  <si>
    <t>AH29</t>
  </si>
  <si>
    <t>AGTCACTA</t>
  </si>
  <si>
    <t>AH06</t>
  </si>
  <si>
    <t>ACATTGGC</t>
  </si>
  <si>
    <t>AH30</t>
  </si>
  <si>
    <t>CGGATTGC</t>
  </si>
  <si>
    <t>AH07</t>
  </si>
  <si>
    <t>CAGATCTG</t>
  </si>
  <si>
    <t>AH31</t>
  </si>
  <si>
    <t>ATCCTGTA</t>
  </si>
  <si>
    <t>AH08</t>
  </si>
  <si>
    <t>CCTCTATC</t>
  </si>
  <si>
    <t>AH32</t>
  </si>
  <si>
    <t>ATTGAGGA</t>
  </si>
  <si>
    <t>AH09</t>
  </si>
  <si>
    <t>CATCAAGT</t>
  </si>
  <si>
    <t>AH33</t>
  </si>
  <si>
    <t>CAACCACA</t>
  </si>
  <si>
    <t>AH10</t>
  </si>
  <si>
    <t>CGCTGATC</t>
  </si>
  <si>
    <t>AH34</t>
  </si>
  <si>
    <t>GACTAGTA</t>
  </si>
  <si>
    <t>AH11</t>
  </si>
  <si>
    <t>ACAAGCTA</t>
  </si>
  <si>
    <t>AH35</t>
  </si>
  <si>
    <t>CAATGGAA</t>
  </si>
  <si>
    <t>AH12</t>
  </si>
  <si>
    <t>CTGTAGCC</t>
  </si>
  <si>
    <t>AH36</t>
  </si>
  <si>
    <t>CACTTCGA</t>
  </si>
  <si>
    <t>AH13</t>
  </si>
  <si>
    <t>AGTACAAG</t>
  </si>
  <si>
    <t>AH37</t>
  </si>
  <si>
    <t>CAGCGTTA</t>
  </si>
  <si>
    <t>AH14</t>
  </si>
  <si>
    <t>AACAACCA</t>
  </si>
  <si>
    <t>AH38</t>
  </si>
  <si>
    <t>CATACCAA</t>
  </si>
  <si>
    <t>AH15</t>
  </si>
  <si>
    <t>AACCGAGA</t>
  </si>
  <si>
    <t>AH39</t>
  </si>
  <si>
    <t>CCAGTTCA</t>
  </si>
  <si>
    <t>AH16</t>
  </si>
  <si>
    <t>AACGCTTA</t>
  </si>
  <si>
    <t>AH40</t>
  </si>
  <si>
    <t>CCGAAGTA</t>
  </si>
  <si>
    <t>AH17</t>
  </si>
  <si>
    <t>AAGACGGA</t>
  </si>
  <si>
    <t>AH41</t>
  </si>
  <si>
    <t>CTAAGGTC</t>
  </si>
  <si>
    <t>AH18</t>
  </si>
  <si>
    <t>AAGGTACA</t>
  </si>
  <si>
    <t>AH42</t>
  </si>
  <si>
    <t>CCGTGAGA</t>
  </si>
  <si>
    <t>AH19</t>
  </si>
  <si>
    <t>CGACACAC</t>
  </si>
  <si>
    <t>AH43</t>
  </si>
  <si>
    <t>CCTCCTGA</t>
  </si>
  <si>
    <t>AH20</t>
  </si>
  <si>
    <t>ACACAGAA</t>
  </si>
  <si>
    <t>AH44</t>
  </si>
  <si>
    <t>CGAACTTA</t>
  </si>
  <si>
    <t>AH21</t>
  </si>
  <si>
    <t>ACAGCAGA</t>
  </si>
  <si>
    <t>AH45</t>
  </si>
  <si>
    <t>CGACTGGA</t>
  </si>
  <si>
    <t>AH22</t>
  </si>
  <si>
    <t>ACCTCCAA</t>
  </si>
  <si>
    <t>AH46</t>
  </si>
  <si>
    <t>CGCATACA</t>
  </si>
  <si>
    <t>AH23</t>
  </si>
  <si>
    <t>ACGCTCGA</t>
  </si>
  <si>
    <t>AH47</t>
  </si>
  <si>
    <t>CTCAATGA</t>
  </si>
  <si>
    <t>AH24</t>
  </si>
  <si>
    <t>ACGTATCA</t>
  </si>
  <si>
    <t>AH48</t>
  </si>
  <si>
    <t>CTGAGCCA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</si>
  <si>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</si>
  <si>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</si>
  <si>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</si>
  <si>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</si>
  <si>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</si>
  <si>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</si>
  <si>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</si>
  <si>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</si>
  <si>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</si>
  <si>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</si>
  <si>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</si>
  <si>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</si>
  <si>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</si>
  <si>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</si>
  <si>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</si>
  <si>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</si>
  <si>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</si>
  <si>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</si>
  <si>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</si>
  <si>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</si>
  <si>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</si>
  <si>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</si>
  <si>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</si>
  <si>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</si>
  <si>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</si>
  <si>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</si>
  <si>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</si>
  <si>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</si>
  <si>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</si>
  <si>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</si>
  <si>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</si>
  <si>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</si>
  <si>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</si>
  <si>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</si>
  <si>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</si>
  <si>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</si>
  <si>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</si>
  <si>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</si>
  <si>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</si>
  <si>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</si>
  <si>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</si>
  <si>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</si>
  <si>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</si>
  <si>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</si>
  <si>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</si>
  <si>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</si>
  <si>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</si>
  <si>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</si>
  <si>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</si>
  <si>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</si>
  <si>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</si>
  <si>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</si>
  <si>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</si>
  <si>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</si>
  <si>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</si>
  <si>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</si>
  <si>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</si>
  <si>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</si>
  <si>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</si>
  <si>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</si>
  <si>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</si>
  <si>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</si>
  <si>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</si>
  <si>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</si>
  <si>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</si>
  <si>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</si>
  <si>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</si>
  <si>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</si>
  <si>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</si>
  <si>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</si>
  <si>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</si>
  <si>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</si>
  <si>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nM</t>
  </si>
  <si>
    <t>MiSeq Nano</t>
  </si>
  <si>
    <t>PCR cycles</t>
  </si>
  <si>
    <t>Fragmentation time (min)</t>
  </si>
  <si>
    <t>Library prep Date</t>
  </si>
  <si>
    <t>operator Initial</t>
  </si>
  <si>
    <t xml:space="preserve">PCR cycles </t>
  </si>
  <si>
    <t>Total Qubit concentration (ng/ul)</t>
  </si>
  <si>
    <t>Well position</t>
  </si>
  <si>
    <t>7XX Collision</t>
  </si>
  <si>
    <t>AH49</t>
  </si>
  <si>
    <t>CTGGCATA</t>
  </si>
  <si>
    <t>AH73</t>
  </si>
  <si>
    <t>TGGTGGTA</t>
  </si>
  <si>
    <t>AH50</t>
  </si>
  <si>
    <t>GAATCTGA</t>
  </si>
  <si>
    <t>AH74</t>
  </si>
  <si>
    <t>GAGTTAGC</t>
  </si>
  <si>
    <t>AH51</t>
  </si>
  <si>
    <t>CAAGACTA</t>
  </si>
  <si>
    <t>AH75</t>
  </si>
  <si>
    <t>TTCACGCA</t>
  </si>
  <si>
    <t>AH52</t>
  </si>
  <si>
    <t>GAACAGGC</t>
  </si>
  <si>
    <t>AH76</t>
  </si>
  <si>
    <t>AACTCACC</t>
  </si>
  <si>
    <t>AH53</t>
  </si>
  <si>
    <t>GAGCTGAA</t>
  </si>
  <si>
    <t>AH77</t>
  </si>
  <si>
    <t>AAGAGATC</t>
  </si>
  <si>
    <t>AH54</t>
  </si>
  <si>
    <t>GATAGACA</t>
  </si>
  <si>
    <t>AH78</t>
  </si>
  <si>
    <t>AAGGACAC</t>
  </si>
  <si>
    <t>AH55</t>
  </si>
  <si>
    <t>GCCACATA</t>
  </si>
  <si>
    <t>AH79</t>
  </si>
  <si>
    <t>AATCCGTC</t>
  </si>
  <si>
    <t>AH56</t>
  </si>
  <si>
    <t>GCGAGTAA</t>
  </si>
  <si>
    <t>AH80</t>
  </si>
  <si>
    <t>AATGTTGC</t>
  </si>
  <si>
    <t>AH57</t>
  </si>
  <si>
    <t>GCTAACGA</t>
  </si>
  <si>
    <t>AH81</t>
  </si>
  <si>
    <t>ACACGACC</t>
  </si>
  <si>
    <t>AH58</t>
  </si>
  <si>
    <t>GCTCGGTA</t>
  </si>
  <si>
    <t>AH82</t>
  </si>
  <si>
    <t>ACAGATTC</t>
  </si>
  <si>
    <t>AH59</t>
  </si>
  <si>
    <t>GGAGAACA</t>
  </si>
  <si>
    <t>AH83</t>
  </si>
  <si>
    <t>AGATGTAC</t>
  </si>
  <si>
    <t>AH60</t>
  </si>
  <si>
    <t>GGTGCGAA</t>
  </si>
  <si>
    <t>AH84</t>
  </si>
  <si>
    <t>AGCACCTC</t>
  </si>
  <si>
    <t>AH61</t>
  </si>
  <si>
    <t>GTACGCAA</t>
  </si>
  <si>
    <t>AH85</t>
  </si>
  <si>
    <t>GATGAATC</t>
  </si>
  <si>
    <t>AH62</t>
  </si>
  <si>
    <t>GTCGTAGA</t>
  </si>
  <si>
    <t>AH86</t>
  </si>
  <si>
    <t>AGCCATGC</t>
  </si>
  <si>
    <t>AH63</t>
  </si>
  <si>
    <t>GACAGTGC</t>
  </si>
  <si>
    <t>AH87</t>
  </si>
  <si>
    <t>AGGCTAAC</t>
  </si>
  <si>
    <t>AH64</t>
  </si>
  <si>
    <t>GTCTGTCA</t>
  </si>
  <si>
    <t>AH88</t>
  </si>
  <si>
    <t>ATAGCGAC</t>
  </si>
  <si>
    <t>AH65</t>
  </si>
  <si>
    <t>GTGTTCTA</t>
  </si>
  <si>
    <t>AH89</t>
  </si>
  <si>
    <t>ATCATTCC</t>
  </si>
  <si>
    <t>AH66</t>
  </si>
  <si>
    <t>TAGGATGA</t>
  </si>
  <si>
    <t>AH90</t>
  </si>
  <si>
    <t>ATTGGCTC</t>
  </si>
  <si>
    <t>AH67</t>
  </si>
  <si>
    <t>TATCAGCA</t>
  </si>
  <si>
    <t>AH91</t>
  </si>
  <si>
    <t>CAAGGAGC</t>
  </si>
  <si>
    <t>AH68</t>
  </si>
  <si>
    <t>TCCGTCTA</t>
  </si>
  <si>
    <t>AH92</t>
  </si>
  <si>
    <t>CACCTTAC</t>
  </si>
  <si>
    <t>AH69</t>
  </si>
  <si>
    <t>TCTTCACA</t>
  </si>
  <si>
    <t>AH93</t>
  </si>
  <si>
    <t>CCATCCTC</t>
  </si>
  <si>
    <t>AH70</t>
  </si>
  <si>
    <t>TGAAGAGA</t>
  </si>
  <si>
    <t>AH94</t>
  </si>
  <si>
    <t>CCGACAAC</t>
  </si>
  <si>
    <t>AH71</t>
  </si>
  <si>
    <t>TGGAACAA</t>
  </si>
  <si>
    <t>AH95</t>
  </si>
  <si>
    <t>CCTAATCC</t>
  </si>
  <si>
    <t>AH72</t>
  </si>
  <si>
    <t>TGGCTTCA</t>
  </si>
  <si>
    <t>AH96</t>
  </si>
  <si>
    <t>GCCAAGAC</t>
  </si>
  <si>
    <t>SI 5</t>
  </si>
  <si>
    <t>D705, N712</t>
  </si>
  <si>
    <t>AH Single Index</t>
  </si>
  <si>
    <t>Collisions</t>
  </si>
  <si>
    <t>Collision</t>
  </si>
  <si>
    <t>AH20, D705</t>
  </si>
  <si>
    <t>AH43, AH57</t>
  </si>
  <si>
    <t>SI 15</t>
  </si>
  <si>
    <t>AH34, AH40</t>
  </si>
  <si>
    <t>AH95, AH96</t>
  </si>
  <si>
    <t>A</t>
  </si>
  <si>
    <t>GCATG</t>
  </si>
  <si>
    <t>AACCA</t>
  </si>
  <si>
    <t>CGATC</t>
  </si>
  <si>
    <t>TCGAT</t>
  </si>
  <si>
    <t>TGCAT</t>
  </si>
  <si>
    <t>CAACC</t>
  </si>
  <si>
    <t>GGTTG</t>
  </si>
  <si>
    <t>AAGGA</t>
  </si>
  <si>
    <t>AGCTA</t>
  </si>
  <si>
    <t>ACACA</t>
  </si>
  <si>
    <t>AATTA</t>
  </si>
  <si>
    <t>ACGGT</t>
  </si>
  <si>
    <t>B</t>
  </si>
  <si>
    <t>ACTGG</t>
  </si>
  <si>
    <t>ACTTC</t>
  </si>
  <si>
    <t>ATACG</t>
  </si>
  <si>
    <t>ATGAG</t>
  </si>
  <si>
    <t>ATTAC</t>
  </si>
  <si>
    <t>CATAT</t>
  </si>
  <si>
    <t>CGAAT</t>
  </si>
  <si>
    <t>CGGCT</t>
  </si>
  <si>
    <t>CGGTA</t>
  </si>
  <si>
    <t>CGTAC</t>
  </si>
  <si>
    <t>CGTCG</t>
  </si>
  <si>
    <t>CTGAT</t>
  </si>
  <si>
    <t>C</t>
  </si>
  <si>
    <t>D</t>
  </si>
  <si>
    <t>E</t>
  </si>
  <si>
    <t>F</t>
  </si>
  <si>
    <t>G</t>
  </si>
  <si>
    <t>H</t>
  </si>
  <si>
    <t>Sample Type</t>
  </si>
  <si>
    <t>Extraction kit</t>
  </si>
  <si>
    <t>Extraction Operator</t>
  </si>
  <si>
    <t>1st PCR cycles</t>
  </si>
  <si>
    <t>2nd PCR cycles</t>
  </si>
  <si>
    <t>Library prep date</t>
  </si>
  <si>
    <t>Qubit DNA concentration (ng/ul)</t>
  </si>
  <si>
    <t>FL storage box</t>
  </si>
  <si>
    <t>FL storage Freezer #</t>
  </si>
  <si>
    <t>Library Prep Date</t>
  </si>
  <si>
    <t>Libraray Preparation Date</t>
  </si>
  <si>
    <t>Well</t>
  </si>
  <si>
    <t>TrueSeq HT &amp; TruSeq Exome Library Prep Kit; SMARTer Stranded Kit, Smarter small RNA,PCR-free plate</t>
  </si>
  <si>
    <t>MMDDYY Barcodes</t>
  </si>
  <si>
    <t>NS</t>
  </si>
  <si>
    <t>5SI</t>
  </si>
  <si>
    <t>AGATCTCG</t>
  </si>
  <si>
    <t>MS</t>
  </si>
  <si>
    <t>TCTTTCCC</t>
  </si>
  <si>
    <t>collision</t>
  </si>
  <si>
    <t>ScriptSeq</t>
  </si>
  <si>
    <t>Barcode</t>
  </si>
  <si>
    <t>IndexSeq</t>
  </si>
  <si>
    <t>A041</t>
  </si>
  <si>
    <t>AGTCAAAT</t>
  </si>
  <si>
    <t>AGTTCCAT</t>
  </si>
  <si>
    <t>CCGTCCAT</t>
  </si>
  <si>
    <t>A018</t>
  </si>
  <si>
    <t>GTCCGCAT</t>
  </si>
  <si>
    <t>A019</t>
  </si>
  <si>
    <t>GTGAAAAT</t>
  </si>
  <si>
    <t>A020</t>
  </si>
  <si>
    <t>GTGGCCAT</t>
  </si>
  <si>
    <t>A022</t>
  </si>
  <si>
    <t>CGTACGAT</t>
  </si>
  <si>
    <t>A023</t>
  </si>
  <si>
    <t>A025</t>
  </si>
  <si>
    <t>A027</t>
  </si>
  <si>
    <t>ATTCCTAT</t>
  </si>
  <si>
    <t>A029</t>
  </si>
  <si>
    <t>CAACTAAT</t>
  </si>
  <si>
    <t>A030</t>
  </si>
  <si>
    <t>CACCGGAT</t>
  </si>
  <si>
    <t>A031</t>
  </si>
  <si>
    <t>CACGATAT</t>
  </si>
  <si>
    <t>A033</t>
  </si>
  <si>
    <t>CAGGCGAT</t>
  </si>
  <si>
    <t>A035</t>
  </si>
  <si>
    <t>CATTTTAT</t>
  </si>
  <si>
    <t>A037</t>
  </si>
  <si>
    <t>CGGAATAT</t>
  </si>
  <si>
    <t>A039</t>
  </si>
  <si>
    <t>CTATACAT</t>
  </si>
  <si>
    <t>GACGACAT</t>
  </si>
  <si>
    <t>A031, A011</t>
  </si>
  <si>
    <t>A043</t>
  </si>
  <si>
    <t>TACAGCAT</t>
  </si>
  <si>
    <t>A045</t>
  </si>
  <si>
    <t>TCATTCAT</t>
  </si>
  <si>
    <t>A046</t>
  </si>
  <si>
    <t>TCCCGAAT</t>
  </si>
  <si>
    <t>A047</t>
  </si>
  <si>
    <t>TCGAAGAT</t>
  </si>
  <si>
    <t>NEBNEXT SMALL RNA</t>
  </si>
  <si>
    <t>5SM</t>
  </si>
  <si>
    <t>GTTCAGAG</t>
  </si>
  <si>
    <t>ATGTCAAT</t>
  </si>
  <si>
    <t>GTAGAGAT</t>
  </si>
  <si>
    <t>N712, AD13</t>
  </si>
  <si>
    <t>GTTTCGAT</t>
  </si>
  <si>
    <t>GGTAGCAT</t>
  </si>
  <si>
    <t>ATGAGCAT</t>
  </si>
  <si>
    <t>CAAAAGAT</t>
  </si>
  <si>
    <t>CACTCAAT</t>
  </si>
  <si>
    <t>CATGGCAT</t>
  </si>
  <si>
    <t>CCAACAAT</t>
  </si>
  <si>
    <t>CTAGCTAT</t>
  </si>
  <si>
    <t>CTCAGAAT</t>
  </si>
  <si>
    <t>TAATCGAT</t>
  </si>
  <si>
    <t>TATAATAT</t>
  </si>
  <si>
    <t>TCGGCAAT</t>
  </si>
  <si>
    <t>AH32,SI 17</t>
  </si>
  <si>
    <t>AH11, AH29, AH 58</t>
  </si>
  <si>
    <t>SI 26</t>
  </si>
  <si>
    <t>N727, AH10,SI 32</t>
  </si>
  <si>
    <t>N703, AH20, AH32</t>
  </si>
  <si>
    <t>AH44, N702</t>
  </si>
  <si>
    <t>SI 41</t>
  </si>
  <si>
    <t>SI11, SI31</t>
  </si>
  <si>
    <t>NOTES</t>
  </si>
  <si>
    <t>Data Transfer Method</t>
  </si>
  <si>
    <t>FTP</t>
  </si>
  <si>
    <t>Basespace</t>
  </si>
  <si>
    <t>Genohub</t>
  </si>
  <si>
    <t>Science Exchange</t>
  </si>
  <si>
    <t>Custom Service</t>
  </si>
  <si>
    <t>Backoffice</t>
  </si>
  <si>
    <t>AllSeq</t>
  </si>
  <si>
    <t>Quote_Platform*</t>
  </si>
  <si>
    <t>Admera Health Pool ID</t>
  </si>
  <si>
    <r>
      <t xml:space="preserve">Special note for extraction: </t>
    </r>
    <r>
      <rPr>
        <i/>
        <sz val="11"/>
        <color theme="0" tint="-0.34998626667073579"/>
        <rFont val="Calibri"/>
        <family val="2"/>
        <scheme val="minor"/>
      </rPr>
      <t>volume used for extraction, all materials consumed?</t>
    </r>
  </si>
  <si>
    <t>ddRAD</t>
  </si>
  <si>
    <t>265~288</t>
    <phoneticPr fontId="1" type="noConversion"/>
  </si>
  <si>
    <t>241~264</t>
    <phoneticPr fontId="1" type="noConversion"/>
  </si>
  <si>
    <t>217~240</t>
    <phoneticPr fontId="1" type="noConversion"/>
  </si>
  <si>
    <t>193~216</t>
    <phoneticPr fontId="1" type="noConversion"/>
  </si>
  <si>
    <t>169~192</t>
    <phoneticPr fontId="1" type="noConversion"/>
  </si>
  <si>
    <t>145~168</t>
    <phoneticPr fontId="1" type="noConversion"/>
  </si>
  <si>
    <t>121~144</t>
    <phoneticPr fontId="1" type="noConversion"/>
  </si>
  <si>
    <t>121~126</t>
  </si>
  <si>
    <t>97~120</t>
    <phoneticPr fontId="1" type="noConversion"/>
  </si>
  <si>
    <t>73~96</t>
    <phoneticPr fontId="1" type="noConversion"/>
  </si>
  <si>
    <t>49~72</t>
    <phoneticPr fontId="1" type="noConversion"/>
  </si>
  <si>
    <t>25~48</t>
    <phoneticPr fontId="1" type="noConversion"/>
  </si>
  <si>
    <t>1~24</t>
    <phoneticPr fontId="1" type="noConversion"/>
  </si>
  <si>
    <t>Post-PCR
Pool
Location</t>
    <phoneticPr fontId="1" type="noConversion"/>
  </si>
  <si>
    <t>Post-PCR
pool conc.
(ng/ul)</t>
    <phoneticPr fontId="1" type="noConversion"/>
  </si>
  <si>
    <t>Total Amount
for PCR
(ng)</t>
    <phoneticPr fontId="1" type="noConversion"/>
  </si>
  <si>
    <t>Pool to Add 
for PCR
(ul)</t>
    <phoneticPr fontId="1" type="noConversion"/>
  </si>
  <si>
    <t>Pre-PCR 
pool con. 
(ng/ul)</t>
    <phoneticPr fontId="1" type="noConversion"/>
  </si>
  <si>
    <t>Pool ID</t>
    <phoneticPr fontId="1" type="noConversion"/>
  </si>
  <si>
    <t>7XX
Barcode</t>
    <phoneticPr fontId="1" type="noConversion"/>
  </si>
  <si>
    <t>Sample 
number</t>
    <phoneticPr fontId="1" type="noConversion"/>
  </si>
  <si>
    <t>Pool #</t>
    <phoneticPr fontId="1" type="noConversion"/>
  </si>
  <si>
    <t>DNA to Add for
Equal Pool
(ul)</t>
    <phoneticPr fontId="1" type="noConversion"/>
  </si>
  <si>
    <t>%</t>
    <phoneticPr fontId="1" type="noConversion"/>
  </si>
  <si>
    <t>PF</t>
    <phoneticPr fontId="1" type="noConversion"/>
  </si>
  <si>
    <t>Shipped/
Sequenced</t>
    <phoneticPr fontId="1" type="noConversion"/>
  </si>
  <si>
    <t>5BP Barcode</t>
    <phoneticPr fontId="1" type="noConversion"/>
  </si>
  <si>
    <t>7XX Collision</t>
    <phoneticPr fontId="1" type="noConversion"/>
  </si>
  <si>
    <t>8BP
 Barcode Seq</t>
    <phoneticPr fontId="1" type="noConversion"/>
  </si>
  <si>
    <t>7XX Barcode</t>
    <phoneticPr fontId="1" type="noConversion"/>
  </si>
  <si>
    <t>Sample
#</t>
  </si>
  <si>
    <t>Well 
Position</t>
    <phoneticPr fontId="1" type="noConversion"/>
  </si>
  <si>
    <t>Plate</t>
    <phoneticPr fontId="1" type="noConversion"/>
  </si>
  <si>
    <t>Seq</t>
  </si>
  <si>
    <t>#</t>
  </si>
  <si>
    <t>Total 
ng
Used</t>
  </si>
  <si>
    <t>H2O to Add 
(ul)</t>
  </si>
  <si>
    <t>DNA to Add
 (ul)</t>
  </si>
  <si>
    <t>H2O dil</t>
  </si>
  <si>
    <t>DNA dil</t>
  </si>
  <si>
    <t>DNA 
conc.
(ng/ul)</t>
  </si>
  <si>
    <t>DNA volume
(ul)</t>
  </si>
  <si>
    <t>Customer 
Sample Name</t>
  </si>
  <si>
    <t>Admera Health
 ID</t>
  </si>
  <si>
    <t>2nd Equal Pool    Date: XX/XX/XXXX   Operator:</t>
  </si>
  <si>
    <t>1st Nano Pool   Date: XX/XX/XXXX   Operator:</t>
  </si>
  <si>
    <t>NIaIII-MIuCI 
EcoRI-MspI
SphI-EcoRI</t>
  </si>
  <si>
    <t>Enzyme:</t>
  </si>
  <si>
    <t>Normalize Samples   Date: 9/6/2019   Operator: TL</t>
  </si>
  <si>
    <t>Cell Volume (uL)</t>
  </si>
  <si>
    <t>cDNA D5000 concentration (ng/uL)</t>
  </si>
  <si>
    <t>Volume used for LP (uL)</t>
  </si>
  <si>
    <t>Total cDNA used for LP (ng)</t>
  </si>
  <si>
    <t>NOTE</t>
  </si>
  <si>
    <t>Ligation Adaptor Dilution</t>
  </si>
  <si>
    <t>Prehyb box name</t>
  </si>
  <si>
    <t>PREHYB LIBRARY PREPARATION</t>
  </si>
  <si>
    <t>Bead Clean Up Ratio</t>
  </si>
  <si>
    <t>PreHyb DNA Qubit</t>
  </si>
  <si>
    <t>PreHyb DNA Size (bp)</t>
  </si>
  <si>
    <t>Miseq Adjusted Conc</t>
  </si>
  <si>
    <t>ng/uL</t>
  </si>
  <si>
    <t>16S/ITS MetaVx LIBRARY PREP</t>
  </si>
  <si>
    <r>
      <t xml:space="preserve">16S/ITS MetaVx LIBRARY PREP - </t>
    </r>
    <r>
      <rPr>
        <b/>
        <sz val="14"/>
        <color rgb="FFFF0000"/>
        <rFont val="Calibri"/>
        <family val="2"/>
        <scheme val="minor"/>
      </rPr>
      <t>BLOOD EXTRACTED DNA</t>
    </r>
  </si>
  <si>
    <t>Sample number</t>
  </si>
  <si>
    <t>cDNA amplification cycle number</t>
  </si>
  <si>
    <t>Total Number of Cell Loaded</t>
  </si>
  <si>
    <t>Volume of Cell Loaded (uL)</t>
  </si>
  <si>
    <r>
      <t xml:space="preserve">10X LIBRARY PREPARATION: </t>
    </r>
    <r>
      <rPr>
        <b/>
        <sz val="12"/>
        <color rgb="FFFF0000"/>
        <rFont val="Calibri"/>
        <family val="2"/>
        <scheme val="minor"/>
      </rPr>
      <t>(Kit name)</t>
    </r>
  </si>
  <si>
    <r>
      <t xml:space="preserve">RNASeq LIBRARY PREPARATION: </t>
    </r>
    <r>
      <rPr>
        <b/>
        <sz val="12"/>
        <color rgb="FFFF0000"/>
        <rFont val="Calibri"/>
        <family val="2"/>
        <scheme val="minor"/>
      </rPr>
      <t>(Kit name)</t>
    </r>
  </si>
  <si>
    <t>3' Ligation Adaptor Dilution</t>
  </si>
  <si>
    <t>5' Ligation Adaptor Dilution</t>
  </si>
  <si>
    <t>Final Cleanup Bead Ratio</t>
  </si>
  <si>
    <t>Prehyb Bead Clean Up Ratio</t>
  </si>
  <si>
    <t>DNA to Add (uL)</t>
  </si>
  <si>
    <t>Total DNA amount that used for LP (ng)</t>
  </si>
  <si>
    <t>1st Cleanup Bead Ratio</t>
  </si>
  <si>
    <t>2nd Cleanup Bead Ratio</t>
  </si>
  <si>
    <t>Ligation Time</t>
  </si>
  <si>
    <t>Well Number</t>
  </si>
  <si>
    <t>Nextera XT LIBRARY PREPARATION</t>
  </si>
  <si>
    <t>Fragmentation Protocol</t>
  </si>
  <si>
    <r>
      <t xml:space="preserve">Whole Genome Sequencing/CHIPseq LIBRARY PREPARATION: </t>
    </r>
    <r>
      <rPr>
        <b/>
        <sz val="12"/>
        <color rgb="FFFF0000"/>
        <rFont val="Calibri"/>
        <family val="2"/>
        <scheme val="minor"/>
      </rPr>
      <t>(Kit name)</t>
    </r>
  </si>
  <si>
    <r>
      <t xml:space="preserve">Whole Genome Bisulfite Sequencing LIBRARY PREPARATION: </t>
    </r>
    <r>
      <rPr>
        <b/>
        <sz val="12"/>
        <color rgb="FFFF0000"/>
        <rFont val="Calibri"/>
        <family val="2"/>
        <scheme val="minor"/>
      </rPr>
      <t>(Kit name)</t>
    </r>
  </si>
  <si>
    <t>Total DNA used for Bisulfite Converstion (ng)</t>
  </si>
  <si>
    <t>Total Converted ssDNA used for LP (ng)</t>
  </si>
  <si>
    <t>ssDNA storage Box name</t>
  </si>
  <si>
    <t>Select One</t>
  </si>
  <si>
    <t>SI-GA-A1</t>
  </si>
  <si>
    <t>GGTTTACT</t>
  </si>
  <si>
    <t>CTAAACGG</t>
  </si>
  <si>
    <t>TCGGCGTC</t>
  </si>
  <si>
    <t>AACCGTAA</t>
  </si>
  <si>
    <t>1A</t>
  </si>
  <si>
    <t>SI-GA-A1-1</t>
  </si>
  <si>
    <t>SI-GA-B1</t>
  </si>
  <si>
    <t>GTAATCTT</t>
  </si>
  <si>
    <t>TCCGGAAG</t>
  </si>
  <si>
    <t>AGTTCGGC</t>
  </si>
  <si>
    <t>CAGCATCA</t>
  </si>
  <si>
    <t>1B</t>
  </si>
  <si>
    <t>SI-GA-A1-2</t>
  </si>
  <si>
    <t>SI-GA-B1-1</t>
  </si>
  <si>
    <t>SI-GA-C1</t>
  </si>
  <si>
    <t>CCACTTAT</t>
  </si>
  <si>
    <t>AACTGGCG</t>
  </si>
  <si>
    <t>TTGGCATA</t>
  </si>
  <si>
    <t>GGTAACGC</t>
  </si>
  <si>
    <t>1C</t>
  </si>
  <si>
    <t>SI-GA-A1-3</t>
  </si>
  <si>
    <t>SI-GA-C1-1</t>
  </si>
  <si>
    <t>7068,7082,29</t>
  </si>
  <si>
    <t>SI-GA-D1</t>
  </si>
  <si>
    <t>CACTCGGA</t>
  </si>
  <si>
    <t>GCTGAATT</t>
  </si>
  <si>
    <t>TGAAGTAC</t>
  </si>
  <si>
    <t>ATGCTCCG</t>
  </si>
  <si>
    <t>1D</t>
  </si>
  <si>
    <t>SI-GA-A1-4</t>
  </si>
  <si>
    <t xml:space="preserve">7070,C04 </t>
  </si>
  <si>
    <t>SI-GA-D1-1</t>
  </si>
  <si>
    <t xml:space="preserve">D01 ,G07 ,E12 </t>
  </si>
  <si>
    <t>SI-GA-E1</t>
  </si>
  <si>
    <t>TGGTAAAC</t>
  </si>
  <si>
    <t>GAAAGGGT</t>
  </si>
  <si>
    <t>ACTGCTCG</t>
  </si>
  <si>
    <t>CTCCTCTA</t>
  </si>
  <si>
    <t>7A</t>
  </si>
  <si>
    <t>SI-GA-E1-1</t>
  </si>
  <si>
    <t>SI-GA-F1</t>
  </si>
  <si>
    <t>GTTGCAGC</t>
  </si>
  <si>
    <t>TGGAATTA</t>
  </si>
  <si>
    <t>CAATGGAG</t>
  </si>
  <si>
    <t>ACCCTCCT</t>
  </si>
  <si>
    <t>7B</t>
  </si>
  <si>
    <t>SI-GA-B1-2</t>
  </si>
  <si>
    <t>D702,7009,46</t>
  </si>
  <si>
    <t>SI-GA-F1-1</t>
  </si>
  <si>
    <t>SI-GA-G1</t>
  </si>
  <si>
    <t>ATGAATCT</t>
  </si>
  <si>
    <t>GATCTCAG</t>
  </si>
  <si>
    <t>CCAGGAGC</t>
  </si>
  <si>
    <t>TGCTCGTA</t>
  </si>
  <si>
    <t>7C</t>
  </si>
  <si>
    <t>SI-GA-B1-3</t>
  </si>
  <si>
    <t>SI-GA-G1-1</t>
  </si>
  <si>
    <t>D707,7012</t>
  </si>
  <si>
    <t>SI-GA-H1</t>
  </si>
  <si>
    <t>GTATGTCA</t>
  </si>
  <si>
    <t>TGTCAGAC</t>
  </si>
  <si>
    <t>CACGTCGG</t>
  </si>
  <si>
    <t>ACGACATT</t>
  </si>
  <si>
    <t>7D</t>
  </si>
  <si>
    <t>SI-GA-B1-4</t>
  </si>
  <si>
    <t xml:space="preserve">A08 </t>
  </si>
  <si>
    <t>SI-GA-H1-1</t>
  </si>
  <si>
    <t xml:space="preserve">C08 </t>
  </si>
  <si>
    <t>SI-GA-A2</t>
  </si>
  <si>
    <t>TTTCATGA</t>
  </si>
  <si>
    <t>ACGTCCCT</t>
  </si>
  <si>
    <t>CGCATGTG</t>
  </si>
  <si>
    <t>GAAGGAAC</t>
  </si>
  <si>
    <t>SI-GA-A2-1</t>
  </si>
  <si>
    <t>SI-GA-B2</t>
  </si>
  <si>
    <t>TACTCTTC</t>
  </si>
  <si>
    <t>CCTGTGCG</t>
  </si>
  <si>
    <t>GGACACGT</t>
  </si>
  <si>
    <t>ATGAGAAA</t>
  </si>
  <si>
    <t>SI-GA-C1-2</t>
  </si>
  <si>
    <t xml:space="preserve">H02 </t>
  </si>
  <si>
    <t>SI-GA-B2-1</t>
  </si>
  <si>
    <t>i7_IDT-13,N721</t>
  </si>
  <si>
    <t>SI-GA-C2</t>
  </si>
  <si>
    <t>CCTAGACC</t>
  </si>
  <si>
    <t>ATCTCTGT</t>
  </si>
  <si>
    <t>TAGCTCTA</t>
  </si>
  <si>
    <t>GGAGAGAG</t>
  </si>
  <si>
    <t>SI-GA-C1-3</t>
  </si>
  <si>
    <t>i7_IDT-20,N706</t>
  </si>
  <si>
    <t>SI-GA-C2-1</t>
  </si>
  <si>
    <t xml:space="preserve">B04 ,E04 ,E11 </t>
  </si>
  <si>
    <t>SI-GA-D2</t>
  </si>
  <si>
    <t>TAACAAGG</t>
  </si>
  <si>
    <t>GGTTCCTC</t>
  </si>
  <si>
    <t>ATCATGCA</t>
  </si>
  <si>
    <t>CCGGGTAT</t>
  </si>
  <si>
    <t>SI-GA-C1-4</t>
  </si>
  <si>
    <t>SI-GA-D2-1</t>
  </si>
  <si>
    <t>i7_IDT-6</t>
  </si>
  <si>
    <t>SI-GA-E2</t>
  </si>
  <si>
    <t>GTGGTACC</t>
  </si>
  <si>
    <t>TACTATAG</t>
  </si>
  <si>
    <t>ACAAGGTA</t>
  </si>
  <si>
    <t>CGTCCCGT</t>
  </si>
  <si>
    <t>SI-GA-E2-1</t>
  </si>
  <si>
    <t>SI-GA-F2</t>
  </si>
  <si>
    <t>TTTACATG</t>
  </si>
  <si>
    <t>CGCGATAC</t>
  </si>
  <si>
    <t>ACGCGGGT</t>
  </si>
  <si>
    <t>GAATTCCA</t>
  </si>
  <si>
    <t>SI-GA-D1-2</t>
  </si>
  <si>
    <t xml:space="preserve">G12 </t>
  </si>
  <si>
    <t>SI-GA-F2-1</t>
  </si>
  <si>
    <t xml:space="preserve">C12 </t>
  </si>
  <si>
    <t>SI-GA-G2</t>
  </si>
  <si>
    <t>TGATTCTA</t>
  </si>
  <si>
    <t>ACTAGGAG</t>
  </si>
  <si>
    <t>CAGCCACT</t>
  </si>
  <si>
    <t>GTCGATGC</t>
  </si>
  <si>
    <t>SI-GA-D1-3</t>
  </si>
  <si>
    <t>SI-GA-G2-1</t>
  </si>
  <si>
    <t>SI-GA-H2</t>
  </si>
  <si>
    <t>TAATGACC</t>
  </si>
  <si>
    <t>ATGCCTTA</t>
  </si>
  <si>
    <t>GCCGAGAT</t>
  </si>
  <si>
    <t>CGTATCGG</t>
  </si>
  <si>
    <t>SI-GA-D1-4</t>
  </si>
  <si>
    <t>SI-GA-H2-1</t>
  </si>
  <si>
    <t>SI-GA-A3</t>
  </si>
  <si>
    <t>CAGTACTG</t>
  </si>
  <si>
    <t>AGTAGTCT</t>
  </si>
  <si>
    <t>GCAGTAGA</t>
  </si>
  <si>
    <t>TTCCCGAC</t>
  </si>
  <si>
    <t>SI-GA-A3-1</t>
  </si>
  <si>
    <t xml:space="preserve">i7_IDT-24,D06 </t>
  </si>
  <si>
    <t>SI-GA-B3</t>
  </si>
  <si>
    <t>GTGTATTA</t>
  </si>
  <si>
    <t>TGTGCGGG</t>
  </si>
  <si>
    <t>ACCATAAC</t>
  </si>
  <si>
    <t>CAACGCCT</t>
  </si>
  <si>
    <t>SI-GA-E1-2</t>
  </si>
  <si>
    <t>SI-GA-B3-1</t>
  </si>
  <si>
    <t>SI-GA-C3</t>
  </si>
  <si>
    <t>TCAGCCGT</t>
  </si>
  <si>
    <t>CAGAGGCC</t>
  </si>
  <si>
    <t>GGTCAATA</t>
  </si>
  <si>
    <t>ATCTTTAG</t>
  </si>
  <si>
    <t>SI-GA-E1-3</t>
  </si>
  <si>
    <t xml:space="preserve">N724,D701,B12 </t>
  </si>
  <si>
    <t>SI-GA-C3-1</t>
  </si>
  <si>
    <t>SI-GA-D3</t>
  </si>
  <si>
    <t>ACATTACT</t>
  </si>
  <si>
    <t>TTTGGGTA</t>
  </si>
  <si>
    <t>CAGCCCAC</t>
  </si>
  <si>
    <t>GGCAATGG</t>
  </si>
  <si>
    <t>SI-GA-E1-4</t>
  </si>
  <si>
    <t>SI-GA-D3-1</t>
  </si>
  <si>
    <t>SI-GA-E3</t>
  </si>
  <si>
    <t>AGGTATTG</t>
  </si>
  <si>
    <t>CTCCTAGT</t>
  </si>
  <si>
    <t>TCAAGGCC</t>
  </si>
  <si>
    <t>GATGCCAA</t>
  </si>
  <si>
    <t>SI-GA-E3-1</t>
  </si>
  <si>
    <t xml:space="preserve">D08 </t>
  </si>
  <si>
    <t>SI-GA-F3</t>
  </si>
  <si>
    <t>TTCAGGTG</t>
  </si>
  <si>
    <t>ACGGACAT</t>
  </si>
  <si>
    <t>GATCTTGA</t>
  </si>
  <si>
    <t>CGATCACC</t>
  </si>
  <si>
    <t>SI-GA-F1-2</t>
  </si>
  <si>
    <t>SI-GA-F3-1</t>
  </si>
  <si>
    <t>SI-GA-G3</t>
  </si>
  <si>
    <t>CCTCATTC</t>
  </si>
  <si>
    <t>AGCATCCG</t>
  </si>
  <si>
    <t>GTGGCAAT</t>
  </si>
  <si>
    <t>TAATGGGA</t>
  </si>
  <si>
    <t>SI-GA-F1-3</t>
  </si>
  <si>
    <t>SI-GA-G3-1</t>
  </si>
  <si>
    <t xml:space="preserve">E02 ,C07 </t>
  </si>
  <si>
    <t>SI-GA-H3</t>
  </si>
  <si>
    <t>CCAAGATG</t>
  </si>
  <si>
    <t>AGGCCCGA</t>
  </si>
  <si>
    <t>TACGTGAC</t>
  </si>
  <si>
    <t>GTTTATCT</t>
  </si>
  <si>
    <t>SI-GA-F1-4</t>
  </si>
  <si>
    <t xml:space="preserve">F02 ,A06 ,G09 </t>
  </si>
  <si>
    <t>SI-GA-H3-1</t>
  </si>
  <si>
    <t xml:space="preserve">i7_IDT-11,G05 </t>
  </si>
  <si>
    <t>SI-GA-A4</t>
  </si>
  <si>
    <t>TATGATTC</t>
  </si>
  <si>
    <t>CCCACAGT</t>
  </si>
  <si>
    <t>ATGCTGAA</t>
  </si>
  <si>
    <t>GGATGCCG</t>
  </si>
  <si>
    <t>SI-GA-A4-1</t>
  </si>
  <si>
    <t>SI-GA-B4</t>
  </si>
  <si>
    <t>ACTTCATA</t>
  </si>
  <si>
    <t>GAGATGAC</t>
  </si>
  <si>
    <t>TGCCGTGG</t>
  </si>
  <si>
    <t>CTAGACCT</t>
  </si>
  <si>
    <t>SI-GA-G1-2</t>
  </si>
  <si>
    <t>SI-GA-B4-1</t>
  </si>
  <si>
    <t>SI-GA-C4</t>
  </si>
  <si>
    <t>ACAATTCA</t>
  </si>
  <si>
    <t>TGCGCAGC</t>
  </si>
  <si>
    <t>CATCACTT</t>
  </si>
  <si>
    <t>GTGTGGAG</t>
  </si>
  <si>
    <t>SI-GA-G1-3</t>
  </si>
  <si>
    <t>SI-GA-C4-1</t>
  </si>
  <si>
    <t>SI-GA-D4</t>
  </si>
  <si>
    <t>CCCTAACA</t>
  </si>
  <si>
    <t>ATTCCGAT</t>
  </si>
  <si>
    <t>TGGATTGC</t>
  </si>
  <si>
    <t>GAAGGCTG</t>
  </si>
  <si>
    <t>SI-GA-G1-4</t>
  </si>
  <si>
    <t xml:space="preserve">A11 </t>
  </si>
  <si>
    <t>SI-GA-D4-1</t>
  </si>
  <si>
    <t xml:space="preserve">H03 ,D05 </t>
  </si>
  <si>
    <t>SI-GA-E4</t>
  </si>
  <si>
    <t>TTCGCCCT</t>
  </si>
  <si>
    <t>GGATGGGC</t>
  </si>
  <si>
    <t>AATCAATG</t>
  </si>
  <si>
    <t>CCGATTAA</t>
  </si>
  <si>
    <t>SI-GA-E4-1</t>
  </si>
  <si>
    <t>SI-GA-F4</t>
  </si>
  <si>
    <t>CCCAATAG</t>
  </si>
  <si>
    <t>GTGTCGCT</t>
  </si>
  <si>
    <t>AGAGTCGC</t>
  </si>
  <si>
    <t>TATCGATA</t>
  </si>
  <si>
    <t>SI-GA-H1-2</t>
  </si>
  <si>
    <t>SI-GA-F4-1</t>
  </si>
  <si>
    <t>G05 ,6</t>
  </si>
  <si>
    <t>SI-GA-G4</t>
  </si>
  <si>
    <t>GCGATGTG</t>
  </si>
  <si>
    <t>AGATACAA</t>
  </si>
  <si>
    <t>TTTCCACT</t>
  </si>
  <si>
    <t>CACGGTGC</t>
  </si>
  <si>
    <t>SI-GA-H1-3</t>
  </si>
  <si>
    <t xml:space="preserve">D03 </t>
  </si>
  <si>
    <t>SI-GA-G4-1</t>
  </si>
  <si>
    <t>SI-GA-H4</t>
  </si>
  <si>
    <t>GCCATTCC</t>
  </si>
  <si>
    <t>CAAGAATT</t>
  </si>
  <si>
    <t>TTGCCGGA</t>
  </si>
  <si>
    <t>AGTTGCAG</t>
  </si>
  <si>
    <t>SI-GA-H1-4</t>
  </si>
  <si>
    <t>SI-GA-H4-1</t>
  </si>
  <si>
    <t xml:space="preserve">D704,G04 </t>
  </si>
  <si>
    <t>SI-GA-A5</t>
  </si>
  <si>
    <t>CTAGGTGA</t>
  </si>
  <si>
    <t>TCGTTCAG</t>
  </si>
  <si>
    <t>AGCCAATT</t>
  </si>
  <si>
    <t>GATACGCC</t>
  </si>
  <si>
    <t>1E</t>
  </si>
  <si>
    <t>SI-GA-A5-1</t>
  </si>
  <si>
    <t xml:space="preserve">G11 </t>
  </si>
  <si>
    <t>SI-GA-B5</t>
  </si>
  <si>
    <t>AATAATGG</t>
  </si>
  <si>
    <t>CCAGGGCA</t>
  </si>
  <si>
    <t>TGCCTCAT</t>
  </si>
  <si>
    <t>GTGTCATC</t>
  </si>
  <si>
    <t>1F</t>
  </si>
  <si>
    <t>SI-GA-A2-2</t>
  </si>
  <si>
    <t>7063,A05 ,16</t>
  </si>
  <si>
    <t>SI-GA-B5-1</t>
  </si>
  <si>
    <t xml:space="preserve">G10 </t>
  </si>
  <si>
    <t>SI-GA-C5</t>
  </si>
  <si>
    <t>CGACTTGA</t>
  </si>
  <si>
    <t>TACAGACT</t>
  </si>
  <si>
    <t>ATTGCGTG</t>
  </si>
  <si>
    <t>GCGTACAC</t>
  </si>
  <si>
    <t>1G</t>
  </si>
  <si>
    <t>SI-GA-A2-3</t>
  </si>
  <si>
    <t>i7_IDT-7</t>
  </si>
  <si>
    <t>SI-GA-C5-1</t>
  </si>
  <si>
    <t xml:space="preserve">C03 </t>
  </si>
  <si>
    <t>SI-GA-D5</t>
  </si>
  <si>
    <t>CTCGTCAC</t>
  </si>
  <si>
    <t>GATCAGCA</t>
  </si>
  <si>
    <t>ACAACAGG</t>
  </si>
  <si>
    <t>TGGTGTTT</t>
  </si>
  <si>
    <t>1H</t>
  </si>
  <si>
    <t>SI-GA-A2-4</t>
  </si>
  <si>
    <t>SI-GA-D5-1</t>
  </si>
  <si>
    <t xml:space="preserve">7007,E03 </t>
  </si>
  <si>
    <t>SI-GA-E5</t>
  </si>
  <si>
    <t>CATTAGCG</t>
  </si>
  <si>
    <t>TTCGCTGA</t>
  </si>
  <si>
    <t>ACAAGAAT</t>
  </si>
  <si>
    <t>GGGCTCTC</t>
  </si>
  <si>
    <t>7E</t>
  </si>
  <si>
    <t>SI-GA-E5-1</t>
  </si>
  <si>
    <t>SI-GA-F5</t>
  </si>
  <si>
    <t>GACTACGT</t>
  </si>
  <si>
    <t>CTAGCGAG</t>
  </si>
  <si>
    <t>TCTATATC</t>
  </si>
  <si>
    <t>AGGCGTCA</t>
  </si>
  <si>
    <t>7F</t>
  </si>
  <si>
    <t>SI-GA-B2-2</t>
  </si>
  <si>
    <t>SI-GA-F5-1</t>
  </si>
  <si>
    <t>D706,C02 ,11,41</t>
  </si>
  <si>
    <t>SI-GA-G5</t>
  </si>
  <si>
    <t>GAGCAAGA</t>
  </si>
  <si>
    <t>TCTGTGAT</t>
  </si>
  <si>
    <t>CGCAGTTC</t>
  </si>
  <si>
    <t>ATATCCCG</t>
  </si>
  <si>
    <t>7G</t>
  </si>
  <si>
    <t>SI-GA-B2-3</t>
  </si>
  <si>
    <t xml:space="preserve">N705,7042,A03 </t>
  </si>
  <si>
    <t>SI-GA-G5-1</t>
  </si>
  <si>
    <t>SI-GA-H5</t>
  </si>
  <si>
    <t>CCACTACA</t>
  </si>
  <si>
    <t>GATTCTGG</t>
  </si>
  <si>
    <t>TGCGGCTT</t>
  </si>
  <si>
    <t>ATGAAGAC</t>
  </si>
  <si>
    <t>7H</t>
  </si>
  <si>
    <t>SI-GA-B2-4</t>
  </si>
  <si>
    <t>7058,B03 ,26</t>
  </si>
  <si>
    <t>SI-GA-H5-1</t>
  </si>
  <si>
    <t xml:space="preserve">D05 </t>
  </si>
  <si>
    <t>SI-GA-A6</t>
  </si>
  <si>
    <t>CGCTATGT</t>
  </si>
  <si>
    <t>GCTGTCCA</t>
  </si>
  <si>
    <t>TTGAGATC</t>
  </si>
  <si>
    <t>AAACCGAG</t>
  </si>
  <si>
    <t>SI-GA-A6-1</t>
  </si>
  <si>
    <t>7083,A01</t>
  </si>
  <si>
    <t>SI-GA-B6</t>
  </si>
  <si>
    <t>CGTTAATC</t>
  </si>
  <si>
    <t>GCCACGCT</t>
  </si>
  <si>
    <t>TTACTCAG</t>
  </si>
  <si>
    <t>AAGGGTGA</t>
  </si>
  <si>
    <t>SI-GA-C2-2</t>
  </si>
  <si>
    <t>SI-GA-B6-1</t>
  </si>
  <si>
    <t>SI-GA-C6</t>
  </si>
  <si>
    <t>ATTACTTC</t>
  </si>
  <si>
    <t>TGCGAACT</t>
  </si>
  <si>
    <t>GCATTCGG</t>
  </si>
  <si>
    <t>CAGCGGAA</t>
  </si>
  <si>
    <t>SI-GA-C2-3</t>
  </si>
  <si>
    <t>SI-GA-C6-1</t>
  </si>
  <si>
    <t xml:space="preserve">D701,E02 </t>
  </si>
  <si>
    <t>SI-GA-D6</t>
  </si>
  <si>
    <t>CATGCGAT</t>
  </si>
  <si>
    <t>TGATATTC</t>
  </si>
  <si>
    <t>GTGATCGA</t>
  </si>
  <si>
    <t>ACCCGACG</t>
  </si>
  <si>
    <t>SI-GA-C2-4</t>
  </si>
  <si>
    <t>7059,17</t>
  </si>
  <si>
    <t>SI-GA-D6-1</t>
  </si>
  <si>
    <t>7014,7027,7090,22,33,34</t>
  </si>
  <si>
    <t>SI-GA-E6</t>
  </si>
  <si>
    <t>CTGCGGCT</t>
  </si>
  <si>
    <t>GACTCAAA</t>
  </si>
  <si>
    <t>AGAAACTC</t>
  </si>
  <si>
    <t>TCTGTTGG</t>
  </si>
  <si>
    <t>SI-GA-E6-1</t>
  </si>
  <si>
    <t>SI-GA-F6</t>
  </si>
  <si>
    <t>CGGAGCAC</t>
  </si>
  <si>
    <t>GACCTATT</t>
  </si>
  <si>
    <t>ACTTAGGA</t>
  </si>
  <si>
    <t>TTAGCTCG</t>
  </si>
  <si>
    <t>SI-GA-D2-2</t>
  </si>
  <si>
    <t>SI-GA-F6-1</t>
  </si>
  <si>
    <t>SI-GA-G6</t>
  </si>
  <si>
    <t>CTGACGCG</t>
  </si>
  <si>
    <t>GGTCGTAC</t>
  </si>
  <si>
    <t>TCCTTCTT</t>
  </si>
  <si>
    <t>AAAGAAGA</t>
  </si>
  <si>
    <t>SI-GA-D2-3</t>
  </si>
  <si>
    <t xml:space="preserve">D12 </t>
  </si>
  <si>
    <t>SI-GA-G6-1</t>
  </si>
  <si>
    <t>SI-GA-H6</t>
  </si>
  <si>
    <t>TAGGATAA</t>
  </si>
  <si>
    <t>CCTTTGTC</t>
  </si>
  <si>
    <t>GTACGCGG</t>
  </si>
  <si>
    <t>AGCACACT</t>
  </si>
  <si>
    <t>SI-GA-D2-4</t>
  </si>
  <si>
    <t>SI-GA-H6-1</t>
  </si>
  <si>
    <t>SI-GA-A7</t>
  </si>
  <si>
    <t>ACAGAGGT</t>
  </si>
  <si>
    <t>TATAGTTG</t>
  </si>
  <si>
    <t>CGGTCCCA</t>
  </si>
  <si>
    <t>GTCCTAAC</t>
  </si>
  <si>
    <t>SI-GA-A7-1</t>
  </si>
  <si>
    <t>7044,5</t>
  </si>
  <si>
    <t>SI-GA-B7</t>
  </si>
  <si>
    <t>AAACCTCA</t>
  </si>
  <si>
    <t>GCCTTGGT</t>
  </si>
  <si>
    <t>CTGGACTC</t>
  </si>
  <si>
    <t>TGTAGAAG</t>
  </si>
  <si>
    <t>SI-GA-E2-2</t>
  </si>
  <si>
    <t>SI-GA-B7-1</t>
  </si>
  <si>
    <t>SI-GA-C7</t>
  </si>
  <si>
    <t>GTCTCTCG</t>
  </si>
  <si>
    <t>AATCTCTC</t>
  </si>
  <si>
    <t>CGGAGGGA</t>
  </si>
  <si>
    <t>TCAGAAAT</t>
  </si>
  <si>
    <t>SI-GA-E2-3</t>
  </si>
  <si>
    <t>SI-GA-C7-1</t>
  </si>
  <si>
    <t>SI-GA-D7</t>
  </si>
  <si>
    <t>ATTTGCTA</t>
  </si>
  <si>
    <t>TAGACACC</t>
  </si>
  <si>
    <t>CCACAGGG</t>
  </si>
  <si>
    <t>GGCGTTAT</t>
  </si>
  <si>
    <t>SI-GA-E2-4</t>
  </si>
  <si>
    <t xml:space="preserve">7075,G02 </t>
  </si>
  <si>
    <t>SI-GA-D7-1</t>
  </si>
  <si>
    <t>SI-GA-E7</t>
  </si>
  <si>
    <t>CACGCCTT</t>
  </si>
  <si>
    <t>GTATATAG</t>
  </si>
  <si>
    <t>TCTCGGGC</t>
  </si>
  <si>
    <t>AGGATACA</t>
  </si>
  <si>
    <t>SI-GA-E7-1</t>
  </si>
  <si>
    <t xml:space="preserve">7026,F04 ,F11 </t>
  </si>
  <si>
    <t>SI-GA-F7</t>
  </si>
  <si>
    <t>CGTGCAGA</t>
  </si>
  <si>
    <t>AACAAGAT</t>
  </si>
  <si>
    <t>TCGCTTCG</t>
  </si>
  <si>
    <t>GTATGCTC</t>
  </si>
  <si>
    <t>SI-GA-F2-2</t>
  </si>
  <si>
    <t>D712,31</t>
  </si>
  <si>
    <t>SI-GA-F7-1</t>
  </si>
  <si>
    <t>SI-GA-G7</t>
  </si>
  <si>
    <t>GGTATGCA</t>
  </si>
  <si>
    <t>CTCGAAAT</t>
  </si>
  <si>
    <t>ACACCTTC</t>
  </si>
  <si>
    <t>TAGTGCGG</t>
  </si>
  <si>
    <t>SI-GA-F2-3</t>
  </si>
  <si>
    <t>SI-GA-G7-1</t>
  </si>
  <si>
    <t>SI-GA-H7</t>
  </si>
  <si>
    <t>AGCTATCA</t>
  </si>
  <si>
    <t>CATATAAC</t>
  </si>
  <si>
    <t>TCAGGGTG</t>
  </si>
  <si>
    <t>GTGCCCGT</t>
  </si>
  <si>
    <t>SI-GA-F2-4</t>
  </si>
  <si>
    <t xml:space="preserve">i7_IDT-21,D706,C08 </t>
  </si>
  <si>
    <t>SI-GA-H7-1</t>
  </si>
  <si>
    <t>SI-GA-A8</t>
  </si>
  <si>
    <t>GCATCTCC</t>
  </si>
  <si>
    <t>TGTAAGGT</t>
  </si>
  <si>
    <t>CTGCGATG</t>
  </si>
  <si>
    <t>AACGTCAA</t>
  </si>
  <si>
    <t>SI-GA-A8-1</t>
  </si>
  <si>
    <t>SI-GA-B8</t>
  </si>
  <si>
    <t>AAAGTGCT</t>
  </si>
  <si>
    <t>GCTACCTG</t>
  </si>
  <si>
    <t>TGCTGTAA</t>
  </si>
  <si>
    <t>CTGCAAGC</t>
  </si>
  <si>
    <t>SI-GA-G2-2</t>
  </si>
  <si>
    <t xml:space="preserve">G03 ,F12 </t>
  </si>
  <si>
    <t>SI-GA-B8-1</t>
  </si>
  <si>
    <t>7061,5</t>
  </si>
  <si>
    <t>SI-GA-C8</t>
  </si>
  <si>
    <t>GTTGAGAA</t>
  </si>
  <si>
    <t>AGATCTGG</t>
  </si>
  <si>
    <t>TCGATACT</t>
  </si>
  <si>
    <t>CACCGCTC</t>
  </si>
  <si>
    <t>SI-GA-G2-3</t>
  </si>
  <si>
    <t>SI-GA-C8-1</t>
  </si>
  <si>
    <t>N712,D705,7059,E01 ,17</t>
  </si>
  <si>
    <t>SI-GA-D8</t>
  </si>
  <si>
    <t>GCAACAAA</t>
  </si>
  <si>
    <t>TAGTTGTC</t>
  </si>
  <si>
    <t>CGCCATCG</t>
  </si>
  <si>
    <t>ATTGGCGT</t>
  </si>
  <si>
    <t>SI-GA-G2-4</t>
  </si>
  <si>
    <t>SI-GA-D8-1</t>
  </si>
  <si>
    <t>7078,D09 ,36</t>
  </si>
  <si>
    <t>SI-GA-E8</t>
  </si>
  <si>
    <t>ATAGTTAC</t>
  </si>
  <si>
    <t>TGCTGAGT</t>
  </si>
  <si>
    <t>CCTACGTA</t>
  </si>
  <si>
    <t>GAGCACCG</t>
  </si>
  <si>
    <t>SI-GA-E8-1</t>
  </si>
  <si>
    <t>SI-GA-F8</t>
  </si>
  <si>
    <t>CATGAACA</t>
  </si>
  <si>
    <t>TCACTCGC</t>
  </si>
  <si>
    <t>AGCTGGAT</t>
  </si>
  <si>
    <t>GTGACTTG</t>
  </si>
  <si>
    <t>SI-GA-H2-2</t>
  </si>
  <si>
    <t>i7_IDT-20</t>
  </si>
  <si>
    <t>SI-GA-F8-1</t>
  </si>
  <si>
    <t xml:space="preserve">H03 ,B11 </t>
  </si>
  <si>
    <t>SI-GA-G8</t>
  </si>
  <si>
    <t>TATGAGCT</t>
  </si>
  <si>
    <t>CCGATAGC</t>
  </si>
  <si>
    <t>ATACCCAA</t>
  </si>
  <si>
    <t>GGCTGTTG</t>
  </si>
  <si>
    <t>SI-GA-H2-3</t>
  </si>
  <si>
    <t>7038,7059,7066,7093,E01 ,6,17,41</t>
  </si>
  <si>
    <t>SI-GA-G8-1</t>
  </si>
  <si>
    <t xml:space="preserve">E08 </t>
  </si>
  <si>
    <t>SI-GA-H8</t>
  </si>
  <si>
    <t>TTGTTGAT</t>
  </si>
  <si>
    <t>GCTCAACC</t>
  </si>
  <si>
    <t>CAAAGTGG</t>
  </si>
  <si>
    <t>AGCGCCTA</t>
  </si>
  <si>
    <t>SI-GA-H2-4</t>
  </si>
  <si>
    <t>SI-GA-H8-1</t>
  </si>
  <si>
    <t>SI-GA-A9</t>
  </si>
  <si>
    <t>TCTTAAAG</t>
  </si>
  <si>
    <t>CGAGGCTC</t>
  </si>
  <si>
    <t>GTCCTTCT</t>
  </si>
  <si>
    <t>2A</t>
  </si>
  <si>
    <t>SI-GA-A9-1</t>
  </si>
  <si>
    <t>SI-GA-B9</t>
  </si>
  <si>
    <t>CTGTAACT</t>
  </si>
  <si>
    <t>TCTAGCGA</t>
  </si>
  <si>
    <t>AGAGTGTG</t>
  </si>
  <si>
    <t>GACCCTAC</t>
  </si>
  <si>
    <t>2B</t>
  </si>
  <si>
    <t>SI-GA-A3-2</t>
  </si>
  <si>
    <t>SI-GA-B9-1</t>
  </si>
  <si>
    <t>SI-GA-C9</t>
  </si>
  <si>
    <t>GCGCAGAA</t>
  </si>
  <si>
    <t>ATCTTACC</t>
  </si>
  <si>
    <t>TATGGTGT</t>
  </si>
  <si>
    <t>CGAACCTG</t>
  </si>
  <si>
    <t>2C</t>
  </si>
  <si>
    <t>SI-GA-A3-3</t>
  </si>
  <si>
    <t>SI-GA-C9-1</t>
  </si>
  <si>
    <t xml:space="preserve">N703,N719,7091,H01 </t>
  </si>
  <si>
    <t>SI-GA-D9</t>
  </si>
  <si>
    <t>AGGAGATG</t>
  </si>
  <si>
    <t>GATGTGGT</t>
  </si>
  <si>
    <t>CTACATCC</t>
  </si>
  <si>
    <t>TCCTCCAA</t>
  </si>
  <si>
    <t>2D</t>
  </si>
  <si>
    <t>SI-GA-A3-4</t>
  </si>
  <si>
    <t>SI-GA-D9-1</t>
  </si>
  <si>
    <t>SI-GA-E9</t>
  </si>
  <si>
    <t>TTGTTTCC</t>
  </si>
  <si>
    <t>GGAGGAGG</t>
  </si>
  <si>
    <t>CCTAACAA</t>
  </si>
  <si>
    <t>AACCCGTT</t>
  </si>
  <si>
    <t>8A</t>
  </si>
  <si>
    <t>SI-GA-E9-1</t>
  </si>
  <si>
    <t>SI-GA-F9</t>
  </si>
  <si>
    <t>CAAGCTCC</t>
  </si>
  <si>
    <t>GTTCACTG</t>
  </si>
  <si>
    <t>TCGTGAAA</t>
  </si>
  <si>
    <t>AGCATGGT</t>
  </si>
  <si>
    <t>8B</t>
  </si>
  <si>
    <t>SI-GA-B3-2</t>
  </si>
  <si>
    <t>SI-GA-F9-1</t>
  </si>
  <si>
    <t>SI-GA-G9</t>
  </si>
  <si>
    <t>TAGGACGT</t>
  </si>
  <si>
    <t>ATCCCACA</t>
  </si>
  <si>
    <t>GGAATGTC</t>
  </si>
  <si>
    <t>CCTTGTAG</t>
  </si>
  <si>
    <t>8C</t>
  </si>
  <si>
    <t>SI-GA-B3-3</t>
  </si>
  <si>
    <t xml:space="preserve">B03 ,A09 </t>
  </si>
  <si>
    <t>SI-GA-G9-1</t>
  </si>
  <si>
    <t xml:space="preserve">7064,E08 </t>
  </si>
  <si>
    <t>SI-GA-H9</t>
  </si>
  <si>
    <t>ACACTGTT</t>
  </si>
  <si>
    <t>CAGGATGG</t>
  </si>
  <si>
    <t>GGCTGAAC</t>
  </si>
  <si>
    <t>TTTACCCA</t>
  </si>
  <si>
    <t>8D</t>
  </si>
  <si>
    <t>SI-GA-B3-4</t>
  </si>
  <si>
    <t>SI-GA-H9-1</t>
  </si>
  <si>
    <t>i7_IDT-22,7019,5</t>
  </si>
  <si>
    <t>SI-GA-A10</t>
  </si>
  <si>
    <t>GAAACCCT</t>
  </si>
  <si>
    <t>TTTCTGTC</t>
  </si>
  <si>
    <t>CCGTGTGA</t>
  </si>
  <si>
    <t>AGCGAAAG</t>
  </si>
  <si>
    <t>SI-GA-A10-1</t>
  </si>
  <si>
    <t>SI-GA-B10</t>
  </si>
  <si>
    <t>ACCGTATG</t>
  </si>
  <si>
    <t>GATTAGAT</t>
  </si>
  <si>
    <t>CTGACTGA</t>
  </si>
  <si>
    <t>TGACGCCC</t>
  </si>
  <si>
    <t>SI-GA-C3-2</t>
  </si>
  <si>
    <t>SI-GA-B10-1</t>
  </si>
  <si>
    <t>SI-GA-C10</t>
  </si>
  <si>
    <t>TCTCAGTG</t>
  </si>
  <si>
    <t>GAGACTAT</t>
  </si>
  <si>
    <t>CGCTTAGC</t>
  </si>
  <si>
    <t>ATAGGCCA</t>
  </si>
  <si>
    <t>SI-GA-C3-3</t>
  </si>
  <si>
    <t>SI-GA-C10-1</t>
  </si>
  <si>
    <t>SI-GA-D10</t>
  </si>
  <si>
    <t>CAATACCC</t>
  </si>
  <si>
    <t>TGTCTATG</t>
  </si>
  <si>
    <t>ACCACGAA</t>
  </si>
  <si>
    <t>GTGGGTGT</t>
  </si>
  <si>
    <t>SI-GA-C3-4</t>
  </si>
  <si>
    <t>SI-GA-D10-1</t>
  </si>
  <si>
    <t>SI-GA-E10</t>
  </si>
  <si>
    <t>AAATGTGC</t>
  </si>
  <si>
    <t>GGGCAAAT</t>
  </si>
  <si>
    <t>TCTATCCG</t>
  </si>
  <si>
    <t>CTCGCGTA</t>
  </si>
  <si>
    <t>SI-GA-E10-1</t>
  </si>
  <si>
    <t>i7_IDT-18,D708</t>
  </si>
  <si>
    <t>SI-GA-F10</t>
  </si>
  <si>
    <t>GCTTGGCT</t>
  </si>
  <si>
    <t>AAACAAAC</t>
  </si>
  <si>
    <t>CGGGCTTA</t>
  </si>
  <si>
    <t>TTCATCGG</t>
  </si>
  <si>
    <t>SI-GA-D3-2</t>
  </si>
  <si>
    <t>SI-GA-F10-1</t>
  </si>
  <si>
    <t>SI-GA-G10</t>
  </si>
  <si>
    <t>TCGCCAGC</t>
  </si>
  <si>
    <t>AATGTTAG</t>
  </si>
  <si>
    <t>CGATAGCT</t>
  </si>
  <si>
    <t>GTCAGCTA</t>
  </si>
  <si>
    <t>SI-GA-D3-3</t>
  </si>
  <si>
    <t>SI-GA-G10-1</t>
  </si>
  <si>
    <t>SI-GA-H10</t>
  </si>
  <si>
    <t>GTAATTGC</t>
  </si>
  <si>
    <t>AGTCGCTT</t>
  </si>
  <si>
    <t>CACGAGAA</t>
  </si>
  <si>
    <t>TCGTCACG</t>
  </si>
  <si>
    <t>SI-GA-D3-4</t>
  </si>
  <si>
    <t>SI-GA-H10-1</t>
  </si>
  <si>
    <t>SI-GA-A11</t>
  </si>
  <si>
    <t>GTCCGGTC</t>
  </si>
  <si>
    <t>AAGATCAT</t>
  </si>
  <si>
    <t>CCTGAAGG</t>
  </si>
  <si>
    <t>TGATCTCA</t>
  </si>
  <si>
    <t>SI-GA-A11-1</t>
  </si>
  <si>
    <t>SI-GA-B11</t>
  </si>
  <si>
    <t>GTTCCTCA</t>
  </si>
  <si>
    <t>AGGTACGC</t>
  </si>
  <si>
    <t>TAAGTATG</t>
  </si>
  <si>
    <t>CCCAGGAT</t>
  </si>
  <si>
    <t>SI-GA-E3-2</t>
  </si>
  <si>
    <t xml:space="preserve">7085,A02 </t>
  </si>
  <si>
    <t>SI-GA-B11-1</t>
  </si>
  <si>
    <t xml:space="preserve">C10 </t>
  </si>
  <si>
    <t>SI-GA-C11</t>
  </si>
  <si>
    <t>GAGGATCT</t>
  </si>
  <si>
    <t>AGACCATA</t>
  </si>
  <si>
    <t>TCCTGCGC</t>
  </si>
  <si>
    <t>CTTATGAG</t>
  </si>
  <si>
    <t>SI-GA-E3-3</t>
  </si>
  <si>
    <t xml:space="preserve">E11 </t>
  </si>
  <si>
    <t>SI-GA-C11-1</t>
  </si>
  <si>
    <t xml:space="preserve">i7_IDT-17,7066,E08 </t>
  </si>
  <si>
    <t>SI-GA-D11</t>
  </si>
  <si>
    <t>CTTTGCGG</t>
  </si>
  <si>
    <t>TGCACAAA</t>
  </si>
  <si>
    <t>AAGCAGTC</t>
  </si>
  <si>
    <t>GCAGTTCT</t>
  </si>
  <si>
    <t>SI-GA-E3-4</t>
  </si>
  <si>
    <t xml:space="preserve">H04 </t>
  </si>
  <si>
    <t>SI-GA-D11-1</t>
  </si>
  <si>
    <t>SI-GA-E11</t>
  </si>
  <si>
    <t>AAGCGCTG</t>
  </si>
  <si>
    <t>CGTTTGAT</t>
  </si>
  <si>
    <t>GTAGCACA</t>
  </si>
  <si>
    <t>TCCAATGC</t>
  </si>
  <si>
    <t>SI-GA-E11-1</t>
  </si>
  <si>
    <t>i7_IDT-24,N722,N723</t>
  </si>
  <si>
    <t>SI-GA-F11</t>
  </si>
  <si>
    <t>GCGAGAGT</t>
  </si>
  <si>
    <t>TACGTTCA</t>
  </si>
  <si>
    <t>AGTCCCAC</t>
  </si>
  <si>
    <t>CTATAGTG</t>
  </si>
  <si>
    <t>SI-GA-F3-2</t>
  </si>
  <si>
    <t>7012,7031,7044,7064,A04 ,25</t>
  </si>
  <si>
    <t>SI-GA-F11-1</t>
  </si>
  <si>
    <t xml:space="preserve">A10 </t>
  </si>
  <si>
    <t>SI-GA-G11</t>
  </si>
  <si>
    <t>TTATCGTT</t>
  </si>
  <si>
    <t>AGCAGAGC</t>
  </si>
  <si>
    <t>CATCTCCA</t>
  </si>
  <si>
    <t>GCGGATAG</t>
  </si>
  <si>
    <t>SI-GA-F3-3</t>
  </si>
  <si>
    <t>SI-GA-G11-1</t>
  </si>
  <si>
    <t>SI-GA-H11</t>
  </si>
  <si>
    <t>GGCGAGTA</t>
  </si>
  <si>
    <t>ACTTCTAT</t>
  </si>
  <si>
    <t>CAAATACG</t>
  </si>
  <si>
    <t>TTGCGCGC</t>
  </si>
  <si>
    <t>SI-GA-F3-4</t>
  </si>
  <si>
    <t xml:space="preserve">N727,F08 </t>
  </si>
  <si>
    <t>SI-GA-H11-1</t>
  </si>
  <si>
    <t xml:space="preserve">E01 </t>
  </si>
  <si>
    <t>SI-GA-A12</t>
  </si>
  <si>
    <t>AGTGGAAC</t>
  </si>
  <si>
    <t>GTCTCCTT</t>
  </si>
  <si>
    <t>TCACATCA</t>
  </si>
  <si>
    <t>CAGATGGG</t>
  </si>
  <si>
    <t>SI-GA-A12-1</t>
  </si>
  <si>
    <t>SI-GA-B12</t>
  </si>
  <si>
    <t>TACCACCA</t>
  </si>
  <si>
    <t>CTAAGTTT</t>
  </si>
  <si>
    <t>GGGTCAAG</t>
  </si>
  <si>
    <t>ACTGTGGC</t>
  </si>
  <si>
    <t>SI-GA-G3-2</t>
  </si>
  <si>
    <t xml:space="preserve">F02 </t>
  </si>
  <si>
    <t>SI-GA-B12-1</t>
  </si>
  <si>
    <t>SI-GA-C12</t>
  </si>
  <si>
    <t>TCTCGTTT</t>
  </si>
  <si>
    <t>GGCTAGCG</t>
  </si>
  <si>
    <t>ATGACCGC</t>
  </si>
  <si>
    <t>CAAGTAAA</t>
  </si>
  <si>
    <t>SI-GA-G3-3</t>
  </si>
  <si>
    <t>7034,7049,7072,7076,15,19,20,48</t>
  </si>
  <si>
    <t>SI-GA-C12-1</t>
  </si>
  <si>
    <t>SI-GA-D12</t>
  </si>
  <si>
    <t>GCACAATG</t>
  </si>
  <si>
    <t>CTTGGTAC</t>
  </si>
  <si>
    <t>TGCACCGT</t>
  </si>
  <si>
    <t>AAGTTGCA</t>
  </si>
  <si>
    <t>SI-GA-G3-4</t>
  </si>
  <si>
    <t xml:space="preserve">N701,D708,C08 </t>
  </si>
  <si>
    <t>SI-GA-D12-1</t>
  </si>
  <si>
    <t xml:space="preserve">C07 </t>
  </si>
  <si>
    <t>SI-GA-E12</t>
  </si>
  <si>
    <t>ACCGGCTC</t>
  </si>
  <si>
    <t>GAGTTAGT</t>
  </si>
  <si>
    <t>CGTCCTAG</t>
  </si>
  <si>
    <t>TTAAAGCA</t>
  </si>
  <si>
    <t>SI-GA-E12-1</t>
  </si>
  <si>
    <t xml:space="preserve">E03 </t>
  </si>
  <si>
    <t>SI-GA-F12</t>
  </si>
  <si>
    <t>TGATGCAT</t>
  </si>
  <si>
    <t>GCTACTGA</t>
  </si>
  <si>
    <t>CACCTGCC</t>
  </si>
  <si>
    <t>ATGGAATG</t>
  </si>
  <si>
    <t>SI-GA-H3-2</t>
  </si>
  <si>
    <t>SI-GA-F12-1</t>
  </si>
  <si>
    <t>7015,7042,7062,E07 ,2,3,45</t>
  </si>
  <si>
    <t>SI-GA-G12</t>
  </si>
  <si>
    <t>ATTCTAAG</t>
  </si>
  <si>
    <t>CCCGATTA</t>
  </si>
  <si>
    <t>TGGAGGCT</t>
  </si>
  <si>
    <t>GAATCCGC</t>
  </si>
  <si>
    <t>SI-GA-H3-3</t>
  </si>
  <si>
    <t xml:space="preserve">i7_IDT-13,H07 </t>
  </si>
  <si>
    <t>SI-GA-G12-1</t>
  </si>
  <si>
    <t xml:space="preserve">F12 </t>
  </si>
  <si>
    <t>SI-GA-H12</t>
  </si>
  <si>
    <t>GACAGCAT</t>
  </si>
  <si>
    <t>TTTGTACA</t>
  </si>
  <si>
    <t>AGGCCGTG</t>
  </si>
  <si>
    <t>CCATATGC</t>
  </si>
  <si>
    <t>SI-GA-H3-4</t>
  </si>
  <si>
    <t>SI-GA-H12-1</t>
  </si>
  <si>
    <t>7015,7018,7048,7073,A10 ,18,24,41,43</t>
  </si>
  <si>
    <t>2E</t>
  </si>
  <si>
    <t>2F</t>
  </si>
  <si>
    <t>SI-GA-A4-2</t>
  </si>
  <si>
    <t>7078,F03 ,36</t>
  </si>
  <si>
    <t>2G</t>
  </si>
  <si>
    <t>SI-GA-A4-3</t>
  </si>
  <si>
    <t>N703,D705,7019</t>
  </si>
  <si>
    <t>2H</t>
  </si>
  <si>
    <t>SI-GA-A4-4</t>
  </si>
  <si>
    <t>8E</t>
  </si>
  <si>
    <t>8F</t>
  </si>
  <si>
    <t>SI-GA-B4-2</t>
  </si>
  <si>
    <t>i7_IDT-4,D704,7071</t>
  </si>
  <si>
    <t>8G</t>
  </si>
  <si>
    <t>SI-GA-B4-3</t>
  </si>
  <si>
    <t xml:space="preserve">A07 </t>
  </si>
  <si>
    <t>8H</t>
  </si>
  <si>
    <t>SI-GA-B4-4</t>
  </si>
  <si>
    <t>7007,A03 ,F11 ,39</t>
  </si>
  <si>
    <t>SI-GA-C4-2</t>
  </si>
  <si>
    <t xml:space="preserve">N721,H07 </t>
  </si>
  <si>
    <t>SI-GA-C4-3</t>
  </si>
  <si>
    <t>SI-GA-C4-4</t>
  </si>
  <si>
    <t>7006,23</t>
  </si>
  <si>
    <t>SI-GA-D4-2</t>
  </si>
  <si>
    <t>D705,7014,7019,7076,B09 ,1,21,27</t>
  </si>
  <si>
    <t>SI-GA-D4-3</t>
  </si>
  <si>
    <t xml:space="preserve">7030,G04 </t>
  </si>
  <si>
    <t>SI-GA-D4-4</t>
  </si>
  <si>
    <t xml:space="preserve">N710,D11 </t>
  </si>
  <si>
    <t>SI-GA-E4-2</t>
  </si>
  <si>
    <t>SI-GA-E4-3</t>
  </si>
  <si>
    <t xml:space="preserve">i7_IDT-24,D08 </t>
  </si>
  <si>
    <t>SI-GA-E4-4</t>
  </si>
  <si>
    <t>SI-GA-F4-2</t>
  </si>
  <si>
    <t>7006,21</t>
  </si>
  <si>
    <t>SI-GA-F4-3</t>
  </si>
  <si>
    <t>i7_IDT-15</t>
  </si>
  <si>
    <t>SI-GA-F4-4</t>
  </si>
  <si>
    <t>SI-GA-G4-2</t>
  </si>
  <si>
    <t>SI-GA-G4-3</t>
  </si>
  <si>
    <t xml:space="preserve">B09 </t>
  </si>
  <si>
    <t>SI-GA-G4-4</t>
  </si>
  <si>
    <t>SI-GA-H4-2</t>
  </si>
  <si>
    <t>SI-GA-H4-3</t>
  </si>
  <si>
    <t>SI-GA-H4-4</t>
  </si>
  <si>
    <t>7069,14</t>
  </si>
  <si>
    <t>3A</t>
  </si>
  <si>
    <t>SI-GA-A5-2</t>
  </si>
  <si>
    <t>7067,E07 ,D10 ,45</t>
  </si>
  <si>
    <t>3B</t>
  </si>
  <si>
    <t>SI-GA-B5-2</t>
  </si>
  <si>
    <t>3C</t>
  </si>
  <si>
    <t>SI-GA-A5-3</t>
  </si>
  <si>
    <t>7087,D08 ,H08 ,13</t>
  </si>
  <si>
    <t>SI-GA-C5-2</t>
  </si>
  <si>
    <t>3D</t>
  </si>
  <si>
    <t>SI-GA-A5-4</t>
  </si>
  <si>
    <t>SI-GA-D5-2</t>
  </si>
  <si>
    <t>9A</t>
  </si>
  <si>
    <t>SI-GA-E5-2</t>
  </si>
  <si>
    <t>i7_IDT-23,N721</t>
  </si>
  <si>
    <t>9B</t>
  </si>
  <si>
    <t>SI-GA-F5-2</t>
  </si>
  <si>
    <t>9C</t>
  </si>
  <si>
    <t>SI-GA-B5-3</t>
  </si>
  <si>
    <t>SI-GA-G5-2</t>
  </si>
  <si>
    <t>7020,7025,7038,5</t>
  </si>
  <si>
    <t>9D</t>
  </si>
  <si>
    <t>SI-GA-B5-4</t>
  </si>
  <si>
    <t xml:space="preserve">i7_IDT-20,H09 </t>
  </si>
  <si>
    <t>SI-GA-H5-2</t>
  </si>
  <si>
    <t>SI-GA-A6-2</t>
  </si>
  <si>
    <t xml:space="preserve">i7_IDT-12,G09 ,H10 </t>
  </si>
  <si>
    <t>SI-GA-B6-2</t>
  </si>
  <si>
    <t>SI-GA-C5-3</t>
  </si>
  <si>
    <t>SI-GA-C6-2</t>
  </si>
  <si>
    <t xml:space="preserve">H08 </t>
  </si>
  <si>
    <t>SI-GA-C5-4</t>
  </si>
  <si>
    <t>SI-GA-D6-2</t>
  </si>
  <si>
    <t>SI-GA-E6-2</t>
  </si>
  <si>
    <t>SI-GA-F6-2</t>
  </si>
  <si>
    <t>SI-GA-D5-3</t>
  </si>
  <si>
    <t xml:space="preserve">F01 ,G01 ,H06 </t>
  </si>
  <si>
    <t>SI-GA-G6-2</t>
  </si>
  <si>
    <t>SI-GA-D5-4</t>
  </si>
  <si>
    <t>SI-GA-H6-2</t>
  </si>
  <si>
    <t xml:space="preserve">G08 </t>
  </si>
  <si>
    <t>SI-GA-A7-2</t>
  </si>
  <si>
    <t>SI-GA-B7-2</t>
  </si>
  <si>
    <t>SI-GA-E5-3</t>
  </si>
  <si>
    <t>7003,7005,7009,7055,7058,7096,B03 ,A10 ,8,36</t>
  </si>
  <si>
    <t>SI-GA-C7-2</t>
  </si>
  <si>
    <t>SI-GA-E5-4</t>
  </si>
  <si>
    <t>SI-GA-D7-2</t>
  </si>
  <si>
    <t>SI-GA-E7-2</t>
  </si>
  <si>
    <t>7080,1,28</t>
  </si>
  <si>
    <t>SI-GA-F5-3</t>
  </si>
  <si>
    <t xml:space="preserve">E04 </t>
  </si>
  <si>
    <t>SI-GA-G7-2</t>
  </si>
  <si>
    <t>7046,7051,7072,7085,7089,7093,H03 ,F11 ,12,31,40</t>
  </si>
  <si>
    <t>SI-GA-F5-4</t>
  </si>
  <si>
    <t>SI-GA-H7-2</t>
  </si>
  <si>
    <t xml:space="preserve">7079,C01 ,E04 </t>
  </si>
  <si>
    <t>SI-GA-A8-2</t>
  </si>
  <si>
    <t>SI-GA-B8-2</t>
  </si>
  <si>
    <t>SI-GA-G5-3</t>
  </si>
  <si>
    <t>SI-GA-C8-2</t>
  </si>
  <si>
    <t>SI-GA-G5-4</t>
  </si>
  <si>
    <t>SI-GA-D8-2</t>
  </si>
  <si>
    <t>SI-GA-E8-2</t>
  </si>
  <si>
    <t xml:space="preserve">N704,A07 </t>
  </si>
  <si>
    <t>SI-GA-F8-2</t>
  </si>
  <si>
    <t xml:space="preserve">D711,E06 </t>
  </si>
  <si>
    <t>SI-GA-H5-3</t>
  </si>
  <si>
    <t>SI-GA-G8-2</t>
  </si>
  <si>
    <t>SI-GA-H5-4</t>
  </si>
  <si>
    <t>SI-GA-H8-2</t>
  </si>
  <si>
    <t xml:space="preserve">B11 </t>
  </si>
  <si>
    <t>3E</t>
  </si>
  <si>
    <t>SI-GA-A9-2</t>
  </si>
  <si>
    <t>3F</t>
  </si>
  <si>
    <t>SI-GA-B9-2</t>
  </si>
  <si>
    <t>3G</t>
  </si>
  <si>
    <t>SI-GA-A6-3</t>
  </si>
  <si>
    <t>SI-GA-C9-2</t>
  </si>
  <si>
    <t xml:space="preserve">H02 ,H12 </t>
  </si>
  <si>
    <t>3H</t>
  </si>
  <si>
    <t>SI-GA-A6-4</t>
  </si>
  <si>
    <t>SI-GA-D9-2</t>
  </si>
  <si>
    <t>9E</t>
  </si>
  <si>
    <t>SI-GA-E9-2</t>
  </si>
  <si>
    <t>9F</t>
  </si>
  <si>
    <t>SI-GA-F9-2</t>
  </si>
  <si>
    <t>9G</t>
  </si>
  <si>
    <t>SI-GA-B6-3</t>
  </si>
  <si>
    <t>SI-GA-G9-2</t>
  </si>
  <si>
    <t>9H</t>
  </si>
  <si>
    <t>SI-GA-B6-4</t>
  </si>
  <si>
    <t>SI-GA-H9-2</t>
  </si>
  <si>
    <t>SI-GA-A10-2</t>
  </si>
  <si>
    <t>SI-GA-B10-2</t>
  </si>
  <si>
    <t>7002,7006,7040,7059,9,21,23</t>
  </si>
  <si>
    <t>SI-GA-C6-3</t>
  </si>
  <si>
    <t>SI-GA-C10-2</t>
  </si>
  <si>
    <t>i7_IDT-4,7021,7023,7029,7043,7045,7092</t>
  </si>
  <si>
    <t>SI-GA-C6-4</t>
  </si>
  <si>
    <t>7001,30</t>
  </si>
  <si>
    <t>SI-GA-D10-2</t>
  </si>
  <si>
    <t>SI-GA-E10-2</t>
  </si>
  <si>
    <t>i7_IDT-9,7024,7037,7049,7087,7095,13,19</t>
  </si>
  <si>
    <t>SI-GA-F10-2</t>
  </si>
  <si>
    <t xml:space="preserve">C04 </t>
  </si>
  <si>
    <t>SI-GA-D6-3</t>
  </si>
  <si>
    <t xml:space="preserve">i7_IDT-1,G06 </t>
  </si>
  <si>
    <t>SI-GA-G10-2</t>
  </si>
  <si>
    <t>SI-GA-D6-4</t>
  </si>
  <si>
    <t>SI-GA-H10-2</t>
  </si>
  <si>
    <t>N716,7075</t>
  </si>
  <si>
    <t>SI-GA-A11-2</t>
  </si>
  <si>
    <t>7012,7043,7048,7065,7071,7073,7094,D10 ,7,26</t>
  </si>
  <si>
    <t>SI-GA-B11-2</t>
  </si>
  <si>
    <t>SI-GA-E6-3</t>
  </si>
  <si>
    <t>SI-GA-C11-2</t>
  </si>
  <si>
    <t>SI-GA-E6-4</t>
  </si>
  <si>
    <t>i7_IDT-23</t>
  </si>
  <si>
    <t>SI-GA-D11-2</t>
  </si>
  <si>
    <t>SI-GA-E11-2</t>
  </si>
  <si>
    <t>i7_IDT-7,7010,7053,22,35</t>
  </si>
  <si>
    <t>SI-GA-F11-2</t>
  </si>
  <si>
    <t>SI-GA-F6-3</t>
  </si>
  <si>
    <t xml:space="preserve">D04 </t>
  </si>
  <si>
    <t>SI-GA-G11-2</t>
  </si>
  <si>
    <t xml:space="preserve">i7_IDT-18,C11 </t>
  </si>
  <si>
    <t>SI-GA-F6-4</t>
  </si>
  <si>
    <t xml:space="preserve">i7_IDT-3,G11 </t>
  </si>
  <si>
    <t>SI-GA-H11-2</t>
  </si>
  <si>
    <t>7057,7063,7082,7090,D02 ,8,14,25,27</t>
  </si>
  <si>
    <t>SI-GA-A12-2</t>
  </si>
  <si>
    <t xml:space="preserve">H09 </t>
  </si>
  <si>
    <t>SI-GA-B12-2</t>
  </si>
  <si>
    <t>SI-GA-G6-3</t>
  </si>
  <si>
    <t>7067,45</t>
  </si>
  <si>
    <t>SI-GA-C12-2</t>
  </si>
  <si>
    <t>SI-GA-G6-4</t>
  </si>
  <si>
    <t>SI-GA-D12-2</t>
  </si>
  <si>
    <t>i7_IDT-19,7077</t>
  </si>
  <si>
    <t>SI-GA-E12-2</t>
  </si>
  <si>
    <t>SI-GA-F12-2</t>
  </si>
  <si>
    <t>SI-GA-H6-3</t>
  </si>
  <si>
    <t>SI-GA-G12-2</t>
  </si>
  <si>
    <t xml:space="preserve">F05 </t>
  </si>
  <si>
    <t>SI-GA-H6-4</t>
  </si>
  <si>
    <t xml:space="preserve">H08 ,C11 </t>
  </si>
  <si>
    <t>SI-GA-H12-2</t>
  </si>
  <si>
    <t>4A</t>
  </si>
  <si>
    <t>4B</t>
  </si>
  <si>
    <t>4C</t>
  </si>
  <si>
    <t>SI-GA-A7-3</t>
  </si>
  <si>
    <t>4D</t>
  </si>
  <si>
    <t>SI-GA-A7-4</t>
  </si>
  <si>
    <t xml:space="preserve">A09 </t>
  </si>
  <si>
    <t>10A</t>
  </si>
  <si>
    <t>10B</t>
  </si>
  <si>
    <t>10C</t>
  </si>
  <si>
    <t>SI-GA-B7-3</t>
  </si>
  <si>
    <t xml:space="preserve">F11 </t>
  </si>
  <si>
    <t>10D</t>
  </si>
  <si>
    <t>SI-GA-B7-4</t>
  </si>
  <si>
    <t xml:space="preserve">G03 </t>
  </si>
  <si>
    <t>SI-GA-C7-3</t>
  </si>
  <si>
    <t>SI-GA-C7-4</t>
  </si>
  <si>
    <t>7009,7017,7044,7072,48</t>
  </si>
  <si>
    <t>SI-GA-D7-3</t>
  </si>
  <si>
    <t>SI-GA-D7-4</t>
  </si>
  <si>
    <t>SI-GA-E7-3</t>
  </si>
  <si>
    <t>SI-GA-E7-4</t>
  </si>
  <si>
    <t xml:space="preserve">C11 </t>
  </si>
  <si>
    <t>SI-GA-F7-2</t>
  </si>
  <si>
    <t>SI-GA-F7-3</t>
  </si>
  <si>
    <t xml:space="preserve">A06 </t>
  </si>
  <si>
    <t>SI-GA-F7-4</t>
  </si>
  <si>
    <t>SI-GA-G7-3</t>
  </si>
  <si>
    <t xml:space="preserve">D02 ,B05 </t>
  </si>
  <si>
    <t>SI-GA-G7-4</t>
  </si>
  <si>
    <t xml:space="preserve">D708,D07 </t>
  </si>
  <si>
    <t>SI-GA-H7-3</t>
  </si>
  <si>
    <t>SI-GA-H7-4</t>
  </si>
  <si>
    <t>7049,20</t>
  </si>
  <si>
    <t>4E</t>
  </si>
  <si>
    <t>4F</t>
  </si>
  <si>
    <t>4G</t>
  </si>
  <si>
    <t>SI-GA-A8-3</t>
  </si>
  <si>
    <t>4H</t>
  </si>
  <si>
    <t>SI-GA-A8-4</t>
  </si>
  <si>
    <t>10E</t>
  </si>
  <si>
    <t>10F</t>
  </si>
  <si>
    <t>10G</t>
  </si>
  <si>
    <t>SI-GA-B8-3</t>
  </si>
  <si>
    <t xml:space="preserve">7083,A07 </t>
  </si>
  <si>
    <t>10H</t>
  </si>
  <si>
    <t>SI-GA-B8-4</t>
  </si>
  <si>
    <t xml:space="preserve">F09 </t>
  </si>
  <si>
    <t>SI-GA-C8-3</t>
  </si>
  <si>
    <t>SI-GA-C8-4</t>
  </si>
  <si>
    <t>SI-GA-D8-3</t>
  </si>
  <si>
    <t>SI-GA-D8-4</t>
  </si>
  <si>
    <t>SI-GA-E8-3</t>
  </si>
  <si>
    <t xml:space="preserve">G07 ,E09 </t>
  </si>
  <si>
    <t>SI-GA-E8-4</t>
  </si>
  <si>
    <t>i7_IDT-24</t>
  </si>
  <si>
    <t>SI-GA-F8-3</t>
  </si>
  <si>
    <t>SI-GA-F8-4</t>
  </si>
  <si>
    <t>SI-GA-G8-3</t>
  </si>
  <si>
    <t>SI-GA-G8-4</t>
  </si>
  <si>
    <t>SI-GA-H8-3</t>
  </si>
  <si>
    <t xml:space="preserve">G05 </t>
  </si>
  <si>
    <t>SI-GA-H8-4</t>
  </si>
  <si>
    <t xml:space="preserve">F04 </t>
  </si>
  <si>
    <t>5A</t>
  </si>
  <si>
    <t>SI-GA-A9-3</t>
  </si>
  <si>
    <t>5B</t>
  </si>
  <si>
    <t>SI-GA-B9-3</t>
  </si>
  <si>
    <t>5C</t>
  </si>
  <si>
    <t>SI-GA-C9-3</t>
  </si>
  <si>
    <t>5D</t>
  </si>
  <si>
    <t>SI-GA-A9-4</t>
  </si>
  <si>
    <t xml:space="preserve">N711,D01 ,G07 </t>
  </si>
  <si>
    <t>SI-GA-D9-3</t>
  </si>
  <si>
    <t xml:space="preserve">F07 </t>
  </si>
  <si>
    <t>11A</t>
  </si>
  <si>
    <t>SI-GA-E9-3</t>
  </si>
  <si>
    <t xml:space="preserve">N726,7013,H10 </t>
  </si>
  <si>
    <t>11B</t>
  </si>
  <si>
    <t>SI-GA-F9-3</t>
  </si>
  <si>
    <t xml:space="preserve">E07 </t>
  </si>
  <si>
    <t>11C</t>
  </si>
  <si>
    <t>SI-GA-G9-3</t>
  </si>
  <si>
    <t>11D</t>
  </si>
  <si>
    <t>SI-GA-B9-4</t>
  </si>
  <si>
    <t xml:space="preserve">i7_IDT-13,7092,B05 </t>
  </si>
  <si>
    <t>SI-GA-H9-3</t>
  </si>
  <si>
    <t xml:space="preserve">7015,A09 </t>
  </si>
  <si>
    <t>SI-GA-A10-3</t>
  </si>
  <si>
    <t>SI-GA-B10-3</t>
  </si>
  <si>
    <t xml:space="preserve">F06 </t>
  </si>
  <si>
    <t>SI-GA-C10-3</t>
  </si>
  <si>
    <t>SI-GA-C9-4</t>
  </si>
  <si>
    <t xml:space="preserve">N710,B08 </t>
  </si>
  <si>
    <t>SI-GA-D10-3</t>
  </si>
  <si>
    <t>D710,7055,D12 ,1</t>
  </si>
  <si>
    <t>SI-GA-E10-3</t>
  </si>
  <si>
    <t>i7_IDT-12</t>
  </si>
  <si>
    <t>SI-GA-F10-3</t>
  </si>
  <si>
    <t>SI-GA-G10-3</t>
  </si>
  <si>
    <t>SI-GA-D9-4</t>
  </si>
  <si>
    <t>SI-GA-H10-3</t>
  </si>
  <si>
    <t>E01 ,31</t>
  </si>
  <si>
    <t>SI-GA-A11-3</t>
  </si>
  <si>
    <t>SI-GA-B11-3</t>
  </si>
  <si>
    <t>SI-GA-C11-3</t>
  </si>
  <si>
    <t>N704,D708,D711</t>
  </si>
  <si>
    <t>SI-GA-E9-4</t>
  </si>
  <si>
    <t xml:space="preserve">7014,F04 </t>
  </si>
  <si>
    <t>SI-GA-D11-3</t>
  </si>
  <si>
    <t>SI-GA-E11-3</t>
  </si>
  <si>
    <t xml:space="preserve">C10 ,G11 </t>
  </si>
  <si>
    <t>SI-GA-F11-3</t>
  </si>
  <si>
    <t>D02 ,14</t>
  </si>
  <si>
    <t>SI-GA-G11-3</t>
  </si>
  <si>
    <t xml:space="preserve">G09 </t>
  </si>
  <si>
    <t>SI-GA-F9-4</t>
  </si>
  <si>
    <t xml:space="preserve">i7_IDT-7,C09 </t>
  </si>
  <si>
    <t>SI-GA-H11-3</t>
  </si>
  <si>
    <t>SI-GA-A12-3</t>
  </si>
  <si>
    <t>SI-GA-B12-3</t>
  </si>
  <si>
    <t>SI-GA-C12-3</t>
  </si>
  <si>
    <t xml:space="preserve">G01 </t>
  </si>
  <si>
    <t>SI-GA-G9-4</t>
  </si>
  <si>
    <t>SI-GA-D12-3</t>
  </si>
  <si>
    <t>SI-GA-E12-3</t>
  </si>
  <si>
    <t xml:space="preserve">N702,C03 </t>
  </si>
  <si>
    <t>SI-GA-F12-3</t>
  </si>
  <si>
    <t>SI-GA-G12-3</t>
  </si>
  <si>
    <t>i7_IDT-14,N720,7050</t>
  </si>
  <si>
    <t>SI-GA-H9-4</t>
  </si>
  <si>
    <t xml:space="preserve">E09 </t>
  </si>
  <si>
    <t>SI-GA-H12-3</t>
  </si>
  <si>
    <t>5E</t>
  </si>
  <si>
    <t>5F</t>
  </si>
  <si>
    <t>5G</t>
  </si>
  <si>
    <t>5H</t>
  </si>
  <si>
    <t>SI-GA-A10-4</t>
  </si>
  <si>
    <t>11E</t>
  </si>
  <si>
    <t>11F</t>
  </si>
  <si>
    <t>11G</t>
  </si>
  <si>
    <t>11H</t>
  </si>
  <si>
    <t>SI-GA-B10-4</t>
  </si>
  <si>
    <t xml:space="preserve">C06 </t>
  </si>
  <si>
    <t>SI-GA-C10-4</t>
  </si>
  <si>
    <t>SI-GA-D10-4</t>
  </si>
  <si>
    <t>SI-GA-E10-4</t>
  </si>
  <si>
    <t>SI-GA-F10-4</t>
  </si>
  <si>
    <t xml:space="preserve">i7_IDT-23,D03 </t>
  </si>
  <si>
    <t>SI-GA-G10-4</t>
  </si>
  <si>
    <t>SI-GA-H10-4</t>
  </si>
  <si>
    <t>6A</t>
  </si>
  <si>
    <t>6B</t>
  </si>
  <si>
    <t>6C</t>
  </si>
  <si>
    <t>6D</t>
  </si>
  <si>
    <t>SI-GA-A11-4</t>
  </si>
  <si>
    <t>12A</t>
  </si>
  <si>
    <t>12B</t>
  </si>
  <si>
    <t>12C</t>
  </si>
  <si>
    <t>12D</t>
  </si>
  <si>
    <t>SI-GA-B11-4</t>
  </si>
  <si>
    <t>i7_IDT-7,7003,7013,7018,7032,7050,A10 ,30,40</t>
  </si>
  <si>
    <t>SI-GA-C11-4</t>
  </si>
  <si>
    <t>i7_IDT-19,7025</t>
  </si>
  <si>
    <t>SI-GA-D11-4</t>
  </si>
  <si>
    <t>SI-GA-E11-4</t>
  </si>
  <si>
    <t xml:space="preserve">G04 </t>
  </si>
  <si>
    <t>SI-GA-F11-4</t>
  </si>
  <si>
    <t>SI-GA-G11-4</t>
  </si>
  <si>
    <t>SI-GA-H11-4</t>
  </si>
  <si>
    <t>N723,D711</t>
  </si>
  <si>
    <t>6E</t>
  </si>
  <si>
    <t>6F</t>
  </si>
  <si>
    <t>6G</t>
  </si>
  <si>
    <t>6H</t>
  </si>
  <si>
    <t>SI-GA-A12-4</t>
  </si>
  <si>
    <t>12E</t>
  </si>
  <si>
    <t>12F</t>
  </si>
  <si>
    <t>12G</t>
  </si>
  <si>
    <t>12H</t>
  </si>
  <si>
    <t>SI-GA-B12-4</t>
  </si>
  <si>
    <t>SI-GA-C12-4</t>
  </si>
  <si>
    <t>7027,H04 ,29</t>
  </si>
  <si>
    <t>SI-GA-D12-4</t>
  </si>
  <si>
    <t xml:space="preserve">N711,H02 </t>
  </si>
  <si>
    <t>SI-GA-E12-4</t>
  </si>
  <si>
    <t>SI-GA-F12-4</t>
  </si>
  <si>
    <t>SI-GA-G12-4</t>
  </si>
  <si>
    <t>i7_IDT-21,D706,D708</t>
  </si>
  <si>
    <t>SI-GA-H12-4</t>
  </si>
  <si>
    <t>ArimaGenomics Hi-C</t>
  </si>
  <si>
    <t>Tissue weight (mg)</t>
  </si>
  <si>
    <t>Qubit of DNA from 10% cell pellet (ng/uL)</t>
  </si>
  <si>
    <t>Elution Volume</t>
  </si>
  <si>
    <t>DNA amount in 10% cell pellet aliquot (ng)</t>
  </si>
  <si>
    <t>Use half of 90% cell pellet</t>
  </si>
  <si>
    <t>Total ng to be Used in 90% cell pellet (ng)</t>
  </si>
  <si>
    <t>Qubit before QC1 (ng/uL)</t>
  </si>
  <si>
    <t>Volume for 75ng (uL)</t>
  </si>
  <si>
    <t>QC1 Qubit conc.(ng/uL)</t>
  </si>
  <si>
    <t>QC1 percentage</t>
  </si>
  <si>
    <t>QC1 PASS or NOT</t>
  </si>
  <si>
    <t>sonication DNA input (ul)</t>
  </si>
  <si>
    <t>sonication H2O input (ul)</t>
  </si>
  <si>
    <t>Sonication DNA amount (ng)</t>
  </si>
  <si>
    <t>Sonication program</t>
  </si>
  <si>
    <t>FL Storage freezer#</t>
  </si>
  <si>
    <t>FL Storage box Name</t>
  </si>
  <si>
    <t>Qubit</t>
  </si>
  <si>
    <t>Volume</t>
  </si>
  <si>
    <t xml:space="preserve">Cell Con1 </t>
  </si>
  <si>
    <t xml:space="preserve">Cell Con2 </t>
  </si>
  <si>
    <t xml:space="preserve">Cell Con3 </t>
  </si>
  <si>
    <t>client</t>
  </si>
  <si>
    <t>for libprep</t>
  </si>
  <si>
    <t>Customer Library ID</t>
  </si>
  <si>
    <t>Customer Library Pool ID</t>
  </si>
  <si>
    <t>Sample Volume (ul)</t>
  </si>
  <si>
    <t>Admera Health
Library ID</t>
  </si>
  <si>
    <t>Admera Health
Concentration Qubit (ng/ul)</t>
  </si>
  <si>
    <t>Admera Health
Concentration qPCR (nM)</t>
  </si>
  <si>
    <t>Extraction Operator Initial</t>
  </si>
  <si>
    <t>Extraction Date</t>
  </si>
  <si>
    <t>Extraction Kit</t>
  </si>
  <si>
    <t>Elution volume</t>
  </si>
  <si>
    <t>DNAse or RNAse treated</t>
  </si>
  <si>
    <t>The amount of samples used</t>
  </si>
  <si>
    <t xml:space="preserve">The amount of samples left </t>
  </si>
  <si>
    <t>Freezer/Fridge Samples Stored Locations</t>
  </si>
  <si>
    <t>Extraction Re</t>
  </si>
  <si>
    <t>TCTCCATG</t>
  </si>
  <si>
    <t>ACGTACAG</t>
  </si>
  <si>
    <t>AGGTCATC</t>
  </si>
  <si>
    <t>TACGTGAG</t>
  </si>
  <si>
    <t>TCATCGGA</t>
  </si>
  <si>
    <t>CTAGGAAC</t>
  </si>
  <si>
    <t>TATACCGG</t>
  </si>
  <si>
    <t>ACTTGGTG</t>
  </si>
  <si>
    <t>ATCGTAGG</t>
  </si>
  <si>
    <t>TGGTGTTG</t>
  </si>
  <si>
    <t>GAATCCTC</t>
  </si>
  <si>
    <t>CGGAACAA</t>
  </si>
  <si>
    <t>GCCGATTA</t>
  </si>
  <si>
    <t>TGACGAAG</t>
  </si>
  <si>
    <t>CGCCAATT</t>
  </si>
  <si>
    <t>CTTCCACT</t>
  </si>
  <si>
    <t>ACCACTTG</t>
  </si>
  <si>
    <t>AAGCAAGG</t>
  </si>
  <si>
    <t>TTAGCTGC</t>
  </si>
  <si>
    <t>CAAGCAGA</t>
  </si>
  <si>
    <t>ACGATCCT</t>
  </si>
  <si>
    <t>TCCGTCTT</t>
  </si>
  <si>
    <t>CGTTCCTA</t>
  </si>
  <si>
    <t>CAACGCTA</t>
  </si>
  <si>
    <t>CTGGAATG</t>
  </si>
  <si>
    <t>CCTTGCAT</t>
  </si>
  <si>
    <t>CGTACAAC</t>
  </si>
  <si>
    <t>ACTGCGAT</t>
  </si>
  <si>
    <t>CACTACGA</t>
  </si>
  <si>
    <t>GATGGCTT</t>
  </si>
  <si>
    <t>AGAGCCTT</t>
  </si>
  <si>
    <t>TGCGCAAT</t>
  </si>
  <si>
    <t>CTCCGTAT</t>
  </si>
  <si>
    <t>GAACGTAC</t>
  </si>
  <si>
    <t>CACTCTAC</t>
  </si>
  <si>
    <t>CCGACATA</t>
  </si>
  <si>
    <t>CTCTTCTG</t>
  </si>
  <si>
    <t>GCATATGG</t>
  </si>
  <si>
    <t>AGGTAGGT</t>
  </si>
  <si>
    <t>CGATTCAC</t>
  </si>
  <si>
    <t>GCCTCATT</t>
  </si>
  <si>
    <t>GACTGGAA</t>
  </si>
  <si>
    <t>GACATCAC</t>
  </si>
  <si>
    <t>ACACCAGT</t>
  </si>
  <si>
    <t>CCATGTTC</t>
  </si>
  <si>
    <t>CACATGCA</t>
  </si>
  <si>
    <t>GCTAGATC</t>
  </si>
  <si>
    <t>ACAGGTGA</t>
  </si>
  <si>
    <t>AATCCGGA</t>
  </si>
  <si>
    <t>TGTAAGGC</t>
  </si>
  <si>
    <t>CGATCTGT</t>
  </si>
  <si>
    <t>AGAATCGG</t>
  </si>
  <si>
    <t>GGTCTCAA</t>
  </si>
  <si>
    <t>AGAGTACC</t>
  </si>
  <si>
    <t>AATAGGCC</t>
  </si>
  <si>
    <t>TTCCGATC</t>
  </si>
  <si>
    <t>GTGTTCGT</t>
  </si>
  <si>
    <t>CCGCTAAT</t>
  </si>
  <si>
    <t>GTCACGAT</t>
  </si>
  <si>
    <t>CCGAATGT</t>
  </si>
  <si>
    <t>ACACTGAG</t>
  </si>
  <si>
    <t>CAACTTGG</t>
  </si>
  <si>
    <t>CGTTAGAG</t>
  </si>
  <si>
    <t>CAACCGAT</t>
  </si>
  <si>
    <t>GGTTGTGA</t>
  </si>
  <si>
    <t>TAGCCAAC</t>
  </si>
  <si>
    <t>GTAACCGA</t>
  </si>
  <si>
    <t>AAGACGAG</t>
  </si>
  <si>
    <t>GCGTAACA</t>
  </si>
  <si>
    <t>CTGGTTCA</t>
  </si>
  <si>
    <t>TTGAGCAC</t>
  </si>
  <si>
    <t>AATCGCAG</t>
  </si>
  <si>
    <t>GGAAGGTT</t>
  </si>
  <si>
    <t>ATGGTGAC</t>
  </si>
  <si>
    <t>GAGACACT</t>
  </si>
  <si>
    <t>TCAAGCGT</t>
  </si>
  <si>
    <t>GTGTGAAG</t>
  </si>
  <si>
    <t>TCGGTAGA</t>
  </si>
  <si>
    <t>GACTTACG</t>
  </si>
  <si>
    <t>CACAGAAG</t>
  </si>
  <si>
    <t>CTCAATCC</t>
  </si>
  <si>
    <t>ATTGGCCA</t>
  </si>
  <si>
    <t>GGACCATA</t>
  </si>
  <si>
    <t>ACACGCAT</t>
  </si>
  <si>
    <t>AGAACGCA</t>
  </si>
  <si>
    <t>AGGCATAT</t>
  </si>
  <si>
    <t>TTACGGCA</t>
  </si>
  <si>
    <t>AGAATCAT</t>
  </si>
  <si>
    <t>GTTCGTTG</t>
  </si>
  <si>
    <t>TTCGAGAT</t>
  </si>
  <si>
    <t>TTGGACCT</t>
  </si>
  <si>
    <t>GAACCTAT</t>
  </si>
  <si>
    <t>GGTAACCT</t>
  </si>
  <si>
    <t>GCGCTGAT</t>
  </si>
  <si>
    <t>AGCAGCAT</t>
  </si>
  <si>
    <t>CCTGCTAT</t>
  </si>
  <si>
    <t>CACACCTT</t>
  </si>
  <si>
    <t>CGCGGAAT</t>
  </si>
  <si>
    <t>AAGGAGCA</t>
  </si>
  <si>
    <t>AGACCAAT</t>
  </si>
  <si>
    <t>CGATGACA</t>
  </si>
  <si>
    <t>GGCCAAAT</t>
  </si>
  <si>
    <t>CTCGAGAA</t>
  </si>
  <si>
    <t>CCGACCAT</t>
  </si>
  <si>
    <t>TGCCTTAC</t>
  </si>
  <si>
    <t>CTCATAAT</t>
  </si>
  <si>
    <t>ACAAGACG</t>
  </si>
  <si>
    <t>AAGTGGAT</t>
  </si>
  <si>
    <t>IDP48</t>
  </si>
  <si>
    <t>TGCTATAT</t>
  </si>
  <si>
    <t>IDP47</t>
  </si>
  <si>
    <t>ACTCTTAT</t>
  </si>
  <si>
    <t>IDP46</t>
  </si>
  <si>
    <t>GCAGCCAT</t>
  </si>
  <si>
    <t>IDP45</t>
  </si>
  <si>
    <t>IDP44</t>
  </si>
  <si>
    <t>CATCTAAT</t>
  </si>
  <si>
    <t>IDP43</t>
  </si>
  <si>
    <t>GCCACAAT</t>
  </si>
  <si>
    <t>IDP42</t>
  </si>
  <si>
    <t>ATTGGTAT</t>
  </si>
  <si>
    <t>IDP41</t>
  </si>
  <si>
    <t>ATGGCGAT</t>
  </si>
  <si>
    <t>IDP40</t>
  </si>
  <si>
    <t>CGTCGCAT</t>
  </si>
  <si>
    <t>IDP39</t>
  </si>
  <si>
    <t>CGATCTAT</t>
  </si>
  <si>
    <t>IDP38</t>
  </si>
  <si>
    <t>GACATCAT</t>
  </si>
  <si>
    <t>IDP37</t>
  </si>
  <si>
    <t>GTAGAAAT</t>
  </si>
  <si>
    <t>IDP36</t>
  </si>
  <si>
    <t>CAGATGAT</t>
  </si>
  <si>
    <t>IDP35</t>
  </si>
  <si>
    <t>AACCGAAT</t>
  </si>
  <si>
    <t>IDP34</t>
  </si>
  <si>
    <t>AGTTGAAT</t>
  </si>
  <si>
    <t>IDP33</t>
  </si>
  <si>
    <t>CCAATTAT</t>
  </si>
  <si>
    <t>IDP32</t>
  </si>
  <si>
    <t>TCGTTCAT</t>
  </si>
  <si>
    <t>IDP31</t>
  </si>
  <si>
    <t>GACGATAT</t>
  </si>
  <si>
    <t>IDP30</t>
  </si>
  <si>
    <t>AAGCTCAT</t>
  </si>
  <si>
    <t>IDP29</t>
  </si>
  <si>
    <t>CAGGACAT</t>
  </si>
  <si>
    <t>IDP28</t>
  </si>
  <si>
    <t>ACGTCTAT</t>
  </si>
  <si>
    <t>IDP27</t>
  </si>
  <si>
    <t>CAATGCAT</t>
  </si>
  <si>
    <t>IDP26</t>
  </si>
  <si>
    <t>GAAGTGAT</t>
  </si>
  <si>
    <t>IDP25</t>
  </si>
  <si>
    <t>TTCCGCAT</t>
  </si>
  <si>
    <t>IDP24</t>
  </si>
  <si>
    <t>GGTGAGAT</t>
  </si>
  <si>
    <t>IDP23</t>
  </si>
  <si>
    <t>ATAAGAAT</t>
  </si>
  <si>
    <t>IDP22</t>
  </si>
  <si>
    <t>N702,AH13</t>
  </si>
  <si>
    <t>AGTACTAT</t>
  </si>
  <si>
    <t>IDP21</t>
  </si>
  <si>
    <t>ATATCCAT</t>
  </si>
  <si>
    <t>IDP20</t>
  </si>
  <si>
    <t>ACAACGAT</t>
  </si>
  <si>
    <t>IDP19</t>
  </si>
  <si>
    <t>AATGAAAT</t>
  </si>
  <si>
    <t>IDP18</t>
  </si>
  <si>
    <t>CGCCTGAT</t>
  </si>
  <si>
    <t>IDP17</t>
  </si>
  <si>
    <t>GGTATAAT</t>
  </si>
  <si>
    <t>IDP16</t>
  </si>
  <si>
    <t>CACTAAAT</t>
  </si>
  <si>
    <t>IDP15</t>
  </si>
  <si>
    <t>TCGAGGAT</t>
  </si>
  <si>
    <t>IDP14</t>
  </si>
  <si>
    <t>GTGCCAAT</t>
  </si>
  <si>
    <t>IDP13</t>
  </si>
  <si>
    <t>AATAGCAT</t>
  </si>
  <si>
    <t>IDP12</t>
  </si>
  <si>
    <t>GCATGGAT</t>
  </si>
  <si>
    <t>IDP11</t>
  </si>
  <si>
    <t>CTCCATAT</t>
  </si>
  <si>
    <t>IDP10</t>
  </si>
  <si>
    <t>TAGGCTAT</t>
  </si>
  <si>
    <t>IDP9</t>
  </si>
  <si>
    <t>ACAGATAT</t>
  </si>
  <si>
    <t>IDP8</t>
  </si>
  <si>
    <t>AAGACAAT</t>
  </si>
  <si>
    <t>IDP7</t>
  </si>
  <si>
    <t>TGACACAT</t>
  </si>
  <si>
    <t>IDP6</t>
  </si>
  <si>
    <t>CTCTCGAT</t>
  </si>
  <si>
    <t>IDP5</t>
  </si>
  <si>
    <t>GATTGTAT</t>
  </si>
  <si>
    <t>IDP4</t>
  </si>
  <si>
    <t>CAACAGAT</t>
  </si>
  <si>
    <t>IDP3</t>
  </si>
  <si>
    <t>ACCGTGAT</t>
  </si>
  <si>
    <t>IDP2</t>
  </si>
  <si>
    <t>TGGCGAAT</t>
  </si>
  <si>
    <t>IDP1</t>
  </si>
  <si>
    <t>CGCAACAT</t>
  </si>
  <si>
    <t>Qiseq small RNA</t>
  </si>
  <si>
    <t>GTTACCAT</t>
  </si>
  <si>
    <t>TTGGTAAT</t>
  </si>
  <si>
    <t>AGATAGAT</t>
  </si>
  <si>
    <t>ATACGCAG</t>
  </si>
  <si>
    <t>CATGGATC</t>
  </si>
  <si>
    <t>CCTTCCAT</t>
  </si>
  <si>
    <t>CGAAGGAT</t>
  </si>
  <si>
    <t>GACTACGA</t>
  </si>
  <si>
    <t>CCAGTTGA</t>
  </si>
  <si>
    <t>ACGAATCC</t>
  </si>
  <si>
    <t>ACCTACAT</t>
  </si>
  <si>
    <t>CTCACCAA</t>
  </si>
  <si>
    <t>GACACAGT</t>
  </si>
  <si>
    <t>CACAGGAA</t>
  </si>
  <si>
    <t>TGGATTAT</t>
  </si>
  <si>
    <t>CATTCGTC</t>
  </si>
  <si>
    <t>AGACATGC</t>
  </si>
  <si>
    <t>ACGCTTCT</t>
  </si>
  <si>
    <t>GCGAATAT</t>
  </si>
  <si>
    <t>AGGTCTGT</t>
  </si>
  <si>
    <t>CACGATTC</t>
  </si>
  <si>
    <t>AGAGGATG</t>
  </si>
  <si>
    <t>GCTCGAAT</t>
  </si>
  <si>
    <t>GTGTCCTT</t>
  </si>
  <si>
    <t>GGATTCAC</t>
  </si>
  <si>
    <t>GAACCTTC</t>
  </si>
  <si>
    <t>CAAGCAAT</t>
  </si>
  <si>
    <t>AAGCTGGT</t>
  </si>
  <si>
    <t>ACTGGTGT</t>
  </si>
  <si>
    <t>CGGAGTAT</t>
  </si>
  <si>
    <t>AACGCCAT</t>
  </si>
  <si>
    <t>CTCTCAGA</t>
  </si>
  <si>
    <t>CAGGTTCA</t>
  </si>
  <si>
    <t>TCGGATTC</t>
  </si>
  <si>
    <t>TTTATGAT</t>
  </si>
  <si>
    <t>CATACGGA</t>
  </si>
  <si>
    <t>CTTCCTTC</t>
  </si>
  <si>
    <t>AGCCTATC</t>
  </si>
  <si>
    <t>CCGCAAAT</t>
  </si>
  <si>
    <t>AACACCAC</t>
  </si>
  <si>
    <t>AGACCTTG</t>
  </si>
  <si>
    <t>TCGCTATC</t>
  </si>
  <si>
    <t>CACACTAT</t>
  </si>
  <si>
    <t>TGGAAGCA</t>
  </si>
  <si>
    <t>AGGTTCCT</t>
  </si>
  <si>
    <t>GTCAACAG</t>
  </si>
  <si>
    <t>GGAGGTAT</t>
  </si>
  <si>
    <t>TCTAGGAG</t>
  </si>
  <si>
    <t>CAGAGTGA</t>
  </si>
  <si>
    <t>CATCCAAG</t>
  </si>
  <si>
    <t>GAGTCCAT</t>
  </si>
  <si>
    <t>GGTGTACA</t>
  </si>
  <si>
    <t>TGAGCTGT</t>
  </si>
  <si>
    <t>TATGTCAT</t>
  </si>
  <si>
    <t>GTGGTATG</t>
  </si>
  <si>
    <t>AGAAGGAC</t>
  </si>
  <si>
    <t>TGTTCCGT</t>
  </si>
  <si>
    <t>ATACTGAT</t>
  </si>
  <si>
    <t>CCGCTTAA</t>
  </si>
  <si>
    <t>TAGCAGGA</t>
  </si>
  <si>
    <t>AAGGCTCT</t>
  </si>
  <si>
    <t>GTCAGGAT</t>
  </si>
  <si>
    <t>CCACAACA</t>
  </si>
  <si>
    <t>TATCGCGA</t>
  </si>
  <si>
    <t>TCAGCCTT</t>
  </si>
  <si>
    <t>TCTTAAAT</t>
  </si>
  <si>
    <t>ACTCCTAC</t>
  </si>
  <si>
    <t>AGTCAGGT</t>
  </si>
  <si>
    <t>CGGATCAA</t>
  </si>
  <si>
    <t>TACCTTAT</t>
  </si>
  <si>
    <t>TCACTCGA</t>
  </si>
  <si>
    <t>ACCAAGCA</t>
  </si>
  <si>
    <t>CACACATC</t>
  </si>
  <si>
    <t>GGCTGCAT</t>
  </si>
  <si>
    <t>CTGTGGTA</t>
  </si>
  <si>
    <t>GTCTCATC</t>
  </si>
  <si>
    <t>ACGTCCAA</t>
  </si>
  <si>
    <t>AATCCGAT</t>
  </si>
  <si>
    <t>TGTGGCTT</t>
  </si>
  <si>
    <t>CAAGTCGT</t>
  </si>
  <si>
    <t>TAGCTGAG</t>
  </si>
  <si>
    <t>CCTAAGAT</t>
  </si>
  <si>
    <t>CCTCGAAT</t>
  </si>
  <si>
    <t>TAGCTTCC</t>
  </si>
  <si>
    <t>GAAGATCC</t>
  </si>
  <si>
    <t>ATGAACAT</t>
  </si>
  <si>
    <t>TGCTGTGA</t>
  </si>
  <si>
    <t>CGCTGATA</t>
  </si>
  <si>
    <t>AGAAGCCT</t>
  </si>
  <si>
    <t>TTAACTAT</t>
  </si>
  <si>
    <t>TTCACGGA</t>
  </si>
  <si>
    <t>GGTCGTAT</t>
  </si>
  <si>
    <t>GTCCTGTT</t>
  </si>
  <si>
    <t>CGGTTAAT</t>
  </si>
  <si>
    <t>AACACGCT</t>
  </si>
  <si>
    <t>CCTGTCAA</t>
  </si>
  <si>
    <t>ACGTCGTT</t>
  </si>
  <si>
    <t>TCAGGAAT</t>
  </si>
  <si>
    <t>GCATAGTC</t>
  </si>
  <si>
    <t>CTGTACCA</t>
  </si>
  <si>
    <t>GAGTAGAG</t>
  </si>
  <si>
    <t>TGTGCAAT</t>
  </si>
  <si>
    <t>GCACACAA</t>
  </si>
  <si>
    <t>CTAGCTCA</t>
  </si>
  <si>
    <t>AGCCGTAA</t>
  </si>
  <si>
    <t>CTAGTCAT</t>
  </si>
  <si>
    <t>TGGCTACA</t>
  </si>
  <si>
    <t>GATGGAGT</t>
  </si>
  <si>
    <t>CGTCCATT</t>
  </si>
  <si>
    <t>GTGTAGAT</t>
  </si>
  <si>
    <t>AGTGCATC</t>
  </si>
  <si>
    <t>ACTCTGAG</t>
  </si>
  <si>
    <t>ACTCTCCA</t>
  </si>
  <si>
    <t>ACATTAAT</t>
  </si>
  <si>
    <t>TCGACAAG</t>
  </si>
  <si>
    <t>TGTCGACT</t>
  </si>
  <si>
    <t>GCGTATCA</t>
  </si>
  <si>
    <t>TGCACGAT</t>
  </si>
  <si>
    <t>CTCGAACA</t>
  </si>
  <si>
    <t>GTAAGGTG</t>
  </si>
  <si>
    <t>ACTATCGC</t>
  </si>
  <si>
    <t>ACCAGTAT</t>
  </si>
  <si>
    <t>CTGATGAG</t>
  </si>
  <si>
    <t>AACGCCTT</t>
  </si>
  <si>
    <t>AGCTAGTG</t>
  </si>
  <si>
    <t>GATCACAT</t>
  </si>
  <si>
    <t>CAAGAAGC</t>
  </si>
  <si>
    <t>CACGTCTA</t>
  </si>
  <si>
    <t>CAGCGTAT</t>
  </si>
  <si>
    <t>Nugen RNA</t>
  </si>
  <si>
    <t>collision (don't run with SI)</t>
  </si>
  <si>
    <t>Lexogen barcode plate</t>
  </si>
  <si>
    <t>N703,D705</t>
  </si>
  <si>
    <t>N712,D705</t>
  </si>
  <si>
    <t>SueSelect XT Low Input index 1-96</t>
  </si>
  <si>
    <r>
      <t>18034-Canine Cancer Panel,WGS(kapa Hyper),</t>
    </r>
    <r>
      <rPr>
        <sz val="11"/>
        <color theme="0" tint="-0.14999847407452621"/>
        <rFont val="Calibri"/>
        <family val="2"/>
        <scheme val="minor"/>
      </rPr>
      <t>WES(STI adpotor)/IDT Xgen/sureselect mouse</t>
    </r>
    <r>
      <rPr>
        <sz val="11"/>
        <color theme="1"/>
        <rFont val="Calibri"/>
        <family val="2"/>
        <scheme val="minor"/>
      </rPr>
      <t xml:space="preserve">, Nextera XT, 16s, Poly A,Ribo-zero, NEB Ultra directional, </t>
    </r>
    <r>
      <rPr>
        <sz val="11"/>
        <color theme="0" tint="-0.14999847407452621"/>
        <rFont val="Calibri"/>
        <family val="2"/>
        <scheme val="minor"/>
      </rPr>
      <t>sureselect+UTR</t>
    </r>
    <r>
      <rPr>
        <sz val="11"/>
        <color theme="1"/>
        <rFont val="Calibri"/>
        <family val="2"/>
        <scheme val="minor"/>
      </rPr>
      <t>, chipseq,WBGS</t>
    </r>
  </si>
  <si>
    <t>TGAGGAAT</t>
  </si>
  <si>
    <t>TCCTGACC</t>
  </si>
  <si>
    <t>GAACGCTC</t>
  </si>
  <si>
    <t>CAACGTAT</t>
  </si>
  <si>
    <t>TATGGTGG</t>
  </si>
  <si>
    <t>CACATAGC</t>
  </si>
  <si>
    <t>ACACAAGG</t>
  </si>
  <si>
    <t>GAAGTACC</t>
  </si>
  <si>
    <t>ATGATAGG</t>
  </si>
  <si>
    <t>GCAATGTT</t>
  </si>
  <si>
    <t>ACATAGCG</t>
  </si>
  <si>
    <t>GGTAGCTC</t>
  </si>
  <si>
    <t>CCTTACCA</t>
  </si>
  <si>
    <t>TGATAACG</t>
  </si>
  <si>
    <t>ATAACGTG</t>
  </si>
  <si>
    <t>CCTGTAAT</t>
  </si>
  <si>
    <t>CTGAGAAT</t>
  </si>
  <si>
    <t>ACTGGACG</t>
  </si>
  <si>
    <t>TAAGTCAC</t>
  </si>
  <si>
    <t>GAGAAACC</t>
  </si>
  <si>
    <t>GACGACTG</t>
  </si>
  <si>
    <t>TACCGAAG</t>
  </si>
  <si>
    <t>GTTCTAGT</t>
  </si>
  <si>
    <t>TCAAAGAG</t>
  </si>
  <si>
    <t>ATCAACGT</t>
  </si>
  <si>
    <t>CCTCCCAT</t>
  </si>
  <si>
    <t>TCGATGAA</t>
  </si>
  <si>
    <t>TGTTGCAA</t>
  </si>
  <si>
    <t>GGAACAAT</t>
  </si>
  <si>
    <t>TCACTAAG</t>
  </si>
  <si>
    <t>GAGACCGT</t>
  </si>
  <si>
    <t>CGCAAGAT</t>
  </si>
  <si>
    <t>TCAAGTCA</t>
  </si>
  <si>
    <t>GGTATGGT</t>
  </si>
  <si>
    <t>TATGCAAC</t>
  </si>
  <si>
    <t>TACAAAGG</t>
  </si>
  <si>
    <t>ATCGAAAC</t>
  </si>
  <si>
    <t>GCGTTACA</t>
  </si>
  <si>
    <t>AGTAGACT</t>
  </si>
  <si>
    <t>TAGTGTTC</t>
  </si>
  <si>
    <t>TAGCTCGG</t>
  </si>
  <si>
    <t>CAAGTGGT</t>
  </si>
  <si>
    <t>GACGGAAA</t>
  </si>
  <si>
    <t>GTACAGAT</t>
  </si>
  <si>
    <t>GCCGGATT</t>
  </si>
  <si>
    <t>GATAGGAT</t>
  </si>
  <si>
    <t>TGGTCAAG</t>
  </si>
  <si>
    <t>CATGGCTT</t>
  </si>
  <si>
    <t>TACGAACT</t>
  </si>
  <si>
    <t>CATCTTCA</t>
  </si>
  <si>
    <t>CACGCATT</t>
  </si>
  <si>
    <t>CTGACCTC</t>
  </si>
  <si>
    <t>TCGGTAGC</t>
  </si>
  <si>
    <t>GTCAAGTG</t>
  </si>
  <si>
    <t>CATACTGG</t>
  </si>
  <si>
    <t>TCGACACT</t>
  </si>
  <si>
    <t>GCTCGAAC</t>
  </si>
  <si>
    <t>CGGAAAGA</t>
  </si>
  <si>
    <t>AGACGCCA</t>
  </si>
  <si>
    <t>TAGAGTCG</t>
  </si>
  <si>
    <t>CAATGACT</t>
  </si>
  <si>
    <t>ATTCACAG</t>
  </si>
  <si>
    <t>TTACCACC</t>
  </si>
  <si>
    <t>GTATCAAC</t>
  </si>
  <si>
    <t>GAACAATG</t>
  </si>
  <si>
    <t>TTCCATCA</t>
  </si>
  <si>
    <t>AGCGACAT</t>
  </si>
  <si>
    <t>GATCCGCT</t>
  </si>
  <si>
    <t>GTTACAGC</t>
  </si>
  <si>
    <t>AATCGATG</t>
  </si>
  <si>
    <t>GAGCCAAG</t>
  </si>
  <si>
    <t>CAGGAAAG</t>
  </si>
  <si>
    <t>TGGACGAC</t>
  </si>
  <si>
    <t>GCTCATTG</t>
  </si>
  <si>
    <t>AGTACCGA</t>
  </si>
  <si>
    <t>ACTAAGTC</t>
  </si>
  <si>
    <t>CACCAGTT</t>
  </si>
  <si>
    <t>TCCGCTGA</t>
  </si>
  <si>
    <t>TACAGCGT</t>
  </si>
  <si>
    <t>GCTTCATG</t>
  </si>
  <si>
    <t>CCAAACCT</t>
  </si>
  <si>
    <t>CGTGATAA</t>
  </si>
  <si>
    <t>GGATGATA</t>
  </si>
  <si>
    <t>GTGCGACA</t>
  </si>
  <si>
    <t>ACAAGGAC</t>
  </si>
  <si>
    <t>GCCTAAAT</t>
  </si>
  <si>
    <t>TCTAGTGT</t>
  </si>
  <si>
    <t>GACCACAC</t>
  </si>
  <si>
    <t>GACCTCCT</t>
  </si>
  <si>
    <t>TCGAACGC</t>
  </si>
  <si>
    <t>CTGTCAGT</t>
  </si>
  <si>
    <t>CCACACGA</t>
  </si>
  <si>
    <t>SueSelect XT Low Input index 97-192</t>
  </si>
  <si>
    <t>CTGTGTTG</t>
  </si>
  <si>
    <t>CAACACAG</t>
  </si>
  <si>
    <t>CTTCACAT</t>
  </si>
  <si>
    <t>U096</t>
  </si>
  <si>
    <t>TCCAGTCG</t>
  </si>
  <si>
    <t>TACTTCGG</t>
  </si>
  <si>
    <t>U048</t>
  </si>
  <si>
    <t>TGAGGTGT</t>
  </si>
  <si>
    <t>ACACCTCA</t>
  </si>
  <si>
    <t>CACCCAAA</t>
  </si>
  <si>
    <t>U095</t>
  </si>
  <si>
    <t>TGTATGCG</t>
  </si>
  <si>
    <t>TGAACTGG</t>
  </si>
  <si>
    <t>U047</t>
  </si>
  <si>
    <t>CCTATGGT</t>
  </si>
  <si>
    <t>ACCATAGG</t>
  </si>
  <si>
    <t>TCGAAGTG</t>
  </si>
  <si>
    <t>U094</t>
  </si>
  <si>
    <t>TCATTGAG</t>
  </si>
  <si>
    <t>TTGGTATG</t>
  </si>
  <si>
    <t>U046</t>
  </si>
  <si>
    <t>CTTACCTG</t>
  </si>
  <si>
    <t>CAGGTAAG</t>
  </si>
  <si>
    <t>TTGACTCT</t>
  </si>
  <si>
    <t>U093</t>
  </si>
  <si>
    <t>TGGCTCAG</t>
  </si>
  <si>
    <t>TAACGCTG</t>
  </si>
  <si>
    <t>U045</t>
  </si>
  <si>
    <t>TGTGCGTT</t>
  </si>
  <si>
    <t>AACGCACA</t>
  </si>
  <si>
    <t>TCTCGGTT</t>
  </si>
  <si>
    <t>U092</t>
  </si>
  <si>
    <t>TATGCCAG</t>
  </si>
  <si>
    <t>TTCCATTG</t>
  </si>
  <si>
    <t>U044</t>
  </si>
  <si>
    <t>CGAGACTA</t>
  </si>
  <si>
    <t>TAGTCTCG</t>
  </si>
  <si>
    <t>ATCACGTT</t>
  </si>
  <si>
    <t>U091</t>
  </si>
  <si>
    <t>TCAGATTC</t>
  </si>
  <si>
    <t>TGTGGTTG</t>
  </si>
  <si>
    <t>U043</t>
  </si>
  <si>
    <t>TGTGACTG</t>
  </si>
  <si>
    <t>CAGTCACA</t>
  </si>
  <si>
    <t>AGCCAACT</t>
  </si>
  <si>
    <t>U090</t>
  </si>
  <si>
    <t>GTCCAACC</t>
  </si>
  <si>
    <t>GGTTGGAC</t>
  </si>
  <si>
    <t>TACAGGAT</t>
  </si>
  <si>
    <t>U042</t>
  </si>
  <si>
    <t>AGTGTTGG</t>
  </si>
  <si>
    <t>CCAACACT</t>
  </si>
  <si>
    <t>CCACATTG</t>
  </si>
  <si>
    <t>U089</t>
  </si>
  <si>
    <t>TAAGTGTC</t>
  </si>
  <si>
    <t>GACACTTA</t>
  </si>
  <si>
    <t>TTCCTGCT</t>
  </si>
  <si>
    <t>U041</t>
  </si>
  <si>
    <t>TGGCATGT</t>
  </si>
  <si>
    <t>ACATGCCA</t>
  </si>
  <si>
    <t>TTGAGCTC</t>
  </si>
  <si>
    <t>U088</t>
  </si>
  <si>
    <t>TCCATAGC</t>
  </si>
  <si>
    <t>GCTATGGA</t>
  </si>
  <si>
    <t>TGCGATCT</t>
  </si>
  <si>
    <t>U040</t>
  </si>
  <si>
    <t>AGCGGAAT</t>
  </si>
  <si>
    <t>ATTCCGCT</t>
  </si>
  <si>
    <t>TGACCGTT</t>
  </si>
  <si>
    <t>U087</t>
  </si>
  <si>
    <t>TCGGTTAC</t>
  </si>
  <si>
    <t>TGCATAGT</t>
  </si>
  <si>
    <t>U039</t>
  </si>
  <si>
    <t>GTACCTTG</t>
  </si>
  <si>
    <t>CAAGGTAC</t>
  </si>
  <si>
    <t>GCAACCAT</t>
  </si>
  <si>
    <t>U086</t>
  </si>
  <si>
    <t>TGCTTGCC</t>
  </si>
  <si>
    <t>GGCAAGCA</t>
  </si>
  <si>
    <t>TGATACGT</t>
  </si>
  <si>
    <t>U038</t>
  </si>
  <si>
    <t>GTTCATGG</t>
  </si>
  <si>
    <t>CCATGAAC</t>
  </si>
  <si>
    <t>CGCCTTAT</t>
  </si>
  <si>
    <t>U085</t>
  </si>
  <si>
    <t>TGTCGTTC</t>
  </si>
  <si>
    <t>GAACGACA</t>
  </si>
  <si>
    <t>TCGAGCGT</t>
  </si>
  <si>
    <t>U037</t>
  </si>
  <si>
    <t>AAGGCTGA</t>
  </si>
  <si>
    <t>CTTGCTTC</t>
  </si>
  <si>
    <t>U084</t>
  </si>
  <si>
    <t>TTCGACGC</t>
  </si>
  <si>
    <t>GCGTCGAA</t>
  </si>
  <si>
    <t>TTGGAGGT</t>
  </si>
  <si>
    <t>U036</t>
  </si>
  <si>
    <t>AAGCACTG</t>
  </si>
  <si>
    <t>CAGTGCTT</t>
  </si>
  <si>
    <t>CCGACAAG</t>
  </si>
  <si>
    <t>U083</t>
  </si>
  <si>
    <t>ATCGCCTT</t>
  </si>
  <si>
    <t>AAGGCGAT</t>
  </si>
  <si>
    <t>TCTGCTGT</t>
  </si>
  <si>
    <t>U035</t>
  </si>
  <si>
    <t>TGTTCGAG</t>
  </si>
  <si>
    <t>CACTCGAG</t>
  </si>
  <si>
    <t>U082</t>
  </si>
  <si>
    <t>AATGCCTG</t>
  </si>
  <si>
    <t>CAGGCATT</t>
  </si>
  <si>
    <t>TGTACCTT</t>
  </si>
  <si>
    <t>U034</t>
  </si>
  <si>
    <t>CGAACTGT</t>
  </si>
  <si>
    <t>ACAGTTCG</t>
  </si>
  <si>
    <t>CTGTACGG</t>
  </si>
  <si>
    <t>U081</t>
  </si>
  <si>
    <t>ATACAGTT</t>
  </si>
  <si>
    <t>AACTGTAT</t>
  </si>
  <si>
    <t>TGGTTGTT</t>
  </si>
  <si>
    <t>U033</t>
  </si>
  <si>
    <t>GGAAGGAT</t>
  </si>
  <si>
    <t>ATCCTTCC</t>
  </si>
  <si>
    <t>CATGAATG</t>
  </si>
  <si>
    <t>U080</t>
  </si>
  <si>
    <t>TCAAGCAT</t>
  </si>
  <si>
    <t>ATGCTTGA</t>
  </si>
  <si>
    <t>TAGCTTGT</t>
  </si>
  <si>
    <t>U032</t>
  </si>
  <si>
    <t>TGACTTCG</t>
  </si>
  <si>
    <t>CGAAGTCA</t>
  </si>
  <si>
    <t>CTATCATG</t>
  </si>
  <si>
    <t>U079</t>
  </si>
  <si>
    <t>CAGATACT</t>
  </si>
  <si>
    <t>AGTATCTG</t>
  </si>
  <si>
    <t>ACTTGATG</t>
  </si>
  <si>
    <t>U031</t>
  </si>
  <si>
    <t>CGATAGAG</t>
  </si>
  <si>
    <t>CTCTATCG</t>
  </si>
  <si>
    <t>CCACCGAT</t>
  </si>
  <si>
    <t>U078</t>
  </si>
  <si>
    <t>CATTACAT</t>
  </si>
  <si>
    <t>ATGTAATG</t>
  </si>
  <si>
    <t>U030</t>
  </si>
  <si>
    <t>TGGAGAGT</t>
  </si>
  <si>
    <t>CCTAGTAT</t>
  </si>
  <si>
    <t>U077</t>
  </si>
  <si>
    <t>ACATGTGT</t>
  </si>
  <si>
    <t>ACACATGT</t>
  </si>
  <si>
    <t>GCCAATGT</t>
  </si>
  <si>
    <t>U029</t>
  </si>
  <si>
    <t>CATGAGGA</t>
  </si>
  <si>
    <t>TCCTCATG</t>
  </si>
  <si>
    <t>CAAGACCT</t>
  </si>
  <si>
    <t>U076</t>
  </si>
  <si>
    <t>CGTGCTAT</t>
  </si>
  <si>
    <t>ATAGCACG</t>
  </si>
  <si>
    <t>ACAGTGGT</t>
  </si>
  <si>
    <t>U028</t>
  </si>
  <si>
    <t>CGGTTGTT</t>
  </si>
  <si>
    <t>AACAACCG</t>
  </si>
  <si>
    <t>CGCTTCCT</t>
  </si>
  <si>
    <t>U075</t>
  </si>
  <si>
    <t>TACAATAT</t>
  </si>
  <si>
    <t>ATATTGTA</t>
  </si>
  <si>
    <t>U027</t>
  </si>
  <si>
    <t>AGAACGAG</t>
  </si>
  <si>
    <t>CTCGTTCT</t>
  </si>
  <si>
    <t>CCGTATCT</t>
  </si>
  <si>
    <t>U074</t>
  </si>
  <si>
    <t>ATCAATTG</t>
  </si>
  <si>
    <t>CAATTGAT</t>
  </si>
  <si>
    <t>CGATGTTT</t>
  </si>
  <si>
    <t>U026</t>
  </si>
  <si>
    <t>CCTACTGA</t>
  </si>
  <si>
    <t>TCAGTAGG</t>
  </si>
  <si>
    <t>AGTCTGTA</t>
  </si>
  <si>
    <t>U073</t>
  </si>
  <si>
    <t>ACGACGTG</t>
  </si>
  <si>
    <t>CACGTCGT</t>
  </si>
  <si>
    <t>GCTTCACA</t>
  </si>
  <si>
    <t>U025</t>
  </si>
  <si>
    <t>TGTGAAGC</t>
  </si>
  <si>
    <t>U072</t>
  </si>
  <si>
    <t>U024</t>
  </si>
  <si>
    <t>U071</t>
  </si>
  <si>
    <t>AGATACGG</t>
  </si>
  <si>
    <t>U023</t>
  </si>
  <si>
    <t>U070</t>
  </si>
  <si>
    <t>AGGAAGCG</t>
  </si>
  <si>
    <t>U022</t>
  </si>
  <si>
    <t>U069</t>
  </si>
  <si>
    <t>AGGTCTTG</t>
  </si>
  <si>
    <t>U021</t>
  </si>
  <si>
    <t>U068</t>
  </si>
  <si>
    <t>ATACTAGG</t>
  </si>
  <si>
    <t>U020</t>
  </si>
  <si>
    <t>U067</t>
  </si>
  <si>
    <t>ATCGGTGG</t>
  </si>
  <si>
    <t>U019</t>
  </si>
  <si>
    <t>U066</t>
  </si>
  <si>
    <t>CATGATAG</t>
  </si>
  <si>
    <t>U018</t>
  </si>
  <si>
    <t>U065</t>
  </si>
  <si>
    <t>CATTCATG</t>
  </si>
  <si>
    <t>U017</t>
  </si>
  <si>
    <t>U064</t>
  </si>
  <si>
    <t>CCGTACAG</t>
  </si>
  <si>
    <t>U016</t>
  </si>
  <si>
    <t>U063</t>
  </si>
  <si>
    <t>CTCGAGTG</t>
  </si>
  <si>
    <t>U015</t>
  </si>
  <si>
    <t>U062</t>
  </si>
  <si>
    <t>CTTGTCGG</t>
  </si>
  <si>
    <t>U014</t>
  </si>
  <si>
    <t>U061</t>
  </si>
  <si>
    <t>GAAGCAAG</t>
  </si>
  <si>
    <t>U013</t>
  </si>
  <si>
    <t>U060</t>
  </si>
  <si>
    <t>ATAAGGCG</t>
  </si>
  <si>
    <t>U012</t>
  </si>
  <si>
    <t>U059</t>
  </si>
  <si>
    <t>ATGGTTGC</t>
  </si>
  <si>
    <t>U011</t>
  </si>
  <si>
    <t>U058</t>
  </si>
  <si>
    <t>AACGGTCA</t>
  </si>
  <si>
    <t>U010</t>
  </si>
  <si>
    <t>U057</t>
  </si>
  <si>
    <t>GAGCTCAA</t>
  </si>
  <si>
    <t>U009</t>
  </si>
  <si>
    <t>U056</t>
  </si>
  <si>
    <t>CAATGTGG</t>
  </si>
  <si>
    <t>U008</t>
  </si>
  <si>
    <t>U055</t>
  </si>
  <si>
    <t>AGTTGGCT</t>
  </si>
  <si>
    <t>U007</t>
  </si>
  <si>
    <t>U054</t>
  </si>
  <si>
    <t>U006</t>
  </si>
  <si>
    <t>U053</t>
  </si>
  <si>
    <t>U005</t>
  </si>
  <si>
    <t>U052</t>
  </si>
  <si>
    <t>U004</t>
  </si>
  <si>
    <t>U051</t>
  </si>
  <si>
    <t>U003</t>
  </si>
  <si>
    <t>U050</t>
  </si>
  <si>
    <t>TTTGGGTG</t>
  </si>
  <si>
    <t>U002</t>
  </si>
  <si>
    <t>U049</t>
  </si>
  <si>
    <t>ATGTGAAG</t>
  </si>
  <si>
    <t>U001</t>
  </si>
  <si>
    <t>UDI #</t>
  </si>
  <si>
    <t>i5 Bases for Sample Sheet
iSeq, MiniSeq, NextSeq,
HiSeq 3000/4000</t>
  </si>
  <si>
    <t>i5 Bases for Sample Sheet
NovaSeq, MiSeq,
HiSeq 2000/2500</t>
  </si>
  <si>
    <t>i7 Index</t>
  </si>
  <si>
    <t>Swift WGBS</t>
  </si>
  <si>
    <t>TGCAAGAC</t>
  </si>
  <si>
    <t>0360D-96</t>
  </si>
  <si>
    <t>CAACGAGT</t>
  </si>
  <si>
    <t>0360C-96</t>
  </si>
  <si>
    <t>GCATCCTA</t>
  </si>
  <si>
    <t>0360B-96</t>
  </si>
  <si>
    <t>AACCTACG</t>
  </si>
  <si>
    <t>0360A-96</t>
  </si>
  <si>
    <t>BARCODE SEQUENCE</t>
  </si>
  <si>
    <t>PART NUMBER</t>
  </si>
  <si>
    <t>celero index 2</t>
  </si>
  <si>
    <t>ATCTGACC</t>
  </si>
  <si>
    <t>TCCAACTG</t>
  </si>
  <si>
    <t>TGCGTAAC</t>
  </si>
  <si>
    <t>ACAGCAAG</t>
  </si>
  <si>
    <t>AAGGACCA</t>
  </si>
  <si>
    <t>CAAGCCAA</t>
  </si>
  <si>
    <t>AACTTGCC</t>
  </si>
  <si>
    <t>GCTCAGTT</t>
  </si>
  <si>
    <t>AACACTGG</t>
  </si>
  <si>
    <t>GTGATCCA</t>
  </si>
  <si>
    <t>CCAAGTAG</t>
  </si>
  <si>
    <t>TCCATTGC</t>
  </si>
  <si>
    <t>ATGACAGG</t>
  </si>
  <si>
    <t>CTCGACTT</t>
  </si>
  <si>
    <t>CGCAACTA</t>
  </si>
  <si>
    <t>CTCCAATC</t>
  </si>
  <si>
    <t>CGAACAAC</t>
  </si>
  <si>
    <t>CTGACTAC</t>
  </si>
  <si>
    <t>CCGGAATA</t>
  </si>
  <si>
    <t>ACCATCCT</t>
  </si>
  <si>
    <t>ACAACAGC</t>
  </si>
  <si>
    <t>TCTAGTCC</t>
  </si>
  <si>
    <t>TAACGTCG</t>
  </si>
  <si>
    <t>TCTACGCA</t>
  </si>
  <si>
    <t>TAGGAGCT</t>
  </si>
  <si>
    <t>TCGTGCAT</t>
  </si>
  <si>
    <t>ATAACGCC</t>
  </si>
  <si>
    <t>CCTATACC</t>
  </si>
  <si>
    <t>ATCGTCTC</t>
  </si>
  <si>
    <t>GTCGAGAA</t>
  </si>
  <si>
    <t>GAAGACTG</t>
  </si>
  <si>
    <t>ACGATCAG</t>
  </si>
  <si>
    <t>GCTACAAC</t>
  </si>
  <si>
    <t>AGGCAATG</t>
  </si>
  <si>
    <t>TAGTGCCA</t>
  </si>
  <si>
    <t>CCTTAGGT</t>
  </si>
  <si>
    <t>TACATCGG</t>
  </si>
  <si>
    <t>AACTCGGA</t>
  </si>
  <si>
    <t>GTTCCATG</t>
  </si>
  <si>
    <t>AGCAGACA</t>
  </si>
  <si>
    <t>GTACCACA</t>
  </si>
  <si>
    <t>ATCGTGGT</t>
  </si>
  <si>
    <t>GAATGGCA</t>
  </si>
  <si>
    <t>TGACAACC</t>
  </si>
  <si>
    <t>AAGTCCTC</t>
  </si>
  <si>
    <t>AACCGAAC</t>
  </si>
  <si>
    <t>CGACCTAA</t>
  </si>
  <si>
    <t>CGTCTAAC</t>
  </si>
  <si>
    <t>ACTGCACT</t>
  </si>
  <si>
    <t>CATCAACC</t>
  </si>
  <si>
    <t>AATGACGC</t>
  </si>
  <si>
    <t>AGAACCAG</t>
  </si>
  <si>
    <t>CTATCCAC</t>
  </si>
  <si>
    <t>CTAAGACC</t>
  </si>
  <si>
    <t>ACGAGAAC</t>
  </si>
  <si>
    <t>TCTTCGAC</t>
  </si>
  <si>
    <t>AATCCAGC</t>
  </si>
  <si>
    <t>GACATCTC</t>
  </si>
  <si>
    <t>TCCTGGTA</t>
  </si>
  <si>
    <t>GCCAGAAT</t>
  </si>
  <si>
    <t>GCCTTAAC</t>
  </si>
  <si>
    <t>ACGGACTT</t>
  </si>
  <si>
    <t>GTACACCT</t>
  </si>
  <si>
    <t>CGCTACAT</t>
  </si>
  <si>
    <t>CELERO BARCODE PLATE - INDEX 1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</si>
  <si>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</si>
  <si>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</si>
  <si>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</si>
  <si>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</si>
  <si>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</si>
  <si>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</si>
  <si>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</si>
  <si>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</si>
  <si>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</si>
  <si>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</si>
  <si>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</si>
  <si>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</si>
  <si>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</si>
  <si>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</si>
  <si>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</si>
  <si>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</si>
  <si>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</si>
  <si>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</si>
  <si>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F9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</si>
  <si>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</si>
  <si>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</si>
  <si>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</si>
  <si>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</si>
  <si>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</si>
  <si>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</si>
  <si>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</si>
  <si>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</si>
  <si>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</si>
  <si>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</si>
  <si>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</si>
  <si>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</si>
  <si>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</si>
  <si>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</si>
  <si>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</si>
  <si>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</si>
  <si>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</si>
  <si>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</si>
  <si>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</si>
  <si>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</si>
  <si>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</si>
  <si>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</si>
  <si>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</si>
  <si>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</si>
  <si>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</si>
  <si>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</si>
  <si>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</si>
  <si>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</si>
  <si>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</si>
  <si>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</si>
  <si>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</si>
  <si>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</si>
  <si>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</si>
  <si>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</si>
  <si>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</si>
  <si>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</si>
  <si>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A9</t>
  </si>
  <si>
    <t>Mi</t>
  </si>
  <si>
    <t>A8</t>
  </si>
  <si>
    <t>A7</t>
  </si>
  <si>
    <t>A6</t>
  </si>
  <si>
    <t>A5</t>
  </si>
  <si>
    <t>A4</t>
  </si>
  <si>
    <t>A3</t>
  </si>
  <si>
    <t>A2</t>
  </si>
  <si>
    <t>A1</t>
  </si>
  <si>
    <t>Nextseq</t>
  </si>
  <si>
    <t>Miseq</t>
  </si>
  <si>
    <t>i5</t>
  </si>
  <si>
    <t>i7</t>
  </si>
  <si>
    <t>Netera Flex plate</t>
  </si>
  <si>
    <t>TAGCTGCA</t>
  </si>
  <si>
    <t>GCTACGCT</t>
  </si>
  <si>
    <t>AGCGTAGC</t>
  </si>
  <si>
    <t>N709</t>
  </si>
  <si>
    <t>CAGAGAGG</t>
  </si>
  <si>
    <t>CCTCTCTG</t>
  </si>
  <si>
    <t>N708</t>
  </si>
  <si>
    <t>TCTACTCT</t>
  </si>
  <si>
    <t>AGAGTAGA</t>
  </si>
  <si>
    <t>S504</t>
  </si>
  <si>
    <t>GCGATCTA</t>
  </si>
  <si>
    <t>TAGATCGC</t>
  </si>
  <si>
    <t>S501</t>
  </si>
  <si>
    <t>TCGCCTTA</t>
  </si>
  <si>
    <t>samplesheet</t>
  </si>
  <si>
    <t>GTCCGAGG</t>
  </si>
  <si>
    <t xml:space="preserve">CCTCGGAC </t>
  </si>
  <si>
    <t xml:space="preserve">CP16 </t>
  </si>
  <si>
    <t xml:space="preserve">D520 </t>
  </si>
  <si>
    <t xml:space="preserve">D709 </t>
  </si>
  <si>
    <t xml:space="preserve">GTCCGAGG </t>
  </si>
  <si>
    <t xml:space="preserve">CP15 </t>
  </si>
  <si>
    <t xml:space="preserve">CTCGACTG </t>
  </si>
  <si>
    <t xml:space="preserve">D723 </t>
  </si>
  <si>
    <t xml:space="preserve">CP14 </t>
  </si>
  <si>
    <t xml:space="preserve">CATCGAGG </t>
  </si>
  <si>
    <t xml:space="preserve">D721 </t>
  </si>
  <si>
    <t xml:space="preserve">CCGTCGCC </t>
  </si>
  <si>
    <t xml:space="preserve">GGCGACGG </t>
  </si>
  <si>
    <t xml:space="preserve">CP13 </t>
  </si>
  <si>
    <t xml:space="preserve">D519 </t>
  </si>
  <si>
    <t xml:space="preserve">TCTCGCGC </t>
  </si>
  <si>
    <t xml:space="preserve">D711 </t>
  </si>
  <si>
    <t xml:space="preserve">CP12 </t>
  </si>
  <si>
    <t xml:space="preserve">CP11 </t>
  </si>
  <si>
    <t xml:space="preserve">GTCAGTAC </t>
  </si>
  <si>
    <t xml:space="preserve">GTACTGAC </t>
  </si>
  <si>
    <t xml:space="preserve">CP10 </t>
  </si>
  <si>
    <t xml:space="preserve">D508 </t>
  </si>
  <si>
    <t xml:space="preserve">CP09 </t>
  </si>
  <si>
    <t xml:space="preserve">CGGCTATG </t>
  </si>
  <si>
    <t xml:space="preserve">CP08 </t>
  </si>
  <si>
    <t xml:space="preserve">ACGTCCTG </t>
  </si>
  <si>
    <t xml:space="preserve">CAGGACGT </t>
  </si>
  <si>
    <t xml:space="preserve">CP07 </t>
  </si>
  <si>
    <t xml:space="preserve">D507 </t>
  </si>
  <si>
    <t xml:space="preserve">CP06 </t>
  </si>
  <si>
    <t xml:space="preserve">CP05 </t>
  </si>
  <si>
    <t xml:space="preserve">CP04 </t>
  </si>
  <si>
    <t xml:space="preserve">CP03 </t>
  </si>
  <si>
    <t xml:space="preserve">CP02 </t>
  </si>
  <si>
    <t xml:space="preserve">CP01 </t>
  </si>
  <si>
    <t>D721</t>
  </si>
  <si>
    <t>Index Primer</t>
  </si>
  <si>
    <t>i5 Index Name</t>
  </si>
  <si>
    <t>i7 Bases for Sample Sheet</t>
  </si>
  <si>
    <t>i7 Index Name</t>
  </si>
  <si>
    <t>DNA (CPXX)</t>
  </si>
  <si>
    <t>CGCTCCGC</t>
  </si>
  <si>
    <t xml:space="preserve">GCGGAGCG </t>
  </si>
  <si>
    <t xml:space="preserve">UP16 </t>
  </si>
  <si>
    <t xml:space="preserve">D516 </t>
  </si>
  <si>
    <t>GCCGTAGG</t>
  </si>
  <si>
    <t xml:space="preserve">D719 </t>
  </si>
  <si>
    <t xml:space="preserve">TTCGTAGG </t>
  </si>
  <si>
    <t xml:space="preserve">CCTACGAA </t>
  </si>
  <si>
    <t xml:space="preserve">UP15 </t>
  </si>
  <si>
    <t xml:space="preserve">D514 </t>
  </si>
  <si>
    <t xml:space="preserve">GCCTCTCT </t>
  </si>
  <si>
    <t xml:space="preserve">D718 </t>
  </si>
  <si>
    <t xml:space="preserve">TAGCCGCG </t>
  </si>
  <si>
    <t xml:space="preserve">CGCGGCTA </t>
  </si>
  <si>
    <t xml:space="preserve">UP14 </t>
  </si>
  <si>
    <t xml:space="preserve">D512 </t>
  </si>
  <si>
    <t xml:space="preserve">ATGCGGCT </t>
  </si>
  <si>
    <t xml:space="preserve">D714 </t>
  </si>
  <si>
    <t xml:space="preserve">AGAGGCGC </t>
  </si>
  <si>
    <t xml:space="preserve">GCGCCTCT </t>
  </si>
  <si>
    <t xml:space="preserve">UP13 </t>
  </si>
  <si>
    <t xml:space="preserve">D511 </t>
  </si>
  <si>
    <t xml:space="preserve">ACTGCTTA </t>
  </si>
  <si>
    <t xml:space="preserve">D716 </t>
  </si>
  <si>
    <t>N703,SI-GA-E10-2,13,37</t>
  </si>
  <si>
    <t xml:space="preserve">GACTTCCT </t>
  </si>
  <si>
    <t xml:space="preserve">AGGAAGTC </t>
  </si>
  <si>
    <t xml:space="preserve">UP12 </t>
  </si>
  <si>
    <t xml:space="preserve">D518 </t>
  </si>
  <si>
    <t xml:space="preserve">ATTACTCG </t>
  </si>
  <si>
    <t xml:space="preserve">D701 </t>
  </si>
  <si>
    <t xml:space="preserve">SI-GA-A11-2,B08 </t>
  </si>
  <si>
    <t xml:space="preserve">AGTAAGTA </t>
  </si>
  <si>
    <t xml:space="preserve">TACTTACT </t>
  </si>
  <si>
    <t xml:space="preserve">UP11 </t>
  </si>
  <si>
    <t xml:space="preserve">D517 </t>
  </si>
  <si>
    <t xml:space="preserve">TCCGCGAA </t>
  </si>
  <si>
    <t xml:space="preserve">D710 </t>
  </si>
  <si>
    <t>SI-GA-G7-2,SI-GA-H2-3,E01 ,17</t>
  </si>
  <si>
    <t xml:space="preserve">TAAGATTA </t>
  </si>
  <si>
    <t xml:space="preserve">TAATCTTA </t>
  </si>
  <si>
    <t xml:space="preserve">UP10 </t>
  </si>
  <si>
    <t xml:space="preserve">D506 </t>
  </si>
  <si>
    <t xml:space="preserve">CGCTCATT </t>
  </si>
  <si>
    <t xml:space="preserve">D703 </t>
  </si>
  <si>
    <t xml:space="preserve">SI-GA-C10-2,SI-GA-B9-4,B05 </t>
  </si>
  <si>
    <t xml:space="preserve">CTTCGCCT </t>
  </si>
  <si>
    <t xml:space="preserve">AGGCGAAG </t>
  </si>
  <si>
    <t xml:space="preserve">UP09 </t>
  </si>
  <si>
    <t xml:space="preserve">TTAATCAG </t>
  </si>
  <si>
    <t xml:space="preserve">D715 </t>
  </si>
  <si>
    <t>i7_IDT-22,SI-GA-C9-1</t>
  </si>
  <si>
    <t xml:space="preserve">ATAGAGGC </t>
  </si>
  <si>
    <t xml:space="preserve">UP08 </t>
  </si>
  <si>
    <t xml:space="preserve">D502 </t>
  </si>
  <si>
    <t xml:space="preserve">GAATAATC </t>
  </si>
  <si>
    <t xml:space="preserve">D713 </t>
  </si>
  <si>
    <t>SI-GA-D6-1,SI-GA-H11-2,SI-GA-D2-4,25,38</t>
  </si>
  <si>
    <t xml:space="preserve">AGGCTATA </t>
  </si>
  <si>
    <t xml:space="preserve">TATAGCCT </t>
  </si>
  <si>
    <t xml:space="preserve">UP07 </t>
  </si>
  <si>
    <t xml:space="preserve">D501 </t>
  </si>
  <si>
    <t xml:space="preserve">ATTCAGAA </t>
  </si>
  <si>
    <t xml:space="preserve">D705 </t>
  </si>
  <si>
    <t>SI-GA-G7-2,40</t>
  </si>
  <si>
    <t xml:space="preserve">GATCTGCT </t>
  </si>
  <si>
    <t xml:space="preserve">AGCAGATC </t>
  </si>
  <si>
    <t xml:space="preserve">UP06 </t>
  </si>
  <si>
    <t xml:space="preserve">D515 </t>
  </si>
  <si>
    <t xml:space="preserve">GCGATTAA </t>
  </si>
  <si>
    <t xml:space="preserve">D724 </t>
  </si>
  <si>
    <t>SI-GA-C11-2,4,13</t>
  </si>
  <si>
    <t xml:space="preserve">ACGAATAA </t>
  </si>
  <si>
    <t xml:space="preserve">TTATTCGT </t>
  </si>
  <si>
    <t xml:space="preserve">UP05 </t>
  </si>
  <si>
    <t xml:space="preserve">D513 </t>
  </si>
  <si>
    <t xml:space="preserve">AGCGATAG </t>
  </si>
  <si>
    <t xml:space="preserve">D712 </t>
  </si>
  <si>
    <t>SI-GA-E10-2,SI-GA-A5-3,H08 ,11,13</t>
  </si>
  <si>
    <t xml:space="preserve">TTATGAGT </t>
  </si>
  <si>
    <t xml:space="preserve">ACTCATAA </t>
  </si>
  <si>
    <t xml:space="preserve">UP04 </t>
  </si>
  <si>
    <t xml:space="preserve">D510 </t>
  </si>
  <si>
    <t xml:space="preserve">GAATTCGT </t>
  </si>
  <si>
    <t xml:space="preserve">D706 </t>
  </si>
  <si>
    <t>7,16,36</t>
  </si>
  <si>
    <t xml:space="preserve">CATCCGAA </t>
  </si>
  <si>
    <t xml:space="preserve">TTCGGATG </t>
  </si>
  <si>
    <t xml:space="preserve">UP03 </t>
  </si>
  <si>
    <t xml:space="preserve">D509 </t>
  </si>
  <si>
    <t xml:space="preserve">CGTAGCTC </t>
  </si>
  <si>
    <t xml:space="preserve">D717 </t>
  </si>
  <si>
    <t>i7_IDT-7,SI-GA-E3-2,SI-GA-G7-2,A02 ,12,40</t>
  </si>
  <si>
    <t xml:space="preserve">TCAGAGCC </t>
  </si>
  <si>
    <t xml:space="preserve">GGCTCTGA </t>
  </si>
  <si>
    <t xml:space="preserve">UP02 </t>
  </si>
  <si>
    <t xml:space="preserve">D504 </t>
  </si>
  <si>
    <t xml:space="preserve">CTGAAGCT </t>
  </si>
  <si>
    <t xml:space="preserve">D707 </t>
  </si>
  <si>
    <t>SI-GA-F8-3,23</t>
  </si>
  <si>
    <t xml:space="preserve">AGGATAGG </t>
  </si>
  <si>
    <t xml:space="preserve">CCTATCCT </t>
  </si>
  <si>
    <t xml:space="preserve">UP01 </t>
  </si>
  <si>
    <t xml:space="preserve">TCCGGAGA </t>
  </si>
  <si>
    <t>SI-GA-A6-1,SI-GA-E2-2,SI-GA-B8-3,A01,11</t>
  </si>
  <si>
    <t>SI-GA-C1-1,SI-GA-H11-2,D02 ,A06 ,F12 ,25,27</t>
  </si>
  <si>
    <t>RNA (UPXX)</t>
  </si>
  <si>
    <t>SI-GA-C3-1,20</t>
  </si>
  <si>
    <t>TruSight Tumor 170</t>
  </si>
  <si>
    <t>i7_IDT-9,SI-GA-H7-2,C01 ,12,29,35</t>
  </si>
  <si>
    <t>H517</t>
  </si>
  <si>
    <t>SI-GA-D8-1,SI-GA-A4-2,SI-GA-B6-2,D09 ,A10 ,6,36</t>
  </si>
  <si>
    <t>H506</t>
  </si>
  <si>
    <t>SI-GA-D12-2,SI-GA-D8-4,25,27</t>
  </si>
  <si>
    <t>H505</t>
  </si>
  <si>
    <t>SI-GA-D4-2,SI-GA-G3-3,1,15,20,33</t>
  </si>
  <si>
    <t>H503</t>
  </si>
  <si>
    <t>SI-GA-H10-2,SI-GA-E2-4,24,34</t>
  </si>
  <si>
    <t>N727,C03 ,2,38</t>
  </si>
  <si>
    <t>SI-GA-H12-1,SI-GA-A11-2,A12 ,7,41,43</t>
  </si>
  <si>
    <t>H714</t>
  </si>
  <si>
    <t>H711</t>
  </si>
  <si>
    <t>H710</t>
  </si>
  <si>
    <t>H707</t>
  </si>
  <si>
    <t>H706</t>
  </si>
  <si>
    <t>H705</t>
  </si>
  <si>
    <t>SI-GA-G7-2,SI-GA-G3-3,SI-GA-C7-4,17,19</t>
  </si>
  <si>
    <t>Netera Flex</t>
  </si>
  <si>
    <t>i7_IDT-4,i7_IDT-7,SI-GA-B4-2,SI-GA-A11-2,SI-GA-A12-4,7,28,33</t>
  </si>
  <si>
    <t>SI-GA-A1-4,C04 ,30,46</t>
  </si>
  <si>
    <t>7008,7009,7034,7045,SI-GA-G3-3,SI-GA-C7-4</t>
  </si>
  <si>
    <t>SI-GA-A12-1,SI-GA-F8-3,SI-GA-H4-4,8,13,14</t>
  </si>
  <si>
    <t>7013,7029,7050</t>
  </si>
  <si>
    <t>SI-GA-C1-1,SI-GA-E4-4,G05 ,36</t>
  </si>
  <si>
    <t xml:space="preserve">7009,7028,7037,7060,7070,SI-GA-B1-2,A10 </t>
  </si>
  <si>
    <t>SI-GA-H8-1,SI-GA-A5-2,SI-GA-G6-3,E07 ,16,45</t>
  </si>
  <si>
    <t xml:space="preserve">7005,7067,SI-GA-F12-1,SI-GA-A5-2,SI-GA-G6-3,E07 </t>
  </si>
  <si>
    <t>i7_IDT-17,SI-GA-C11-1,SI-GA-H2-3,SI-GA-D7-4,6,31,41</t>
  </si>
  <si>
    <t/>
  </si>
  <si>
    <t>SI-GA-A11-2,7,10</t>
  </si>
  <si>
    <t>7048,7060,7073,SI-GA-H12-1,SI-GA-C5-2</t>
  </si>
  <si>
    <t>SI-GA-G9-1,SI-GA-F3-2,7,31,33,34,41</t>
  </si>
  <si>
    <t>SI-GA-A2-2,SI-GA-H11-2,15,16</t>
  </si>
  <si>
    <t>i7_IDT-17,7002,7026,7064,7066,7073,SI-GA-F5-1,SI-GA-H12-1,SI-GA-H2-3,11,31</t>
  </si>
  <si>
    <t>11,31</t>
  </si>
  <si>
    <t>SI-GA-F12-1,SI-GA-F1-3,SI-GA-B3-4,D06 ,2,34,39</t>
  </si>
  <si>
    <t xml:space="preserve">7018,7058,7085,7089,SI-GA-G7-2,SI-GA-B11-4,A10 </t>
  </si>
  <si>
    <t>SI-GA-B8-1,SI-GA-D9-2,5,17</t>
  </si>
  <si>
    <t xml:space="preserve">7007,7056,7062,SI-GA-B4-4,A01,B06 </t>
  </si>
  <si>
    <t>SI-GA-B5-3,3,18,43,46</t>
  </si>
  <si>
    <t xml:space="preserve">7007,7011,7027,7074,7090,SI-GA-F5-2,G11 </t>
  </si>
  <si>
    <t>SI-GA-C8-1,SI-GA-B10-2,SI-GA-H2-3,SI-GA-C2-4,9,17</t>
  </si>
  <si>
    <t>5SS</t>
  </si>
  <si>
    <t>7029,7030,7036,7095</t>
  </si>
  <si>
    <t>SI-GA-E5-3,SI-GA-B2-4,26,40</t>
  </si>
  <si>
    <t xml:space="preserve">7027,7055,7068,7078,7086,SI-GA-D8-1,SI-GA-A4-2,SI-GA-E5-3,F03 ,F08 </t>
  </si>
  <si>
    <t>N702,SI-GA-A3-2,SI-GA-H11-2,14,22,27</t>
  </si>
  <si>
    <t>7040,7079,SI-GA-E11-2</t>
  </si>
  <si>
    <t>SI-GA-G8-3,SI-GA-G5-4,B06 ,14,15,39</t>
  </si>
  <si>
    <t>7020,7048,7062,7064,7075,SI-GA-D6-1</t>
  </si>
  <si>
    <t>SI-GA-E5-3,SI-GA-D10-3,1,5,36</t>
  </si>
  <si>
    <t>i7_IDT-4,7027,7045,7064,7071,7076,SI-GA-D6-1</t>
  </si>
  <si>
    <t>13,25</t>
  </si>
  <si>
    <t>D703,7023,7027,7041,7051,SI-GA-E6-2</t>
  </si>
  <si>
    <t>i7_IDT-7,i7_IDT-9,SI-GA-E11-2,SI-GA-B5-3,30</t>
  </si>
  <si>
    <t>i7_IDT-17,7023,7046,7051,7064,7066,SI-GA-F2-2,SI-GA-G7-2,SI-GA-H10-3,41</t>
  </si>
  <si>
    <t>SI-GA-A1-1,24</t>
  </si>
  <si>
    <t>7001,7039,7053,7070,SI-GA-C6-4,SI-GA-B11-4</t>
  </si>
  <si>
    <t>SI-GA-G7-2,A01,31,32</t>
  </si>
  <si>
    <t>i7_IDT-9,7027,7039,7079,SI-GA-C1-1,SI-GA-C12-4</t>
  </si>
  <si>
    <t>SI-GA-G12-3,SI-GA-B11-4,G03 ,E07 ,47</t>
  </si>
  <si>
    <t>7013,7032,7039,7071,7080,7080</t>
  </si>
  <si>
    <t>i7_IDT-20,SI-GA-E10-2,SI-GA-G3-3,SI-GA-H7-4,15,19,20</t>
  </si>
  <si>
    <t xml:space="preserve">7014,7057,7077,7082,SI-GA-D4-2,SI-GA-H11-2,D02 ,B09 </t>
  </si>
  <si>
    <t>SI-GA-H12-1,SI-GA-A11-2,24,26,34,43</t>
  </si>
  <si>
    <t>N722,7012,7048,7058,SI-GA-A11-2,SI-GA-B2-4</t>
  </si>
  <si>
    <t>SI-GA-F10-1,23</t>
  </si>
  <si>
    <t>7044,7054,7077,7082,7090,SI-GA-F3-2,SI-GA-H11-2</t>
  </si>
  <si>
    <t>SI-GA-G7-2,31</t>
  </si>
  <si>
    <t>7015,7035,7048,7052,7075,SI-GA-H12-1</t>
  </si>
  <si>
    <t>i7_IDT-13,SI-GA-H6-1,SI-GA-C10-2,10,33,48</t>
  </si>
  <si>
    <t>i7_IDT-4,7006,7021,7040,7047,7084,SI-GA-B10-2,SI-GA-C4-4</t>
  </si>
  <si>
    <t>SI-GA-A7-1,SI-GA-F3-2,SI-GA-C7-4,5,25</t>
  </si>
  <si>
    <t>i7_IDT-7,N702,7004,7013,7032,7057,SI-GA-D6-1,SI-GA-E11-2</t>
  </si>
  <si>
    <t>i7_IDT-4,SI-GA-C10-2,SI-GA-A11-2,SI-GA-H1-4,15</t>
  </si>
  <si>
    <t>7006,7035,7041,SI-GA-D4-2,SI-GA-F4-2,SI-GA-B10-2</t>
  </si>
  <si>
    <t>SI-GA-F12-1,SI-GA-B2-3,SI-GA-B5-3,4</t>
  </si>
  <si>
    <t>7021,7035,7049,7076,7081,SI-GA-G3-3,SI-GA-H7-4</t>
  </si>
  <si>
    <t>N707,1,21,32</t>
  </si>
  <si>
    <t>7006,7012,7029,7049,7072,SI-GA-E10-2,SI-GA-G3-3</t>
  </si>
  <si>
    <t>SI-GA-B10-2,23,35</t>
  </si>
  <si>
    <t>7015,7018,7060,SI-GA-H12-1</t>
  </si>
  <si>
    <t>B07 ,9,28,29,30</t>
  </si>
  <si>
    <t xml:space="preserve">N712,7006,7059,7061,7072,7093,SI-GA-C8-1,SI-GA-H2-3,SI-GA-C2-4,E01 </t>
  </si>
  <si>
    <t>SI-GA-G5-2,SI-GA-H2-3,C09 ,5</t>
  </si>
  <si>
    <t xml:space="preserve">7021,7063,7067,7086,SI-GA-A2-2,E07 </t>
  </si>
  <si>
    <t>i7_IDT-9,SI-GA-E10-2,4,46</t>
  </si>
  <si>
    <t>7043,7049,7056,7063,7076,SI-GA-G3-3</t>
  </si>
  <si>
    <t>i7_IDT-7,A01,F10 ,11,37</t>
  </si>
  <si>
    <t>7056,7057,7069,SI-GA-H11-2,SI-GA-F11-3,SI-GA-H4-4</t>
  </si>
  <si>
    <t>20,21,24</t>
  </si>
  <si>
    <t xml:space="preserve">7054,7069,7087,7088,7095,SI-GA-E10-2,SI-GA-A5-3,H08 </t>
  </si>
  <si>
    <t>SI-GA-H8-1,SI-GA-G3-3,12,48</t>
  </si>
  <si>
    <t>7007,7034,7079,7085,SI-GA-G7-2</t>
  </si>
  <si>
    <t>AD #14</t>
  </si>
  <si>
    <t>SI-GA-G4-2,SI-GA-F8-3,SI-GA-G10-3</t>
  </si>
  <si>
    <t>7015,7031,7036,7083,7087,SI-GA-F5-1,A01,41</t>
  </si>
  <si>
    <t>A041,41</t>
  </si>
  <si>
    <t>GTCGTGAT</t>
  </si>
  <si>
    <t>AD #13</t>
  </si>
  <si>
    <t>i7_IDT-7,SI-GA-B11-4,2,22,28</t>
  </si>
  <si>
    <t>7001,7016,7030,7045,7065</t>
  </si>
  <si>
    <t>AD #12</t>
  </si>
  <si>
    <t>SI-GA-F3-2,A01,11</t>
  </si>
  <si>
    <t xml:space="preserve">7002,7014,7039,7059,SI-GA-D5-2,SI-GA-B10-2,G12 </t>
  </si>
  <si>
    <t>AD #11</t>
  </si>
  <si>
    <t>i7_IDT-14,SI-GA-D4-3,10,37</t>
  </si>
  <si>
    <t>7005,7017,7028,7069,SI-GA-H11-2,SI-GA-E5-3</t>
  </si>
  <si>
    <t>AD #10</t>
  </si>
  <si>
    <t>SI-GA-C10-2,SI-GA-G11-4,6,19,37,47</t>
  </si>
  <si>
    <t>i7_IDT-1,7064,7065,7071,7073,7086,SI-GA-A11-2</t>
  </si>
  <si>
    <t>AD #9</t>
  </si>
  <si>
    <t>A10 ,8,46</t>
  </si>
  <si>
    <t xml:space="preserve">7003,7029,7066,7078,SI-GA-F4-1,SI-GA-H2-3,A10 </t>
  </si>
  <si>
    <t>AD #8</t>
  </si>
  <si>
    <t>SI-GA-D6-1,SI-GA-H4-2,SI-GA-C12-4,H04 ,29,32,33,36,38</t>
  </si>
  <si>
    <t>7005,7019,7038,7044,7055,7061,SI-GA-A7-1,SI-GA-B8-1,SI-GA-H9-1,SI-GA-G5-2</t>
  </si>
  <si>
    <t>AD #7</t>
  </si>
  <si>
    <t>SI-GA-E7-1,SI-GA-A8-4,F04 ,41</t>
  </si>
  <si>
    <t>7008,7037,7042,7088</t>
  </si>
  <si>
    <t>AD #6</t>
  </si>
  <si>
    <t>SI-GA-H8-1,SI-GA-G5-2,SI-GA-C11-4</t>
  </si>
  <si>
    <t>7007,7009,7060,SI-GA-F12-1</t>
  </si>
  <si>
    <t>AD #5</t>
  </si>
  <si>
    <t>i7_IDT-9,SI-GA-E10-2</t>
  </si>
  <si>
    <t>7022,7032,7062,7074,SI-GA-F12-1</t>
  </si>
  <si>
    <t>AD #4</t>
  </si>
  <si>
    <t>SI-GA-C10-2,31,32</t>
  </si>
  <si>
    <t>7004,7018,7041,7055,7076,7080,SI-GA-D4-2,7080,SI-GA-D10-3</t>
  </si>
  <si>
    <t>AD #3</t>
  </si>
  <si>
    <t>N718,SI-GA-D7-4,2</t>
  </si>
  <si>
    <t>AD #2</t>
  </si>
  <si>
    <t>i7_IDT-4,SI-GA-C10-2,16,20,23</t>
  </si>
  <si>
    <t>AD #1</t>
  </si>
  <si>
    <t>SI-GA-G5-2,34</t>
  </si>
  <si>
    <t>5XX</t>
  </si>
  <si>
    <t xml:space="preserve">Notes - Barcodes overlap with </t>
  </si>
  <si>
    <t>AD</t>
  </si>
  <si>
    <t>SI-GA-H9-1,SI-GA-D4-2,SI-GA-A4-3,5</t>
  </si>
  <si>
    <t>10X Genomics</t>
  </si>
  <si>
    <t>Choi AD Seq</t>
  </si>
  <si>
    <t>SI-GA-H12-1,SI-GA-B11-4,A10 ,1,18,40</t>
  </si>
  <si>
    <t>SI-GA-A9-1,SI-GA-C7-4,8</t>
  </si>
  <si>
    <t>SI-GA-B5-3,10</t>
  </si>
  <si>
    <t>SI-GA-F12-1,SI-GA-H12-1,SI-GA-F8-3,SI-GA-H9-3,A01,11,18,24</t>
  </si>
  <si>
    <t>SI-GA-D6-1,SI-GA-D4-2,SI-GA-A6-4,SI-GA-E9-4,B09 ,9,27</t>
  </si>
  <si>
    <t>N726,SI-GA-E9-3,SI-GA-B11-4,D04 ,22,28,47</t>
  </si>
  <si>
    <t>SI-GA-G1-1,SI-GA-F3-2,SI-GA-A11-2,SI-GA-H5-4,19,26</t>
  </si>
  <si>
    <t>38</t>
  </si>
  <si>
    <t>i7_IDT-9,SI-GA-E11-2</t>
  </si>
  <si>
    <t>SI-GA-B1-2,SI-GA-E5-3,SI-GA-C7-4,3,46,48</t>
  </si>
  <si>
    <t>4,48</t>
  </si>
  <si>
    <t>SI-GA-D5-1,SI-GA-B4-4,3,12,38,39</t>
  </si>
  <si>
    <t>SI-GA-H8-1,SI-GA-F4-2,SI-GA-B10-2,SI-GA-C4-4,17,19,21,23</t>
  </si>
  <si>
    <t>TTCAGC</t>
  </si>
  <si>
    <t>SI-GA-D3-1,SI-GA-E5-3,5,8,45</t>
  </si>
  <si>
    <t>ACGTCG</t>
  </si>
  <si>
    <t>i7_IDT-7,SI-GA-D11-2,SI-GA-D12-3,1,22</t>
  </si>
  <si>
    <t>GAACTA</t>
  </si>
  <si>
    <t>SI-GA-E5-3,SI-GA-B11-4,A10 ,6</t>
  </si>
  <si>
    <t>CGTGAT</t>
  </si>
  <si>
    <t>SI-GA-G1-2,SI-GA-B10-2,SI-GA-C4-3,9,41</t>
  </si>
  <si>
    <t>i7 Index Primers (7097-7100)</t>
  </si>
  <si>
    <t>SI-GA-D2-4,SI-GA-C6-4,10,30</t>
  </si>
  <si>
    <t>Index Primers for Illumina trial kits (supplied in tubes)</t>
  </si>
  <si>
    <t>ACACGC</t>
  </si>
  <si>
    <t>AGACCA</t>
  </si>
  <si>
    <t>AACAAG</t>
  </si>
  <si>
    <t>GTAGAA</t>
  </si>
  <si>
    <t>CAGGAC</t>
  </si>
  <si>
    <t>ATATCC</t>
  </si>
  <si>
    <t>AATAGC</t>
  </si>
  <si>
    <t>GATTGT</t>
  </si>
  <si>
    <t>CGAAGG</t>
  </si>
  <si>
    <t>CCGCAA</t>
  </si>
  <si>
    <t>TACCTT</t>
  </si>
  <si>
    <t>TGTGCA</t>
  </si>
  <si>
    <t>AGGCAT</t>
  </si>
  <si>
    <t>GGCCAA</t>
  </si>
  <si>
    <t>CATCTA</t>
  </si>
  <si>
    <t>CAGATG</t>
  </si>
  <si>
    <t>ACGTCT</t>
  </si>
  <si>
    <t>ACAACG</t>
  </si>
  <si>
    <t>GCATGG</t>
  </si>
  <si>
    <t>CAACAG</t>
  </si>
  <si>
    <t>ACCTAC</t>
  </si>
  <si>
    <t>CACACT</t>
  </si>
  <si>
    <t>GGCTGC</t>
  </si>
  <si>
    <t>CTAGTC</t>
  </si>
  <si>
    <t>AGAATC</t>
  </si>
  <si>
    <t>CCGACC</t>
  </si>
  <si>
    <t>GCCACA</t>
  </si>
  <si>
    <t>AACCGA</t>
  </si>
  <si>
    <t>CAATGC</t>
  </si>
  <si>
    <t>AATGAA</t>
  </si>
  <si>
    <t>CTCCAT</t>
  </si>
  <si>
    <t>ACCGTG</t>
  </si>
  <si>
    <t>TGGATT</t>
  </si>
  <si>
    <t>GGAGGT</t>
  </si>
  <si>
    <t>AATCCG</t>
  </si>
  <si>
    <t>GTGTAG</t>
  </si>
  <si>
    <t>TTCGAG</t>
  </si>
  <si>
    <t>CTCATA</t>
  </si>
  <si>
    <t>ATTGGT</t>
  </si>
  <si>
    <t>AGTTGA</t>
  </si>
  <si>
    <t>GAAGTG</t>
  </si>
  <si>
    <t>CGCCTG</t>
  </si>
  <si>
    <t>TAGGCT</t>
  </si>
  <si>
    <t>TGGCGA</t>
  </si>
  <si>
    <t>GCGAAT</t>
  </si>
  <si>
    <t>GAGTCC</t>
  </si>
  <si>
    <t>CCTAAG</t>
  </si>
  <si>
    <t>ACATTA</t>
  </si>
  <si>
    <t>GAACCT</t>
  </si>
  <si>
    <t>AAGTGG</t>
  </si>
  <si>
    <t>ATGGCG</t>
  </si>
  <si>
    <t>CCAATT</t>
  </si>
  <si>
    <t>TTCCGC</t>
  </si>
  <si>
    <t>GGTATA</t>
  </si>
  <si>
    <t>ACAGAT</t>
  </si>
  <si>
    <t>CGCAAC</t>
  </si>
  <si>
    <t>GCTCGA</t>
  </si>
  <si>
    <t>TATGTC</t>
  </si>
  <si>
    <t>ATGAAC</t>
  </si>
  <si>
    <t>TGCACG</t>
  </si>
  <si>
    <t>GCGCTG</t>
  </si>
  <si>
    <t>TGCTAT</t>
  </si>
  <si>
    <t>CGTCGC</t>
  </si>
  <si>
    <t>TCGTTC</t>
  </si>
  <si>
    <t>GGTGAG</t>
  </si>
  <si>
    <t>CACTAA</t>
  </si>
  <si>
    <t>AAGACA</t>
  </si>
  <si>
    <t>GTTACC</t>
  </si>
  <si>
    <t>CAAGCA</t>
  </si>
  <si>
    <t>ATACTG</t>
  </si>
  <si>
    <t>TTAACT</t>
  </si>
  <si>
    <t>ACCAGT</t>
  </si>
  <si>
    <t>CCTGCT</t>
  </si>
  <si>
    <t>ACTCTT</t>
  </si>
  <si>
    <t>CGATCT</t>
  </si>
  <si>
    <t>GACGAT</t>
  </si>
  <si>
    <t>ATAAGA</t>
  </si>
  <si>
    <t>TCGAGG</t>
  </si>
  <si>
    <t>TGACAC</t>
  </si>
  <si>
    <t>TTGGTA</t>
  </si>
  <si>
    <t>AACGCC</t>
  </si>
  <si>
    <t>GTCAGG</t>
  </si>
  <si>
    <t>CGGTTA</t>
  </si>
  <si>
    <t>GATCAC</t>
  </si>
  <si>
    <t>CGCGGA</t>
  </si>
  <si>
    <t>GCAGCC</t>
  </si>
  <si>
    <t>GACATC</t>
  </si>
  <si>
    <t>AAGCTC</t>
  </si>
  <si>
    <t>AGTACT</t>
  </si>
  <si>
    <t>GTGCCA</t>
  </si>
  <si>
    <t>CTCTCG</t>
  </si>
  <si>
    <t>AGATAG</t>
  </si>
  <si>
    <t>TTTATG</t>
  </si>
  <si>
    <t>TCTTAA</t>
  </si>
  <si>
    <t>TCAGGA</t>
  </si>
  <si>
    <t>CAGCGT</t>
  </si>
  <si>
    <t>i7 Index Primers (7001-7096)</t>
  </si>
  <si>
    <t>5AH</t>
  </si>
  <si>
    <t>Overlap with</t>
  </si>
  <si>
    <r>
      <t xml:space="preserve">Index Primer for Illumina - </t>
    </r>
    <r>
      <rPr>
        <b/>
        <sz val="16"/>
        <color rgb="FFFF0000"/>
        <rFont val="Calibri"/>
        <family val="2"/>
      </rPr>
      <t xml:space="preserve">ATTENTION: New barcode arrangement </t>
    </r>
    <r>
      <rPr>
        <b/>
        <u/>
        <sz val="16"/>
        <color rgb="FFFF0000"/>
        <rFont val="Calibri (Body)"/>
      </rPr>
      <t>after</t>
    </r>
    <r>
      <rPr>
        <b/>
        <sz val="16"/>
        <color rgb="FFFF0000"/>
        <rFont val="Calibri"/>
        <family val="2"/>
      </rPr>
      <t xml:space="preserve"> 17.02.2017!</t>
    </r>
  </si>
  <si>
    <r>
      <rPr>
        <b/>
        <sz val="11"/>
        <color theme="1"/>
        <rFont val="Calibri"/>
        <family val="2"/>
        <scheme val="minor"/>
      </rPr>
      <t>i7_IDT-10</t>
    </r>
    <r>
      <rPr>
        <sz val="11"/>
        <color theme="1"/>
        <rFont val="Calibri"/>
        <family val="2"/>
        <scheme val="minor"/>
      </rPr>
      <t>,SI-GA-F2-2,SI-GA-A10-4</t>
    </r>
  </si>
  <si>
    <t>SI-GA-F8-2,SI-GA-B9-2,SI-GA-E7-3,SI-GA-C11-3,SI-GA-H11-4</t>
  </si>
  <si>
    <t>SI-GA-D10-3,SI-GA-D9-4</t>
  </si>
  <si>
    <r>
      <rPr>
        <b/>
        <sz val="11"/>
        <color theme="1"/>
        <rFont val="Calibri"/>
        <family val="2"/>
        <scheme val="minor"/>
      </rPr>
      <t>i7_IDT-9</t>
    </r>
    <r>
      <rPr>
        <sz val="11"/>
        <color theme="1"/>
        <rFont val="Calibri"/>
        <family val="2"/>
        <scheme val="minor"/>
      </rPr>
      <t xml:space="preserve">,SI-GA-D10-2,SI-GA-A8-3,D08 </t>
    </r>
  </si>
  <si>
    <t>N701,SI-GA-H2-1,SI-GA-E10-1,SI-GA-C11-3,SI-GA-G3-4,SI-GA-G7-4,SI-GA-G12-4</t>
  </si>
  <si>
    <t>SI-GA-G1-1,SI-GA-E6-1,SI-GA-G6-1,SI-GA-B9-1</t>
  </si>
  <si>
    <t>ATTACAAG</t>
  </si>
  <si>
    <r>
      <rPr>
        <b/>
        <sz val="11"/>
        <color theme="1"/>
        <rFont val="Calibri"/>
        <family val="2"/>
        <scheme val="minor"/>
      </rPr>
      <t>i7_IDT-21</t>
    </r>
    <r>
      <rPr>
        <sz val="11"/>
        <color theme="1"/>
        <rFont val="Calibri"/>
        <family val="2"/>
        <scheme val="minor"/>
      </rPr>
      <t>,SI-GA-F5-1,SI-GA-E12-2,SI-GA-C6-3,SI-GA-F2-4,SI-GA-G12-4</t>
    </r>
  </si>
  <si>
    <r>
      <rPr>
        <b/>
        <sz val="11"/>
        <color theme="1"/>
        <rFont val="Calibri"/>
        <family val="2"/>
        <scheme val="minor"/>
      </rPr>
      <t>i7_IDT-16</t>
    </r>
    <r>
      <rPr>
        <sz val="11"/>
        <color theme="1"/>
        <rFont val="Calibri"/>
        <family val="2"/>
        <scheme val="minor"/>
      </rPr>
      <t>,N703,SI-GA-C8-1,SI-GA-D4-2,SI-GA-A4-3</t>
    </r>
  </si>
  <si>
    <t>ATATTGGC</t>
  </si>
  <si>
    <t>SI-GA-H4-1,SI-GA-B4-2</t>
  </si>
  <si>
    <t>N727,G02 ,32</t>
  </si>
  <si>
    <t>ATTGGTCA</t>
  </si>
  <si>
    <t>N704,SI-GA-B1-2</t>
  </si>
  <si>
    <t>ATACATCG</t>
  </si>
  <si>
    <t>SI-GA-C6-1,SI-GA-E1-3</t>
  </si>
  <si>
    <t>Illumina 96 Index Barcode Set (Nextera, SMARTer,Dul index plate), QIAseq FX</t>
  </si>
  <si>
    <t>Single Index Index Sequences (Kapa single index, WGBS,Scriptseq)</t>
  </si>
  <si>
    <t>AGGTCAAC</t>
  </si>
  <si>
    <t>GTTGACCT</t>
  </si>
  <si>
    <t>i5_IDT-73</t>
  </si>
  <si>
    <t xml:space="preserve">SI-GA-A3-1,SI-GA-E11-1,SI-GA-E4-3,SI-GA-D11-3,SI-GA-E8-4,D08 </t>
  </si>
  <si>
    <t>UMI_IDT-24</t>
  </si>
  <si>
    <t xml:space="preserve">SI-GA-H5-3,SI-GA-G10-4,F10 </t>
  </si>
  <si>
    <t>TACACACG</t>
  </si>
  <si>
    <t>CGTGTGTA</t>
  </si>
  <si>
    <t>i5_IDT-74</t>
  </si>
  <si>
    <t>SI-GA-E5-2,SI-GA-E6-4,SI-GA-F10-4</t>
  </si>
  <si>
    <t>TTCGTTGG</t>
  </si>
  <si>
    <t>CCAACGAA</t>
  </si>
  <si>
    <t>UMI_IDT-23</t>
  </si>
  <si>
    <t>D703,7074,SI-GA-F3-4</t>
  </si>
  <si>
    <t>ACGACTTG</t>
  </si>
  <si>
    <t>i5_IDT-75</t>
  </si>
  <si>
    <t>7091,SI-GA-H9-1</t>
  </si>
  <si>
    <t>TCGCTGTT</t>
  </si>
  <si>
    <t>i7_IDT-22</t>
  </si>
  <si>
    <t>AACAGCGA</t>
  </si>
  <si>
    <t>UMI_IDT-22</t>
  </si>
  <si>
    <r>
      <rPr>
        <b/>
        <sz val="11"/>
        <color theme="1"/>
        <rFont val="Calibri"/>
        <family val="2"/>
        <scheme val="minor"/>
      </rPr>
      <t>i7_IDT-19</t>
    </r>
    <r>
      <rPr>
        <sz val="11"/>
        <color theme="1"/>
        <rFont val="Calibri"/>
        <family val="2"/>
        <scheme val="minor"/>
      </rPr>
      <t>,7013,SI-GA-E9-3</t>
    </r>
  </si>
  <si>
    <t>CACTAGCT</t>
  </si>
  <si>
    <t>i5_IDT-76</t>
  </si>
  <si>
    <r>
      <rPr>
        <b/>
        <sz val="11"/>
        <color theme="1"/>
        <rFont val="Calibri"/>
        <family val="2"/>
        <scheme val="minor"/>
      </rPr>
      <t>D706</t>
    </r>
    <r>
      <rPr>
        <sz val="11"/>
        <color theme="1"/>
        <rFont val="Calibri"/>
        <family val="2"/>
        <scheme val="minor"/>
      </rPr>
      <t xml:space="preserve">,SI-GA-F2-4,SI-GA-G12-4,C02 </t>
    </r>
  </si>
  <si>
    <t>GAATCCGA</t>
  </si>
  <si>
    <t>i7_IDT-21</t>
  </si>
  <si>
    <t>UMI_IDT-21</t>
  </si>
  <si>
    <t>SI-GA-B2-2,SI-GA-E1-3</t>
  </si>
  <si>
    <t>i5_IDT-77</t>
  </si>
  <si>
    <t xml:space="preserve">7049,SI-GA-H2-2,SI-GA-C1-3,SI-GA-B5-4,C10 ,C12 </t>
  </si>
  <si>
    <t>GTGCCATA</t>
  </si>
  <si>
    <t>TATGGCAC</t>
  </si>
  <si>
    <t>UMI_IDT-20</t>
  </si>
  <si>
    <t>SI-GA-E11-1,SI-GA-C2-3,SI-GA-C8-4,SI-GA-H11-4</t>
  </si>
  <si>
    <t>GTAGGAGT</t>
  </si>
  <si>
    <t>i5_IDT-78</t>
  </si>
  <si>
    <r>
      <rPr>
        <b/>
        <sz val="11"/>
        <color theme="1"/>
        <rFont val="Calibri"/>
        <family val="2"/>
        <scheme val="minor"/>
      </rPr>
      <t>N726</t>
    </r>
    <r>
      <rPr>
        <sz val="11"/>
        <color theme="1"/>
        <rFont val="Calibri"/>
        <family val="2"/>
        <scheme val="minor"/>
      </rPr>
      <t>,SI-GA-D12-2,SI-GA-C11-4</t>
    </r>
  </si>
  <si>
    <t>CTTAGGAC</t>
  </si>
  <si>
    <t>i7_IDT-19</t>
  </si>
  <si>
    <t>GTCCTAAG</t>
  </si>
  <si>
    <t>UMI_IDT-19</t>
  </si>
  <si>
    <t>SI-GA-E11-1,SI-GA-D1-4,26</t>
  </si>
  <si>
    <t>CAATCAGG</t>
  </si>
  <si>
    <t>CCTGATTG</t>
  </si>
  <si>
    <t>i5_IDT-79</t>
  </si>
  <si>
    <r>
      <rPr>
        <b/>
        <sz val="11"/>
        <color theme="1"/>
        <rFont val="Calibri"/>
        <family val="2"/>
        <scheme val="minor"/>
      </rPr>
      <t>N704</t>
    </r>
    <r>
      <rPr>
        <sz val="11"/>
        <color theme="1"/>
        <rFont val="Calibri"/>
        <family val="2"/>
        <scheme val="minor"/>
      </rPr>
      <t xml:space="preserve">,SI-GA-E10-1,SI-GA-G11-2,C04 ,H12 </t>
    </r>
  </si>
  <si>
    <t>AACTGAGC</t>
  </si>
  <si>
    <t>i7_IDT-18</t>
  </si>
  <si>
    <t>UMI_IDT-18</t>
  </si>
  <si>
    <r>
      <rPr>
        <b/>
        <sz val="11"/>
        <color theme="1"/>
        <rFont val="Calibri"/>
        <family val="2"/>
        <scheme val="minor"/>
      </rPr>
      <t>i7_IDT-13</t>
    </r>
    <r>
      <rPr>
        <sz val="11"/>
        <color theme="1"/>
        <rFont val="Calibri"/>
        <family val="2"/>
        <scheme val="minor"/>
      </rPr>
      <t>,SI-GA-B2-1,SI-GA-C4-2,SI-GA-E5-2,SI-GA-G4-4</t>
    </r>
  </si>
  <si>
    <t>ATGCACGA</t>
  </si>
  <si>
    <t>i5_IDT-80</t>
  </si>
  <si>
    <t>7066,SI-GA-C11-1,31,41</t>
  </si>
  <si>
    <t>GACGATCT</t>
  </si>
  <si>
    <t>i7_IDT-17</t>
  </si>
  <si>
    <t>AGATCGTC</t>
  </si>
  <si>
    <t>UMI_IDT-17</t>
  </si>
  <si>
    <t>SI-GA-F6-1,SI-GA-G12-3</t>
  </si>
  <si>
    <t>CGACGTTA</t>
  </si>
  <si>
    <t>i5_IDT-81</t>
  </si>
  <si>
    <t>ATCCAGAG</t>
  </si>
  <si>
    <t>i7_IDT-16</t>
  </si>
  <si>
    <t>CTCTGGAT</t>
  </si>
  <si>
    <t>UMI_IDT-16</t>
  </si>
  <si>
    <t>SI-GA-B3-1,SI-GA-C9-1</t>
  </si>
  <si>
    <t>AAGGCGTA</t>
  </si>
  <si>
    <t>TACGCCTT</t>
  </si>
  <si>
    <t>i5_IDT-82</t>
  </si>
  <si>
    <t>AGAGTAGC</t>
  </si>
  <si>
    <t>GCTACTCT</t>
  </si>
  <si>
    <t>UMI_IDT-15</t>
  </si>
  <si>
    <r>
      <rPr>
        <b/>
        <sz val="11"/>
        <color theme="1"/>
        <rFont val="Calibri"/>
        <family val="2"/>
        <scheme val="minor"/>
      </rPr>
      <t>i7_IDT-3</t>
    </r>
    <r>
      <rPr>
        <sz val="11"/>
        <color theme="1"/>
        <rFont val="Calibri"/>
        <family val="2"/>
        <scheme val="minor"/>
      </rPr>
      <t>,7022</t>
    </r>
  </si>
  <si>
    <t>TCTTACGG</t>
  </si>
  <si>
    <t>CCGTAAGA</t>
  </si>
  <si>
    <t>i5_IDT-83</t>
  </si>
  <si>
    <t>7030,SI-GA-G12-3</t>
  </si>
  <si>
    <t>TGGACTCT</t>
  </si>
  <si>
    <t>i7_IDT-14</t>
  </si>
  <si>
    <t>AGAGTCCA</t>
  </si>
  <si>
    <t>UMI_IDT-14</t>
  </si>
  <si>
    <r>
      <rPr>
        <b/>
        <sz val="11"/>
        <color theme="1"/>
        <rFont val="Calibri"/>
        <family val="2"/>
        <scheme val="minor"/>
      </rPr>
      <t>i7_IDT-2</t>
    </r>
    <r>
      <rPr>
        <sz val="11"/>
        <color theme="1"/>
        <rFont val="Calibri"/>
        <family val="2"/>
        <scheme val="minor"/>
      </rPr>
      <t xml:space="preserve">,SI-GA-D7-1,SI-GA-H10-2,G09 </t>
    </r>
  </si>
  <si>
    <t>AH11, AH29,AH58</t>
  </si>
  <si>
    <t>CGTGTGAT</t>
  </si>
  <si>
    <t>ATCACACG</t>
  </si>
  <si>
    <t>i5_IDT-84</t>
  </si>
  <si>
    <r>
      <rPr>
        <b/>
        <sz val="11"/>
        <color theme="1"/>
        <rFont val="Calibri"/>
        <family val="2"/>
        <scheme val="minor"/>
      </rPr>
      <t>N721</t>
    </r>
    <r>
      <rPr>
        <sz val="11"/>
        <color theme="1"/>
        <rFont val="Calibri"/>
        <family val="2"/>
        <scheme val="minor"/>
      </rPr>
      <t>,7045,SI-GA-B2-1,SI-GA-H3-3,SI-GA-B9-4</t>
    </r>
  </si>
  <si>
    <t>TACGCTAC</t>
  </si>
  <si>
    <t>i7_IDT-13</t>
  </si>
  <si>
    <t>GTAGCGTA</t>
  </si>
  <si>
    <t>UMI_IDT-13</t>
  </si>
  <si>
    <t xml:space="preserve">SI-GA-C2-2,G01 ,E12 </t>
  </si>
  <si>
    <t>AACAGGTG</t>
  </si>
  <si>
    <t>CACCTGTT</t>
  </si>
  <si>
    <t>i5_IDT-85</t>
  </si>
  <si>
    <t xml:space="preserve">SI-GA-A6-2,SI-GA-E10-3,F02 </t>
  </si>
  <si>
    <t>GCTATCCT</t>
  </si>
  <si>
    <t>AGGATAGC</t>
  </si>
  <si>
    <t>UMI_IDT-12</t>
  </si>
  <si>
    <t>SI-GA-A2-1,SI-GA-F12-2,SI-GA-F3-3</t>
  </si>
  <si>
    <t>AGTCGAAG</t>
  </si>
  <si>
    <t>CTTCGACT</t>
  </si>
  <si>
    <t>i5_IDT-86</t>
  </si>
  <si>
    <t>GCAAGATC</t>
  </si>
  <si>
    <t>i7_IDT-11</t>
  </si>
  <si>
    <t>GATCTTGC</t>
  </si>
  <si>
    <t>UMI_IDT-11</t>
  </si>
  <si>
    <t>SI-GA-C8-1,E01 ,17</t>
  </si>
  <si>
    <t>TGCTTCCA</t>
  </si>
  <si>
    <t>i5_IDT-87</t>
  </si>
  <si>
    <t>ATCGATCG</t>
  </si>
  <si>
    <t>i7_IDT-10</t>
  </si>
  <si>
    <t>CGATCGAT</t>
  </si>
  <si>
    <t>UMI_IDT-10</t>
  </si>
  <si>
    <t>SI-GA-C3-2,SI-GA-A9-4,SI-GA-D12-4</t>
  </si>
  <si>
    <t>i5_IDT-88</t>
  </si>
  <si>
    <r>
      <rPr>
        <b/>
        <sz val="11"/>
        <color theme="1"/>
        <rFont val="Calibri"/>
        <family val="2"/>
        <scheme val="minor"/>
      </rPr>
      <t>D709</t>
    </r>
    <r>
      <rPr>
        <sz val="11"/>
        <color theme="1"/>
        <rFont val="Calibri"/>
        <family val="2"/>
        <scheme val="minor"/>
      </rPr>
      <t>,7010,7024,7037,7053,7079,SI-GA-E10-2,C01 ,29</t>
    </r>
  </si>
  <si>
    <t>CGGCTAAT</t>
  </si>
  <si>
    <t>i7_IDT-9</t>
  </si>
  <si>
    <t>ATTAGCCG</t>
  </si>
  <si>
    <t>UMI_IDT-9</t>
  </si>
  <si>
    <t>SI-GA-A9-2,SI-GA-D4-4,SI-GA-C9-4</t>
  </si>
  <si>
    <t>GTTCTCGT</t>
  </si>
  <si>
    <t>i5_IDT-89</t>
  </si>
  <si>
    <t xml:space="preserve">F05 ,H05 </t>
  </si>
  <si>
    <t>ACGGAACA</t>
  </si>
  <si>
    <t>i7_IDT-8</t>
  </si>
  <si>
    <t>UMI_IDT-8</t>
  </si>
  <si>
    <t xml:space="preserve">7041,B06 ,F06 </t>
  </si>
  <si>
    <t>AAGCCTGA</t>
  </si>
  <si>
    <t>TCAGGCTT</t>
  </si>
  <si>
    <t>i5_IDT-90</t>
  </si>
  <si>
    <t>7004,7032,7036,7053,7071,7085,SI-GA-E11-2,SI-GA-A2-3,SI-GA-F9-4,SI-GA-B11-4,22</t>
  </si>
  <si>
    <t>CGCATGAT</t>
  </si>
  <si>
    <t>ATCATGCG</t>
  </si>
  <si>
    <t>UMI_IDT-7</t>
  </si>
  <si>
    <t>SI-GA-C1-3,SI-GA-B11-3</t>
  </si>
  <si>
    <t>CTACAAGG</t>
  </si>
  <si>
    <t>i5_IDT-91</t>
  </si>
  <si>
    <t>TTCCAAGG</t>
  </si>
  <si>
    <t>CCTTGGAA</t>
  </si>
  <si>
    <t>UMI_IDT-6</t>
  </si>
  <si>
    <t xml:space="preserve">SI-GA-B2-3,A03 </t>
  </si>
  <si>
    <t>CGATGTTC</t>
  </si>
  <si>
    <t>GAACATCG</t>
  </si>
  <si>
    <t>i5_IDT-92</t>
  </si>
  <si>
    <t xml:space="preserve">H10 </t>
  </si>
  <si>
    <t>CTTGTCGA</t>
  </si>
  <si>
    <t>i7_IDT-5</t>
  </si>
  <si>
    <t>UMI_IDT-5</t>
  </si>
  <si>
    <r>
      <rPr>
        <b/>
        <sz val="11"/>
        <color theme="1"/>
        <rFont val="Calibri"/>
        <family val="2"/>
        <scheme val="minor"/>
      </rPr>
      <t>i7_IDT-18</t>
    </r>
    <r>
      <rPr>
        <sz val="11"/>
        <color theme="1"/>
        <rFont val="Calibri"/>
        <family val="2"/>
        <scheme val="minor"/>
      </rPr>
      <t>,D702,SI-GA-E8-2,SI-GA-C11-3</t>
    </r>
  </si>
  <si>
    <t>ACCGGTTA</t>
  </si>
  <si>
    <t>TAACCGGT</t>
  </si>
  <si>
    <t>i5_IDT-93</t>
  </si>
  <si>
    <t>7021,7043,7071,SI-GA-B4-2,SI-GA-C10-2,23,33</t>
  </si>
  <si>
    <t>GAGACGAT</t>
  </si>
  <si>
    <t>i7_IDT-4</t>
  </si>
  <si>
    <t>UMI_IDT-4</t>
  </si>
  <si>
    <r>
      <rPr>
        <b/>
        <sz val="11"/>
        <color theme="1"/>
        <rFont val="Calibri"/>
        <family val="2"/>
        <scheme val="minor"/>
      </rPr>
      <t>D705</t>
    </r>
    <r>
      <rPr>
        <sz val="11"/>
        <color theme="1"/>
        <rFont val="Calibri"/>
        <family val="2"/>
        <scheme val="minor"/>
      </rPr>
      <t>,7095,SI-GA-C9-1,SI-GA-A4-3</t>
    </r>
  </si>
  <si>
    <t>GAACGGTT</t>
  </si>
  <si>
    <t>AACCGTTC</t>
  </si>
  <si>
    <t>i5_IDT-94</t>
  </si>
  <si>
    <r>
      <rPr>
        <b/>
        <sz val="11"/>
        <color theme="1"/>
        <rFont val="Calibri"/>
        <family val="2"/>
        <scheme val="minor"/>
      </rPr>
      <t>N718</t>
    </r>
    <r>
      <rPr>
        <sz val="11"/>
        <color theme="1"/>
        <rFont val="Calibri"/>
        <family val="2"/>
        <scheme val="minor"/>
      </rPr>
      <t>,SI-GA-F6-4</t>
    </r>
  </si>
  <si>
    <t>TGAGCTAG</t>
  </si>
  <si>
    <t>i7_IDT-3</t>
  </si>
  <si>
    <t>UMI_IDT-3</t>
  </si>
  <si>
    <t>7057,SI-GA-E12-3,22</t>
  </si>
  <si>
    <t>AH13,22</t>
  </si>
  <si>
    <t>TGGTACAG</t>
  </si>
  <si>
    <t>i5_IDT-95</t>
  </si>
  <si>
    <r>
      <rPr>
        <b/>
        <sz val="11"/>
        <color theme="1"/>
        <rFont val="Calibri"/>
        <family val="2"/>
        <scheme val="minor"/>
      </rPr>
      <t>N716</t>
    </r>
    <r>
      <rPr>
        <sz val="11"/>
        <color theme="1"/>
        <rFont val="Calibri"/>
        <family val="2"/>
        <scheme val="minor"/>
      </rPr>
      <t xml:space="preserve">,E06 ,G09 </t>
    </r>
  </si>
  <si>
    <t>ACTCTCGA</t>
  </si>
  <si>
    <t>i7_IDT-2</t>
  </si>
  <si>
    <t>TCGAGAGT</t>
  </si>
  <si>
    <t>UMI_IDT-2</t>
  </si>
  <si>
    <r>
      <rPr>
        <b/>
        <sz val="11"/>
        <color theme="1"/>
        <rFont val="Calibri"/>
        <family val="2"/>
        <scheme val="minor"/>
      </rPr>
      <t>D708</t>
    </r>
    <r>
      <rPr>
        <sz val="11"/>
        <color theme="1"/>
        <rFont val="Calibri"/>
        <family val="2"/>
        <scheme val="minor"/>
      </rPr>
      <t>,SI-GA-G3-4</t>
    </r>
  </si>
  <si>
    <t>GCGCATAT</t>
  </si>
  <si>
    <t>ATATGCGC</t>
  </si>
  <si>
    <t>i5_IDT-96</t>
  </si>
  <si>
    <t>SI-GA-D6-3,7</t>
  </si>
  <si>
    <t>CTGATCGT</t>
  </si>
  <si>
    <t>i7_IDT-1</t>
  </si>
  <si>
    <t>UMI_IDT-1</t>
  </si>
  <si>
    <t>5XX Nextseq barcode</t>
  </si>
  <si>
    <t>5XX Miseq barcode</t>
  </si>
  <si>
    <t>Sense Seq Name</t>
  </si>
  <si>
    <t>7XX barcode</t>
  </si>
  <si>
    <t>Antisense Seq Name</t>
  </si>
  <si>
    <t>i7 adaptor sequence</t>
  </si>
  <si>
    <t>Duplex Name</t>
  </si>
  <si>
    <t>Xgen Dual Index UMI</t>
  </si>
  <si>
    <t>Yes</t>
  </si>
  <si>
    <t>No</t>
  </si>
  <si>
    <t>TruSeq Small RNA</t>
  </si>
  <si>
    <t>RPI1</t>
  </si>
  <si>
    <t>RPI2</t>
  </si>
  <si>
    <t>RPI3</t>
  </si>
  <si>
    <t>RPI4</t>
  </si>
  <si>
    <t>RPI5</t>
  </si>
  <si>
    <t>RPI6</t>
  </si>
  <si>
    <t>RPI7</t>
  </si>
  <si>
    <t>RPI8</t>
  </si>
  <si>
    <t>RPI9</t>
  </si>
  <si>
    <t>RPI10</t>
  </si>
  <si>
    <t>RPI11</t>
  </si>
  <si>
    <t>RPI12</t>
  </si>
  <si>
    <t>RPI13</t>
  </si>
  <si>
    <t>AGTCAA</t>
  </si>
  <si>
    <t>RPI14</t>
  </si>
  <si>
    <t>AGTTCC</t>
  </si>
  <si>
    <t>RPI15</t>
  </si>
  <si>
    <t>ATGTCA</t>
  </si>
  <si>
    <t>RPI16</t>
  </si>
  <si>
    <t>CCGTCC</t>
  </si>
  <si>
    <t>RPI17</t>
  </si>
  <si>
    <t>GTAGAG</t>
  </si>
  <si>
    <t>RPI18</t>
  </si>
  <si>
    <t>GTCCGC</t>
  </si>
  <si>
    <t>RPI19</t>
  </si>
  <si>
    <t>GTGAAA</t>
  </si>
  <si>
    <t>RPI20</t>
  </si>
  <si>
    <t>GTGGCC</t>
  </si>
  <si>
    <t>RPI21</t>
  </si>
  <si>
    <t>GTTTCG</t>
  </si>
  <si>
    <t>RPI22</t>
  </si>
  <si>
    <t>CGTACG</t>
  </si>
  <si>
    <t>RPI23</t>
  </si>
  <si>
    <t>GAGTGG</t>
  </si>
  <si>
    <t>RPI24</t>
  </si>
  <si>
    <t>GGTAGC</t>
  </si>
  <si>
    <t>RPI25</t>
  </si>
  <si>
    <t>ACTGAT</t>
  </si>
  <si>
    <t>RPI26</t>
  </si>
  <si>
    <t>ATGAGC</t>
  </si>
  <si>
    <t>RPI27</t>
  </si>
  <si>
    <t>ATTCCT</t>
  </si>
  <si>
    <t>RPI28</t>
  </si>
  <si>
    <t>RPI29</t>
  </si>
  <si>
    <t>CAACTA</t>
  </si>
  <si>
    <t>RPI30</t>
  </si>
  <si>
    <t>CACCGG</t>
  </si>
  <si>
    <t>RPI31</t>
  </si>
  <si>
    <t>CACGAT</t>
  </si>
  <si>
    <t>RPI32</t>
  </si>
  <si>
    <t>CACTCA</t>
  </si>
  <si>
    <t>RPI33</t>
  </si>
  <si>
    <t>CAGGCG</t>
  </si>
  <si>
    <t>RPI34</t>
  </si>
  <si>
    <t>CATGGC</t>
  </si>
  <si>
    <t>RPI35</t>
  </si>
  <si>
    <t>CATTTT</t>
  </si>
  <si>
    <t>RPI36</t>
  </si>
  <si>
    <t>CCAACA</t>
  </si>
  <si>
    <t>RPI37</t>
  </si>
  <si>
    <t>CGGAAT</t>
  </si>
  <si>
    <t>RPI38</t>
  </si>
  <si>
    <t>CTAGCT</t>
  </si>
  <si>
    <t>RPI39</t>
  </si>
  <si>
    <t>CTATAC</t>
  </si>
  <si>
    <t>RPI40</t>
  </si>
  <si>
    <t>CTCAGA</t>
  </si>
  <si>
    <t>RPI41</t>
  </si>
  <si>
    <t>GACGAC</t>
  </si>
  <si>
    <t>RPI42</t>
  </si>
  <si>
    <t>TAATCG</t>
  </si>
  <si>
    <t>RPI43</t>
  </si>
  <si>
    <t>TACAGC</t>
  </si>
  <si>
    <t>RPI44</t>
  </si>
  <si>
    <t>TATAAT</t>
  </si>
  <si>
    <t>RPI45</t>
  </si>
  <si>
    <t>TCATTC</t>
  </si>
  <si>
    <t>RPI46</t>
  </si>
  <si>
    <t>TCCCGA</t>
  </si>
  <si>
    <t>RPI47</t>
  </si>
  <si>
    <t>TCGAAG</t>
  </si>
  <si>
    <t>RPI48</t>
  </si>
  <si>
    <t>TCGGCA</t>
  </si>
  <si>
    <t>Tureseq UDI Set ABCD</t>
  </si>
  <si>
    <t>i5 Novaseq</t>
  </si>
  <si>
    <t>i5 Hiseq</t>
  </si>
  <si>
    <t>UDP0001</t>
  </si>
  <si>
    <t>GAACTGAGCG</t>
  </si>
  <si>
    <t>TCGTGGAGCG</t>
  </si>
  <si>
    <t>CGCTCCACGA</t>
  </si>
  <si>
    <t>UDP0002</t>
  </si>
  <si>
    <t>AGGTCAGATA</t>
  </si>
  <si>
    <t>CTACAAGATA</t>
  </si>
  <si>
    <t>TATCTTGTAG</t>
  </si>
  <si>
    <t>UDP0003</t>
  </si>
  <si>
    <t>CGTCTCATAT</t>
  </si>
  <si>
    <t>TATAGTAGCT</t>
  </si>
  <si>
    <t>AGCTACTATA</t>
  </si>
  <si>
    <t>UDP0004</t>
  </si>
  <si>
    <t>ATTCCATAAG</t>
  </si>
  <si>
    <t>TGCCTGGTGG</t>
  </si>
  <si>
    <t>CCACCAGGCA</t>
  </si>
  <si>
    <t>UDP0005</t>
  </si>
  <si>
    <t>GACGAGATTA</t>
  </si>
  <si>
    <t>ACATTATCCT</t>
  </si>
  <si>
    <t>AGGATAATGT</t>
  </si>
  <si>
    <t>UDP0006</t>
  </si>
  <si>
    <t>AACATCGCGC</t>
  </si>
  <si>
    <t>GTCCACTTGT</t>
  </si>
  <si>
    <t>ACAAGTGGAC</t>
  </si>
  <si>
    <t>UDP0007</t>
  </si>
  <si>
    <t>CTAGTGCTCT</t>
  </si>
  <si>
    <t>TGGAACAGTA</t>
  </si>
  <si>
    <t>TACTGTTCCA</t>
  </si>
  <si>
    <t>UDP0008</t>
  </si>
  <si>
    <t>GATCAAGGCA</t>
  </si>
  <si>
    <t>CCTTGTTAAT</t>
  </si>
  <si>
    <t>ATTAACAAGG</t>
  </si>
  <si>
    <t>UDP0009</t>
  </si>
  <si>
    <t>GACTGAGTAG</t>
  </si>
  <si>
    <t>GTTGATAGTG</t>
  </si>
  <si>
    <t>CACTATCAAC</t>
  </si>
  <si>
    <t>UDP0010</t>
  </si>
  <si>
    <t>AGTCAGACGA</t>
  </si>
  <si>
    <t>ACCAGCGACA</t>
  </si>
  <si>
    <t>TGTCGCTGGT</t>
  </si>
  <si>
    <t>UDP0011</t>
  </si>
  <si>
    <t>CCGTATGTTC</t>
  </si>
  <si>
    <t>CATACACTGT</t>
  </si>
  <si>
    <t>ACAGTGTATG</t>
  </si>
  <si>
    <t>UDP0012</t>
  </si>
  <si>
    <t>GAGTCATAGG</t>
  </si>
  <si>
    <t>GTGTGGCGCT</t>
  </si>
  <si>
    <t>AGCGCCACAC</t>
  </si>
  <si>
    <t>UDP0013</t>
  </si>
  <si>
    <t>CTTGCCATTA</t>
  </si>
  <si>
    <t>ATCACGAAGG</t>
  </si>
  <si>
    <t>CCTTCGTGAT</t>
  </si>
  <si>
    <t>UDP0014</t>
  </si>
  <si>
    <t>GAAGCGGCAC</t>
  </si>
  <si>
    <t>CGGCTCTACT</t>
  </si>
  <si>
    <t>AGTAGAGCCG</t>
  </si>
  <si>
    <t>UDP0015</t>
  </si>
  <si>
    <t>TCCATTGCCG</t>
  </si>
  <si>
    <t>GAATGCACGA</t>
  </si>
  <si>
    <t>TCGTGCATTC</t>
  </si>
  <si>
    <t>UDP0016</t>
  </si>
  <si>
    <t>CGGTTACGGC</t>
  </si>
  <si>
    <t>AAGACTATAG</t>
  </si>
  <si>
    <t>CTATAGTCTT</t>
  </si>
  <si>
    <t>UDP0017</t>
  </si>
  <si>
    <t>GAGAATGGTT</t>
  </si>
  <si>
    <t>TCGGCAGCAA</t>
  </si>
  <si>
    <t>TTGCTGCCGA</t>
  </si>
  <si>
    <t>UDP0018</t>
  </si>
  <si>
    <t>AGAGGCAACC</t>
  </si>
  <si>
    <t>CTAATGATGG</t>
  </si>
  <si>
    <t>CCATCATTAG</t>
  </si>
  <si>
    <t>UDP0019</t>
  </si>
  <si>
    <t>GGTTGCCTCT</t>
  </si>
  <si>
    <t>UDP0020</t>
  </si>
  <si>
    <t>GATAGGCCGA</t>
  </si>
  <si>
    <t>CGCACATGGC</t>
  </si>
  <si>
    <t>GCCATGTGCG</t>
  </si>
  <si>
    <t>UDP0021</t>
  </si>
  <si>
    <t>ATGGTTGACT</t>
  </si>
  <si>
    <t>GGCCTGTCCT</t>
  </si>
  <si>
    <t>AGGACAGGCC</t>
  </si>
  <si>
    <t>UDP0022</t>
  </si>
  <si>
    <t>TATTGCGCTC</t>
  </si>
  <si>
    <t>CTGTGTTAGG</t>
  </si>
  <si>
    <t>CCTAACACAG</t>
  </si>
  <si>
    <t>UDP0023</t>
  </si>
  <si>
    <t>ACGCCTTGTT</t>
  </si>
  <si>
    <t>TAAGGAACGT</t>
  </si>
  <si>
    <t>ACGTTCCTTA</t>
  </si>
  <si>
    <t>UDP0024</t>
  </si>
  <si>
    <t>TTCTACATAC</t>
  </si>
  <si>
    <t>CTAACTGTAA</t>
  </si>
  <si>
    <t>TTACAGTTAG</t>
  </si>
  <si>
    <t>UDP0025</t>
  </si>
  <si>
    <t>AACCATAGAA</t>
  </si>
  <si>
    <t>GGCGAGATGG</t>
  </si>
  <si>
    <t>CCATCTCGCC</t>
  </si>
  <si>
    <t>UDP0026</t>
  </si>
  <si>
    <t>GGTTGCGAGG</t>
  </si>
  <si>
    <t>AATAGAGCAA</t>
  </si>
  <si>
    <t>TTGCTCTATT</t>
  </si>
  <si>
    <t>UDP0027</t>
  </si>
  <si>
    <t>TAAGCATCCA</t>
  </si>
  <si>
    <t>TCAATCCATT</t>
  </si>
  <si>
    <t>AATGGATTGA</t>
  </si>
  <si>
    <t>UDP0028</t>
  </si>
  <si>
    <t>ACCACGACAT</t>
  </si>
  <si>
    <t>TCGTATGCGG</t>
  </si>
  <si>
    <t>CCGCATACGA</t>
  </si>
  <si>
    <t>UDP0029</t>
  </si>
  <si>
    <t>GCCGCACTCT</t>
  </si>
  <si>
    <t>TCCGACCTCG</t>
  </si>
  <si>
    <t>CGAGGTCGGA</t>
  </si>
  <si>
    <t>UDP0030</t>
  </si>
  <si>
    <t>CTTATGGAAT</t>
  </si>
  <si>
    <t>UDP0031</t>
  </si>
  <si>
    <t>GTGACACGCA</t>
  </si>
  <si>
    <t>GCTTACGGAC</t>
  </si>
  <si>
    <t>GTCCGTAAGC</t>
  </si>
  <si>
    <t>UDP0032</t>
  </si>
  <si>
    <t>GAACATACGG</t>
  </si>
  <si>
    <t>UDP0033</t>
  </si>
  <si>
    <t>TGATTATACG</t>
  </si>
  <si>
    <t>GTCGATTACA</t>
  </si>
  <si>
    <t>TGTAATCGAC</t>
  </si>
  <si>
    <t>UDP0034</t>
  </si>
  <si>
    <t>CAGCCGCGTA</t>
  </si>
  <si>
    <t>ACTAGCCGTG</t>
  </si>
  <si>
    <t>CACGGCTAGT</t>
  </si>
  <si>
    <t>UDP0035</t>
  </si>
  <si>
    <t>GGTAACTCGC</t>
  </si>
  <si>
    <t>AAGTTGGTGA</t>
  </si>
  <si>
    <t>TCACCAACTT</t>
  </si>
  <si>
    <t>UDP0036</t>
  </si>
  <si>
    <t>ACCGGCCGTA</t>
  </si>
  <si>
    <t>TGGCAATATT</t>
  </si>
  <si>
    <t>AATATTGCCA</t>
  </si>
  <si>
    <t>UDP0037</t>
  </si>
  <si>
    <t>GATCACCGCG</t>
  </si>
  <si>
    <t>CGCGGTGATC</t>
  </si>
  <si>
    <t>UDP0038</t>
  </si>
  <si>
    <t>GTGCAGACAG</t>
  </si>
  <si>
    <t>TACCATCCGT</t>
  </si>
  <si>
    <t>ACGGATGGTA</t>
  </si>
  <si>
    <t>UDP0039</t>
  </si>
  <si>
    <t>CAATCGGCTG</t>
  </si>
  <si>
    <t>GCTGTAGGAA</t>
  </si>
  <si>
    <t>TTCCTACAGC</t>
  </si>
  <si>
    <t>UDP0040</t>
  </si>
  <si>
    <t>TATGTAGTCA</t>
  </si>
  <si>
    <t>CGCACTAATG</t>
  </si>
  <si>
    <t>CATTAGTGCG</t>
  </si>
  <si>
    <t>UDP0041</t>
  </si>
  <si>
    <t>ACTCGGCAAT</t>
  </si>
  <si>
    <t>GACAACTGAA</t>
  </si>
  <si>
    <t>TTCAGTTGTC</t>
  </si>
  <si>
    <t>UDP0042</t>
  </si>
  <si>
    <t>GTCTAATGGC</t>
  </si>
  <si>
    <t>AGTGGTCAGG</t>
  </si>
  <si>
    <t>CCTGACCACT</t>
  </si>
  <si>
    <t>UDP0043</t>
  </si>
  <si>
    <t>TTCTATGGTT</t>
  </si>
  <si>
    <t>UDP0044</t>
  </si>
  <si>
    <t>CTGCGAGCCA</t>
  </si>
  <si>
    <t>AATCCGGCCA</t>
  </si>
  <si>
    <t>TGGCCGGATT</t>
  </si>
  <si>
    <t>UDP0045</t>
  </si>
  <si>
    <t>CGTTATTCTA</t>
  </si>
  <si>
    <t>CCATAAGGTT</t>
  </si>
  <si>
    <t>AACCTTATGG</t>
  </si>
  <si>
    <t>UDP0046</t>
  </si>
  <si>
    <t>AGATCCATTA</t>
  </si>
  <si>
    <t>ATCTCTACCA</t>
  </si>
  <si>
    <t>TGGTAGAGAT</t>
  </si>
  <si>
    <t>UDP0047</t>
  </si>
  <si>
    <t>GTCCTGGATA</t>
  </si>
  <si>
    <t>CGGTGGCGAA</t>
  </si>
  <si>
    <t>TTCGCCACCG</t>
  </si>
  <si>
    <t>UDP0048</t>
  </si>
  <si>
    <t>CAGTGGCACT</t>
  </si>
  <si>
    <t>TAACAATAGG</t>
  </si>
  <si>
    <t>CCTATTGTTA</t>
  </si>
  <si>
    <t>UDP0049</t>
  </si>
  <si>
    <t>AGTGTTGCAC</t>
  </si>
  <si>
    <t>CTGGTACACG</t>
  </si>
  <si>
    <t>CGTGTACCAG</t>
  </si>
  <si>
    <t>UDP0050</t>
  </si>
  <si>
    <t>GACACCATGT</t>
  </si>
  <si>
    <t>TCAACGTGTA</t>
  </si>
  <si>
    <t>TACACGTTGA</t>
  </si>
  <si>
    <t>UDP0051</t>
  </si>
  <si>
    <t>CCTGTCTGTC</t>
  </si>
  <si>
    <t>ACTGTTGTGA</t>
  </si>
  <si>
    <t>TCACAACAGT</t>
  </si>
  <si>
    <t>UDP0052</t>
  </si>
  <si>
    <t>TGATGTAAGA</t>
  </si>
  <si>
    <t>GTGCGTCCTT</t>
  </si>
  <si>
    <t>AAGGACGCAC</t>
  </si>
  <si>
    <t>UDP0053</t>
  </si>
  <si>
    <t>GGAATTGTAA</t>
  </si>
  <si>
    <t>AGCACATCCT</t>
  </si>
  <si>
    <t>AGGATGTGCT</t>
  </si>
  <si>
    <t>UDP0054</t>
  </si>
  <si>
    <t>GCATAAGCTT</t>
  </si>
  <si>
    <t>TTCCGTCGCA</t>
  </si>
  <si>
    <t>TGCGACGGAA</t>
  </si>
  <si>
    <t>UDP0055</t>
  </si>
  <si>
    <t>CTGAGGAATA</t>
  </si>
  <si>
    <t>CTTAACCACT</t>
  </si>
  <si>
    <t>AGTGGTTAAG</t>
  </si>
  <si>
    <t>UDP0056</t>
  </si>
  <si>
    <t>AACGCACGAG</t>
  </si>
  <si>
    <t>GCCTCGGATA</t>
  </si>
  <si>
    <t>TATCCGAGGC</t>
  </si>
  <si>
    <t>UDP0057</t>
  </si>
  <si>
    <t>TCTATCCTAA</t>
  </si>
  <si>
    <t>CGTCGACTGG</t>
  </si>
  <si>
    <t>CCAGTCGACG</t>
  </si>
  <si>
    <t>UDP0058</t>
  </si>
  <si>
    <t>CTCGCTTCGG</t>
  </si>
  <si>
    <t>TACTAGTCAA</t>
  </si>
  <si>
    <t>TTGACTAGTA</t>
  </si>
  <si>
    <t>UDP0059</t>
  </si>
  <si>
    <t>CTGTTGGTCC</t>
  </si>
  <si>
    <t>ATAGACCGTT</t>
  </si>
  <si>
    <t>AACGGTCTAT</t>
  </si>
  <si>
    <t>UDP0060</t>
  </si>
  <si>
    <t>TTACCTGGAA</t>
  </si>
  <si>
    <t>ACAGTTCCAG</t>
  </si>
  <si>
    <t>CTGGAACTGT</t>
  </si>
  <si>
    <t>UDP0061</t>
  </si>
  <si>
    <t>TGGCTAATCA</t>
  </si>
  <si>
    <t>AGGCATGTAG</t>
  </si>
  <si>
    <t>CTACATGCCT</t>
  </si>
  <si>
    <t>UDP0062</t>
  </si>
  <si>
    <t>AACACTGTTA</t>
  </si>
  <si>
    <t>GCAAGTCTCA</t>
  </si>
  <si>
    <t>TGAGACTTGC</t>
  </si>
  <si>
    <t>SueSelect XT Low Input index i7+i5</t>
  </si>
  <si>
    <t>The Unique Dual Index Ki(UDI)</t>
  </si>
  <si>
    <t>UDP0063</t>
  </si>
  <si>
    <t>ATTGCGCGGT</t>
  </si>
  <si>
    <t>TTGGCTCCGC</t>
  </si>
  <si>
    <t>GCGGAGCCAA</t>
  </si>
  <si>
    <t>Index ID</t>
  </si>
  <si>
    <t>i7 bases for sample sheet</t>
  </si>
  <si>
    <t>i5 bases for sample sheet (MiSeq, NovaSeq, HiSeq 2000/2500)</t>
  </si>
  <si>
    <t>i5 bases for sample sheet (MiniSeq, NextSeq, HiSeq 3000/4000)</t>
  </si>
  <si>
    <t>UDP0064</t>
  </si>
  <si>
    <t>TGGCGCGAAC</t>
  </si>
  <si>
    <t>AACTGATACT</t>
  </si>
  <si>
    <t>AGTATCAGTT</t>
  </si>
  <si>
    <t>CAACGAGC</t>
  </si>
  <si>
    <t>GCTCGTTG</t>
  </si>
  <si>
    <t>CCGCGGTT</t>
  </si>
  <si>
    <t>AGCGCTAG</t>
  </si>
  <si>
    <t>CTAGCGCT</t>
  </si>
  <si>
    <t>UDP0065</t>
  </si>
  <si>
    <t>TAATGTGTCT</t>
  </si>
  <si>
    <t>GTAAGGCATA</t>
  </si>
  <si>
    <t>TATGCCTTAC</t>
  </si>
  <si>
    <t>GTCGACAA</t>
  </si>
  <si>
    <t>TTGTCGAC</t>
  </si>
  <si>
    <t>TTATAACC</t>
  </si>
  <si>
    <t>GATATCGA</t>
  </si>
  <si>
    <t>TCGATATC</t>
  </si>
  <si>
    <t>UDP0066</t>
  </si>
  <si>
    <t>ATACCAACGC</t>
  </si>
  <si>
    <t>AATTGCTGCG</t>
  </si>
  <si>
    <t>CGCAGCAATT</t>
  </si>
  <si>
    <t>AAGAGCCT</t>
  </si>
  <si>
    <t>AGGCTCTT</t>
  </si>
  <si>
    <t>GGACTTGG</t>
  </si>
  <si>
    <t>CGCAGACG</t>
  </si>
  <si>
    <t>CGTCTGCG</t>
  </si>
  <si>
    <t>UDP0067</t>
  </si>
  <si>
    <t>TTACAATTCC</t>
  </si>
  <si>
    <t>ACACCTTA</t>
  </si>
  <si>
    <t>TAAGGTGT</t>
  </si>
  <si>
    <t>AAGTCCAA</t>
  </si>
  <si>
    <t>TATGAGTA</t>
  </si>
  <si>
    <t>TACTCATA</t>
  </si>
  <si>
    <t>UDP0068</t>
  </si>
  <si>
    <t>CACGGAACAA</t>
  </si>
  <si>
    <t>AACCTAGCAC</t>
  </si>
  <si>
    <t>GTGCTAGGTT</t>
  </si>
  <si>
    <t>TGATCGCG</t>
  </si>
  <si>
    <t>CGCGATCA</t>
  </si>
  <si>
    <t>ATCCACTG</t>
  </si>
  <si>
    <t>AGGTGCGT</t>
  </si>
  <si>
    <t>ACGCACCT</t>
  </si>
  <si>
    <t>UDP0069</t>
  </si>
  <si>
    <t>TGGAGTACTT</t>
  </si>
  <si>
    <t>TCTGTGTGGA</t>
  </si>
  <si>
    <t>TCCACACAGA</t>
  </si>
  <si>
    <t>TGGCTAGA</t>
  </si>
  <si>
    <t>TCTAGCCA</t>
  </si>
  <si>
    <t>GCTTGTCA</t>
  </si>
  <si>
    <t>GAACATAC</t>
  </si>
  <si>
    <t>GTATGTTC</t>
  </si>
  <si>
    <t>UDP0070</t>
  </si>
  <si>
    <t>GTATTGACGT</t>
  </si>
  <si>
    <t>GGAATTCCAA</t>
  </si>
  <si>
    <t>TTGGAATTCC</t>
  </si>
  <si>
    <t>GCCTCCGA</t>
  </si>
  <si>
    <t>TCGGAGGC</t>
  </si>
  <si>
    <t>CAAGCTAG</t>
  </si>
  <si>
    <t>UDP0071</t>
  </si>
  <si>
    <t>CTTGTACACC</t>
  </si>
  <si>
    <t>AAGCGCGCTT</t>
  </si>
  <si>
    <t>CAGCGTTG</t>
  </si>
  <si>
    <t>CAACGCTG</t>
  </si>
  <si>
    <t>TGGATCGA</t>
  </si>
  <si>
    <t>GTGCGATA</t>
  </si>
  <si>
    <t>TATCGCAC</t>
  </si>
  <si>
    <t>UDP0072</t>
  </si>
  <si>
    <t>ACACAGGTGG</t>
  </si>
  <si>
    <t>TGAGCGTTGT</t>
  </si>
  <si>
    <t>ACAACGCTCA</t>
  </si>
  <si>
    <t>GTGTCTCA</t>
  </si>
  <si>
    <t>TGAGACAC</t>
  </si>
  <si>
    <t>AGTTCAGG</t>
  </si>
  <si>
    <t>CCAACAGA</t>
  </si>
  <si>
    <t>UDP0073</t>
  </si>
  <si>
    <t>CCTGCGGAAC</t>
  </si>
  <si>
    <t>ATCATAGGCT</t>
  </si>
  <si>
    <t>AGCCTATGAT</t>
  </si>
  <si>
    <t>ATAACATC</t>
  </si>
  <si>
    <t>GATGTTAT</t>
  </si>
  <si>
    <t>GACCTGAA</t>
  </si>
  <si>
    <t>TTGGTGAG</t>
  </si>
  <si>
    <t>UDP0074</t>
  </si>
  <si>
    <t>TTCATAAGGT</t>
  </si>
  <si>
    <t>TGTTAGAAGG</t>
  </si>
  <si>
    <t>CCTTCTAACA</t>
  </si>
  <si>
    <t>AACTTCCT</t>
  </si>
  <si>
    <t>AGGAAGTT</t>
  </si>
  <si>
    <t>TCTCTACT</t>
  </si>
  <si>
    <t>CGCGGTTC</t>
  </si>
  <si>
    <t>GAACCGCG</t>
  </si>
  <si>
    <t>UDP0075</t>
  </si>
  <si>
    <t>CTCTGCAGCG</t>
  </si>
  <si>
    <t>GATGGATGTA</t>
  </si>
  <si>
    <t>TACATCCATC</t>
  </si>
  <si>
    <t>GCGTTGGT</t>
  </si>
  <si>
    <t>ACCAACGC</t>
  </si>
  <si>
    <t>CTCTCGTC</t>
  </si>
  <si>
    <t>TATAACCT</t>
  </si>
  <si>
    <t>AGGTTATA</t>
  </si>
  <si>
    <t>UDP0076</t>
  </si>
  <si>
    <t>CTGACTCTAC</t>
  </si>
  <si>
    <t>ACGGCCGTCA</t>
  </si>
  <si>
    <t>TGACGGCCGT</t>
  </si>
  <si>
    <t>CTAGCAAC</t>
  </si>
  <si>
    <t>GTTGCTAG</t>
  </si>
  <si>
    <t>CCAAGTCT</t>
  </si>
  <si>
    <t>AAGGATGA</t>
  </si>
  <si>
    <t>TCATCCTT</t>
  </si>
  <si>
    <t>UDP0077</t>
  </si>
  <si>
    <t>TCTGGTATCC</t>
  </si>
  <si>
    <t>CGTTGCTTAC</t>
  </si>
  <si>
    <t>GTAAGCAACG</t>
  </si>
  <si>
    <t>TCTCGATC</t>
  </si>
  <si>
    <t>GATCGAGA</t>
  </si>
  <si>
    <t>TTGGACTC</t>
  </si>
  <si>
    <t>GGAAGCAG</t>
  </si>
  <si>
    <t>CTGCTTCC</t>
  </si>
  <si>
    <t>UDP0078</t>
  </si>
  <si>
    <t>TGACTACATA</t>
  </si>
  <si>
    <t>GTATGCGC</t>
  </si>
  <si>
    <t>GCGCATAC</t>
  </si>
  <si>
    <t>GGCTTAAG</t>
  </si>
  <si>
    <t>TCGTGACC</t>
  </si>
  <si>
    <t>GGTCACGA</t>
  </si>
  <si>
    <t>UDP0079</t>
  </si>
  <si>
    <t>ACGGTCAGGA</t>
  </si>
  <si>
    <t>CGGCCTCGTT</t>
  </si>
  <si>
    <t>AACGAGGCCG</t>
  </si>
  <si>
    <t>AGGTCGTT</t>
  </si>
  <si>
    <t>AACGACCT</t>
  </si>
  <si>
    <t>CTACAGTT</t>
  </si>
  <si>
    <t>AACTGTAG</t>
  </si>
  <si>
    <t>UDP0080</t>
  </si>
  <si>
    <t>GGCAAGCCAG</t>
  </si>
  <si>
    <t>CAAGCATCCG</t>
  </si>
  <si>
    <t>CGGATGCTTG</t>
  </si>
  <si>
    <t>GTCAATAG</t>
  </si>
  <si>
    <t>CTATTGAC</t>
  </si>
  <si>
    <t>TAATACAG</t>
  </si>
  <si>
    <t>ATATTCAC</t>
  </si>
  <si>
    <t>GTGAATAT</t>
  </si>
  <si>
    <t>UDP0081</t>
  </si>
  <si>
    <t>TCGTCTGACT</t>
  </si>
  <si>
    <t>CCTGTGAC</t>
  </si>
  <si>
    <t>GTCACAGG</t>
  </si>
  <si>
    <t>CGGCGTGA</t>
  </si>
  <si>
    <t>GCGCCTGT</t>
  </si>
  <si>
    <t>ACAGGCGC</t>
  </si>
  <si>
    <t>UDP0082</t>
  </si>
  <si>
    <t>ACCGTTACAA</t>
  </si>
  <si>
    <t>CTCATAGCGA</t>
  </si>
  <si>
    <t>TCGCTATGAG</t>
  </si>
  <si>
    <t>GAGGAATA</t>
  </si>
  <si>
    <t>TATTCCTC</t>
  </si>
  <si>
    <t>ATGTAAGT</t>
  </si>
  <si>
    <t>ACTCTATG</t>
  </si>
  <si>
    <t>CATAGAGT</t>
  </si>
  <si>
    <t>UDP0083</t>
  </si>
  <si>
    <t>AGACACATTA</t>
  </si>
  <si>
    <t>TGCTATCT</t>
  </si>
  <si>
    <t>AGATAGCA</t>
  </si>
  <si>
    <t>GCACGGAC</t>
  </si>
  <si>
    <t>GTCTCGCA</t>
  </si>
  <si>
    <t>TGCGAGAC</t>
  </si>
  <si>
    <t>UDP0084</t>
  </si>
  <si>
    <t>GCGCGATGTT</t>
  </si>
  <si>
    <t>GATATCAC</t>
  </si>
  <si>
    <t>GTGATATC</t>
  </si>
  <si>
    <t>GGTACCTT</t>
  </si>
  <si>
    <t>AAGACGTC</t>
  </si>
  <si>
    <t>GACGTCTT</t>
  </si>
  <si>
    <t>UDP0085</t>
  </si>
  <si>
    <t>TGGTACCTAA</t>
  </si>
  <si>
    <t>CATGAGTACT</t>
  </si>
  <si>
    <t>AGTACTCATG</t>
  </si>
  <si>
    <t>CCTGAAGA</t>
  </si>
  <si>
    <t>TCTTCAGG</t>
  </si>
  <si>
    <t>AACGTTCC</t>
  </si>
  <si>
    <t>GGAGTACT</t>
  </si>
  <si>
    <t>AGTACTCC</t>
  </si>
  <si>
    <t>UDP0086</t>
  </si>
  <si>
    <t>ACGTCAATAC</t>
  </si>
  <si>
    <t>TCTCTCAA</t>
  </si>
  <si>
    <t>TTGAGAGA</t>
  </si>
  <si>
    <t>GCAGAATT</t>
  </si>
  <si>
    <t>ACCGGCCA</t>
  </si>
  <si>
    <t>TGGCCGGT</t>
  </si>
  <si>
    <t>UDP0087</t>
  </si>
  <si>
    <t>CCTCTACATG</t>
  </si>
  <si>
    <t>GATACCTCCT</t>
  </si>
  <si>
    <t>AGGAGGTATC</t>
  </si>
  <si>
    <t>TTCCGTCT</t>
  </si>
  <si>
    <t>AGACGGAA</t>
  </si>
  <si>
    <t>ATGAGGCC</t>
  </si>
  <si>
    <t>GTTAATTG</t>
  </si>
  <si>
    <t>CAATTAAC</t>
  </si>
  <si>
    <t>UDP0088</t>
  </si>
  <si>
    <t>GGAGCGTGTA</t>
  </si>
  <si>
    <t>ATCCGTAAGT</t>
  </si>
  <si>
    <t>ACTTACGGAT</t>
  </si>
  <si>
    <t>CCTGCGTG</t>
  </si>
  <si>
    <t>CACGCAGG</t>
  </si>
  <si>
    <t>ACTAAGAT</t>
  </si>
  <si>
    <t>AACCGCGG</t>
  </si>
  <si>
    <t>UDP0089</t>
  </si>
  <si>
    <t>CGTGTATCTT</t>
  </si>
  <si>
    <t>AAGATACACG</t>
  </si>
  <si>
    <t>TTCCAACA</t>
  </si>
  <si>
    <t>TGTTGGAA</t>
  </si>
  <si>
    <t>GTCGGAGC</t>
  </si>
  <si>
    <t>GGTTATAA</t>
  </si>
  <si>
    <t>UDP0090</t>
  </si>
  <si>
    <t>ACTTCAAGCG</t>
  </si>
  <si>
    <t>GAACCATGAA</t>
  </si>
  <si>
    <t>TTCATGGTTC</t>
  </si>
  <si>
    <t>AGGCCTAG</t>
  </si>
  <si>
    <t>CTAGGCCT</t>
  </si>
  <si>
    <t>CTTGGTAT</t>
  </si>
  <si>
    <t>CCAAGTCC</t>
  </si>
  <si>
    <t>UDP0091</t>
  </si>
  <si>
    <t>TCAGAAGGCG</t>
  </si>
  <si>
    <t>GGCCATCATA</t>
  </si>
  <si>
    <t>TATGATGGCC</t>
  </si>
  <si>
    <t>AACGTGTC</t>
  </si>
  <si>
    <t>GACACGTT</t>
  </si>
  <si>
    <t>TCCAACGC</t>
  </si>
  <si>
    <t>TTGGACTT</t>
  </si>
  <si>
    <t>UDP0092</t>
  </si>
  <si>
    <t>GCGTTGGTAT</t>
  </si>
  <si>
    <t>ACATACTTCC</t>
  </si>
  <si>
    <t>GGAAGTATGT</t>
  </si>
  <si>
    <t>GAGCCGCT</t>
  </si>
  <si>
    <t>AGCGGCTC</t>
  </si>
  <si>
    <t>CCGTGAAG</t>
  </si>
  <si>
    <t>CAGTGGAT</t>
  </si>
  <si>
    <t>UDP0093</t>
  </si>
  <si>
    <t>ACATATCCAG</t>
  </si>
  <si>
    <t>TATGTGCAAT</t>
  </si>
  <si>
    <t>ATTGCACATA</t>
  </si>
  <si>
    <t>ACATTACG</t>
  </si>
  <si>
    <t>CGTAATGT</t>
  </si>
  <si>
    <t>TTACAGGA</t>
  </si>
  <si>
    <t>TGACAAGC</t>
  </si>
  <si>
    <t>UDP0094</t>
  </si>
  <si>
    <t>TCATAGATTG</t>
  </si>
  <si>
    <t>GATTAAGGTG</t>
  </si>
  <si>
    <t>CACCTTAATC</t>
  </si>
  <si>
    <t>TGCGACAT</t>
  </si>
  <si>
    <t>ATGTCGCA</t>
  </si>
  <si>
    <t>GGCATTCT</t>
  </si>
  <si>
    <t>CTAGCTTG</t>
  </si>
  <si>
    <t>UDP0095</t>
  </si>
  <si>
    <t>GTATTCCACC</t>
  </si>
  <si>
    <t>ATGTAGACAA</t>
  </si>
  <si>
    <t>TTGTCTACAT</t>
  </si>
  <si>
    <t>TGTCCGGC</t>
  </si>
  <si>
    <t>GCCGGACA</t>
  </si>
  <si>
    <t>AATGCCTC</t>
  </si>
  <si>
    <t>TCGATCCA</t>
  </si>
  <si>
    <t>UDP0096</t>
  </si>
  <si>
    <t>CCTCCGTCCA</t>
  </si>
  <si>
    <t>CACATCGGTG</t>
  </si>
  <si>
    <t>CACCGATGTG</t>
  </si>
  <si>
    <t>CTGTTCGC</t>
  </si>
  <si>
    <t>GCGAACAG</t>
  </si>
  <si>
    <t>TACCGAGG</t>
  </si>
  <si>
    <t>CCTGAACT</t>
  </si>
  <si>
    <t>UDP0097</t>
  </si>
  <si>
    <t>TGCCGGTCAG</t>
  </si>
  <si>
    <t>CCTGATACAA</t>
  </si>
  <si>
    <t>TTGTATCAGG</t>
  </si>
  <si>
    <t>TCACGCGA</t>
  </si>
  <si>
    <t>TCGCGTGA</t>
  </si>
  <si>
    <t>CGTTAGAA</t>
  </si>
  <si>
    <t>TTCAGGTC</t>
  </si>
  <si>
    <t>UDP0098</t>
  </si>
  <si>
    <t>CACTCAATTC</t>
  </si>
  <si>
    <t>TTAAGTTGTG</t>
  </si>
  <si>
    <t>CACAACTTAA</t>
  </si>
  <si>
    <t>GTTGTTCT</t>
  </si>
  <si>
    <t>AGAACAAC</t>
  </si>
  <si>
    <t>AGCCTCAT</t>
  </si>
  <si>
    <t>AGTAGAGA</t>
  </si>
  <si>
    <t>UDP0099</t>
  </si>
  <si>
    <t>TCTCACACGC</t>
  </si>
  <si>
    <t>CGGACAGTGA</t>
  </si>
  <si>
    <t>TCACTGTCCG</t>
  </si>
  <si>
    <t>ATTAACCG</t>
  </si>
  <si>
    <t>GATTCTGC</t>
  </si>
  <si>
    <t>GACGAGAG</t>
  </si>
  <si>
    <t>UDP0100</t>
  </si>
  <si>
    <t>TCAATGGAGA</t>
  </si>
  <si>
    <t>GCACTACAAC</t>
  </si>
  <si>
    <t>GTTGTAGTGC</t>
  </si>
  <si>
    <t>CGTAGTAA</t>
  </si>
  <si>
    <t>TTACTACG</t>
  </si>
  <si>
    <t>TCGTAGTG</t>
  </si>
  <si>
    <t>AGACTTGG</t>
  </si>
  <si>
    <t>UDP0101</t>
  </si>
  <si>
    <t>ATATGCATGT</t>
  </si>
  <si>
    <t>TGGTGCCTGG</t>
  </si>
  <si>
    <t>CCAGGCACCA</t>
  </si>
  <si>
    <t>CACGCTGT</t>
  </si>
  <si>
    <t>ACAGCGTG</t>
  </si>
  <si>
    <t>CTACGACA</t>
  </si>
  <si>
    <t>GAGTCCAA</t>
  </si>
  <si>
    <t>UDP0102</t>
  </si>
  <si>
    <t>ATGGCGCCTG</t>
  </si>
  <si>
    <t>TCCACGGCCT</t>
  </si>
  <si>
    <t>AGGCCGTGGA</t>
  </si>
  <si>
    <t>TGGAACAG</t>
  </si>
  <si>
    <t>CTGTTCCA</t>
  </si>
  <si>
    <t>TAAGTGGT</t>
  </si>
  <si>
    <t>CTTAAGCC</t>
  </si>
  <si>
    <t>UDP0103</t>
  </si>
  <si>
    <t>TCCGTTATGT</t>
  </si>
  <si>
    <t>TTGTAGTGTA</t>
  </si>
  <si>
    <t>TACACTACAA</t>
  </si>
  <si>
    <t>GTGTCGGC</t>
  </si>
  <si>
    <t>GCCGACAC</t>
  </si>
  <si>
    <t>CGGACAAC</t>
  </si>
  <si>
    <t>TCCGGATT</t>
  </si>
  <si>
    <t>UDP0104</t>
  </si>
  <si>
    <t>GGTCTATTAA</t>
  </si>
  <si>
    <t>CCACGACACG</t>
  </si>
  <si>
    <t>CGTGTCGTGG</t>
  </si>
  <si>
    <t>AGAGTTCG</t>
  </si>
  <si>
    <t>CGAACTCT</t>
  </si>
  <si>
    <t>ATATGGAT</t>
  </si>
  <si>
    <t>CTGTATTA</t>
  </si>
  <si>
    <t>UDP0105</t>
  </si>
  <si>
    <t>CAGCAATCGT</t>
  </si>
  <si>
    <t>TGTGATGTAT</t>
  </si>
  <si>
    <t>ATACATCACA</t>
  </si>
  <si>
    <t>TAGAACGC</t>
  </si>
  <si>
    <t>GCGTTCTA</t>
  </si>
  <si>
    <t>GCGCAAGC</t>
  </si>
  <si>
    <t>TCACGCCG</t>
  </si>
  <si>
    <t>UDP0106</t>
  </si>
  <si>
    <t>TTCTGTAGAA</t>
  </si>
  <si>
    <t>GAGCGCAATA</t>
  </si>
  <si>
    <t>GAGATTAT</t>
  </si>
  <si>
    <t>ATAATCTC</t>
  </si>
  <si>
    <t>AAGATACT</t>
  </si>
  <si>
    <t>ACTTACAT</t>
  </si>
  <si>
    <t>UDP0107</t>
  </si>
  <si>
    <t>GAACGCAATA</t>
  </si>
  <si>
    <t>ATCTTACTGT</t>
  </si>
  <si>
    <t>ACAGTAAGAT</t>
  </si>
  <si>
    <t>TAATGAGA</t>
  </si>
  <si>
    <t>TCTCATTA</t>
  </si>
  <si>
    <t>GGAGCGTC</t>
  </si>
  <si>
    <t>GTCCGTGC</t>
  </si>
  <si>
    <t>UDP0108</t>
  </si>
  <si>
    <t>ATGTCGTGGT</t>
  </si>
  <si>
    <t>CTTGCCAA</t>
  </si>
  <si>
    <t>TTGGCAAG</t>
  </si>
  <si>
    <t>ATGGCATG</t>
  </si>
  <si>
    <t>AAGGTACC</t>
  </si>
  <si>
    <t>UDP0109</t>
  </si>
  <si>
    <t>GGTAGAATTA</t>
  </si>
  <si>
    <t>GTAGCCATCA</t>
  </si>
  <si>
    <t>TGATGGCTAC</t>
  </si>
  <si>
    <t>CGCACAGA</t>
  </si>
  <si>
    <t>TCTGTGCG</t>
  </si>
  <si>
    <t>GCAATGCA</t>
  </si>
  <si>
    <t>GGAACGTT</t>
  </si>
  <si>
    <t>UDP0110</t>
  </si>
  <si>
    <t>TAATTAGCGT</t>
  </si>
  <si>
    <t>TGGTTAAGAA</t>
  </si>
  <si>
    <t>TTCTTAACCA</t>
  </si>
  <si>
    <t>GCGACTGT</t>
  </si>
  <si>
    <t>ACAGTCGC</t>
  </si>
  <si>
    <t>GTTCCAAT</t>
  </si>
  <si>
    <t>AATTCTGC</t>
  </si>
  <si>
    <t>UDP0111</t>
  </si>
  <si>
    <t>TGTTGTTCGT</t>
  </si>
  <si>
    <t>ACGAACAACA</t>
  </si>
  <si>
    <t>AGAATAAC</t>
  </si>
  <si>
    <t>GTTATTCT</t>
  </si>
  <si>
    <t>ACCTTGGC</t>
  </si>
  <si>
    <t>GGCCTCAT</t>
  </si>
  <si>
    <t>UDP0112</t>
  </si>
  <si>
    <t>CCAACAACAT</t>
  </si>
  <si>
    <t>ATGTTGTTGG</t>
  </si>
  <si>
    <t>CGATACAG</t>
  </si>
  <si>
    <t>CTGTATCG</t>
  </si>
  <si>
    <t>ATATCTCG</t>
  </si>
  <si>
    <t>ATCTTAGT</t>
  </si>
  <si>
    <t>UDP0113</t>
  </si>
  <si>
    <t>GAATTACAAG</t>
  </si>
  <si>
    <t>ACCGGCTCAG</t>
  </si>
  <si>
    <t>CTGAGCCGGT</t>
  </si>
  <si>
    <t>CCGTACTC</t>
  </si>
  <si>
    <t>GAGTACGG</t>
  </si>
  <si>
    <t>GCGCTCTA</t>
  </si>
  <si>
    <t>GCTCCGAC</t>
  </si>
  <si>
    <t>UDP0114</t>
  </si>
  <si>
    <t>TAGAATTGGA</t>
  </si>
  <si>
    <t>GTTAATCTGA</t>
  </si>
  <si>
    <t>TCAGATTAAC</t>
  </si>
  <si>
    <t>GTCGGTGT</t>
  </si>
  <si>
    <t>ACACCGAC</t>
  </si>
  <si>
    <t>AACAGGTT</t>
  </si>
  <si>
    <t>ATACCAAG</t>
  </si>
  <si>
    <t>UDP0115</t>
  </si>
  <si>
    <t>AGGCAGCTCT</t>
  </si>
  <si>
    <t>CGGCTAACGT</t>
  </si>
  <si>
    <t>ACGTTAGCCG</t>
  </si>
  <si>
    <t>CTGACTAA</t>
  </si>
  <si>
    <t>TTAGTCAG</t>
  </si>
  <si>
    <t>GGTGAACC</t>
  </si>
  <si>
    <t>GCGTTGGA</t>
  </si>
  <si>
    <t>UDP0116</t>
  </si>
  <si>
    <t>ATCGGCGAAG</t>
  </si>
  <si>
    <t>TCCAAGAATT</t>
  </si>
  <si>
    <t>AATTCTTGGA</t>
  </si>
  <si>
    <t>ACTGGATG</t>
  </si>
  <si>
    <t>CATCCAGT</t>
  </si>
  <si>
    <t>CAACAATG</t>
  </si>
  <si>
    <t>CTTCACGG</t>
  </si>
  <si>
    <t>UDP0117</t>
  </si>
  <si>
    <t>CCGTGACCGA</t>
  </si>
  <si>
    <t>CCGAACGTTG</t>
  </si>
  <si>
    <t>CAACGTTCGG</t>
  </si>
  <si>
    <t>TTGGCATG</t>
  </si>
  <si>
    <t>CATGCCAA</t>
  </si>
  <si>
    <t>TGGTGGCA</t>
  </si>
  <si>
    <t>TCCTGTAA</t>
  </si>
  <si>
    <t>UDP0118</t>
  </si>
  <si>
    <t>ATACTTGTTC</t>
  </si>
  <si>
    <t>TAACCGCCGA</t>
  </si>
  <si>
    <t>TCGGCGGTTA</t>
  </si>
  <si>
    <t>GACTCGTT</t>
  </si>
  <si>
    <t>AACGAGTC</t>
  </si>
  <si>
    <t>AGGCAGAG</t>
  </si>
  <si>
    <t>AGAATGCC</t>
  </si>
  <si>
    <t>UDP0119</t>
  </si>
  <si>
    <t>TCCGCCAATT</t>
  </si>
  <si>
    <t>CTCCGTGCTG</t>
  </si>
  <si>
    <t>CAGCACGGAG</t>
  </si>
  <si>
    <t>CTCCGAAC</t>
  </si>
  <si>
    <t>GTTCGGAG</t>
  </si>
  <si>
    <t>GAATGAGA</t>
  </si>
  <si>
    <t>GAGGCATT</t>
  </si>
  <si>
    <t>UDP0120</t>
  </si>
  <si>
    <t>CATTCCAGCT</t>
  </si>
  <si>
    <t>AGCTGGAATG</t>
  </si>
  <si>
    <t>AATGGCAT</t>
  </si>
  <si>
    <t>ATGCCATT</t>
  </si>
  <si>
    <t>TGCGGCGT</t>
  </si>
  <si>
    <t>CCTCGGTA</t>
  </si>
  <si>
    <t>UDP0121</t>
  </si>
  <si>
    <t>AGAGAACCTA</t>
  </si>
  <si>
    <t>GGTTATGCTA</t>
  </si>
  <si>
    <t>TAGCATAACC</t>
  </si>
  <si>
    <t>TAGCTGTA</t>
  </si>
  <si>
    <t>TACAGCTA</t>
  </si>
  <si>
    <t>CATAATAC</t>
  </si>
  <si>
    <t>TTCTAACG</t>
  </si>
  <si>
    <t>UDP0122</t>
  </si>
  <si>
    <t>GATATTGTGT</t>
  </si>
  <si>
    <t>ACCACACGGT</t>
  </si>
  <si>
    <t>ACCGTGTGGT</t>
  </si>
  <si>
    <t>GCTCACAC</t>
  </si>
  <si>
    <t>GTGTGAGC</t>
  </si>
  <si>
    <t>GATCTATC</t>
  </si>
  <si>
    <t>ATGAGGCT</t>
  </si>
  <si>
    <t>UDP0123</t>
  </si>
  <si>
    <t>CGTACAGGAA</t>
  </si>
  <si>
    <t>TAGGTTCTCT</t>
  </si>
  <si>
    <t>CTAATGTT</t>
  </si>
  <si>
    <t>AACATTAG</t>
  </si>
  <si>
    <t>AGCTCGCT</t>
  </si>
  <si>
    <t>GCAGAATC</t>
  </si>
  <si>
    <t>UDP0124</t>
  </si>
  <si>
    <t>CTGCGTTACC</t>
  </si>
  <si>
    <t>TATGGCTCGA</t>
  </si>
  <si>
    <t>TCGAGCCATA</t>
  </si>
  <si>
    <t>CGTTACGT</t>
  </si>
  <si>
    <t>ACGTAACG</t>
  </si>
  <si>
    <t>CGGAACTG</t>
  </si>
  <si>
    <t>UDP0125</t>
  </si>
  <si>
    <t>CTCGTGCGTT</t>
  </si>
  <si>
    <t>GCGCATCA</t>
  </si>
  <si>
    <t>TGATGCGC</t>
  </si>
  <si>
    <t>TAAGGTCA</t>
  </si>
  <si>
    <t>TGTCGTAG</t>
  </si>
  <si>
    <t>UDP0126</t>
  </si>
  <si>
    <t>CCAGTTGGCA</t>
  </si>
  <si>
    <t>TGCCAACTGG</t>
  </si>
  <si>
    <t>CCATCTAA</t>
  </si>
  <si>
    <t>TTAGATGG</t>
  </si>
  <si>
    <t>TTGCCTAG</t>
  </si>
  <si>
    <t>ACCACTTA</t>
  </si>
  <si>
    <t>UDP0127</t>
  </si>
  <si>
    <t>GCTGACGTTG</t>
  </si>
  <si>
    <t>TGTTCGCATT</t>
  </si>
  <si>
    <t>AATGCGAACA</t>
  </si>
  <si>
    <t>CGTCTCTT</t>
  </si>
  <si>
    <t>AAGAGACG</t>
  </si>
  <si>
    <t>CCATTCGA</t>
  </si>
  <si>
    <t>GTTGTCCG</t>
  </si>
  <si>
    <t>UDP0128</t>
  </si>
  <si>
    <t>CTAATAACCG</t>
  </si>
  <si>
    <t>AACCGCATCG</t>
  </si>
  <si>
    <t>CGATGCGGTT</t>
  </si>
  <si>
    <t>ACCTTGTT</t>
  </si>
  <si>
    <t>AACAAGGT</t>
  </si>
  <si>
    <t>ACACTAAG</t>
  </si>
  <si>
    <t>ATCCATAT</t>
  </si>
  <si>
    <t>UDP0129</t>
  </si>
  <si>
    <t>TCTAGGCGCG</t>
  </si>
  <si>
    <t>CGAAGGTTAA</t>
  </si>
  <si>
    <t>TTAACCTTCG</t>
  </si>
  <si>
    <t>TATCGACG</t>
  </si>
  <si>
    <t>CGTCGATA</t>
  </si>
  <si>
    <t>GTGTCGGA</t>
  </si>
  <si>
    <t>GCTTGCGC</t>
  </si>
  <si>
    <t>UDP0130</t>
  </si>
  <si>
    <t>ATAGCCAAGA</t>
  </si>
  <si>
    <t>AGTGCCACTG</t>
  </si>
  <si>
    <t>TTGGCGAC</t>
  </si>
  <si>
    <t>GTCGCCAA</t>
  </si>
  <si>
    <t>TTCCTGTT</t>
  </si>
  <si>
    <t>AGTATCTT</t>
  </si>
  <si>
    <t>UDP0131</t>
  </si>
  <si>
    <t>TTCGGTGTGA</t>
  </si>
  <si>
    <t>GAACAAGTAT</t>
  </si>
  <si>
    <t>CGGAAGAT</t>
  </si>
  <si>
    <t>ATCTTCCG</t>
  </si>
  <si>
    <t>CCTTCACC</t>
  </si>
  <si>
    <t>GACGCTCC</t>
  </si>
  <si>
    <t>UDP0132</t>
  </si>
  <si>
    <t>ATGTAACGTT</t>
  </si>
  <si>
    <t>ACGATTGCTG</t>
  </si>
  <si>
    <t>CAAGTATT</t>
  </si>
  <si>
    <t>AATACTTG</t>
  </si>
  <si>
    <t>GCCACAGG</t>
  </si>
  <si>
    <t>CATGCCAT</t>
  </si>
  <si>
    <t>UDP0133</t>
  </si>
  <si>
    <t>ATACCTGGAT</t>
  </si>
  <si>
    <t>ATCCAGGTAT</t>
  </si>
  <si>
    <t>TGACGACT</t>
  </si>
  <si>
    <t>AGTCGTCA</t>
  </si>
  <si>
    <t>ATTGTGAA</t>
  </si>
  <si>
    <t>TGCATTGC</t>
  </si>
  <si>
    <t>UDP0134</t>
  </si>
  <si>
    <t>TGGTGTTATG</t>
  </si>
  <si>
    <t>TCCAATTCTA</t>
  </si>
  <si>
    <t>CGGCCATA</t>
  </si>
  <si>
    <t>TATGGCCG</t>
  </si>
  <si>
    <t>ACTCGTGT</t>
  </si>
  <si>
    <t>ATTGGAAC</t>
  </si>
  <si>
    <t>UDP0135</t>
  </si>
  <si>
    <t>TGGCCTCTGT</t>
  </si>
  <si>
    <t>TGAGACAGCG</t>
  </si>
  <si>
    <t>CGCTGTCTCA</t>
  </si>
  <si>
    <t>GTCTACAC</t>
  </si>
  <si>
    <t>GCCAAGGT</t>
  </si>
  <si>
    <t>UDP0136</t>
  </si>
  <si>
    <t>ACGCTAATTA</t>
  </si>
  <si>
    <t>ACTCAGGC</t>
  </si>
  <si>
    <t>GCCTGAGT</t>
  </si>
  <si>
    <t>CGAGATAT</t>
  </si>
  <si>
    <t>UDP0137</t>
  </si>
  <si>
    <t>CCGGTTCCTA</t>
  </si>
  <si>
    <t>TATATTCGAG</t>
  </si>
  <si>
    <t>CTCGAATATA</t>
  </si>
  <si>
    <t>GACCGCAT</t>
  </si>
  <si>
    <t>ATGCGGTC</t>
  </si>
  <si>
    <t>TAGAGCGC</t>
  </si>
  <si>
    <t>UDP0138</t>
  </si>
  <si>
    <t>GGCCAATATT</t>
  </si>
  <si>
    <t>CGGTCCGATA</t>
  </si>
  <si>
    <t>TATCGGACCG</t>
  </si>
  <si>
    <t>AGAGAGAA</t>
  </si>
  <si>
    <t>TTCTCTCT</t>
  </si>
  <si>
    <t>AACCTGTT</t>
  </si>
  <si>
    <t>UDP0139</t>
  </si>
  <si>
    <t>GAATACCTAT</t>
  </si>
  <si>
    <t>ACAATAGAGT</t>
  </si>
  <si>
    <t>ACTCTATTGT</t>
  </si>
  <si>
    <t>TCAGATTG</t>
  </si>
  <si>
    <t>CAATCTGA</t>
  </si>
  <si>
    <t>GGTTCACC</t>
  </si>
  <si>
    <t>UDP0140</t>
  </si>
  <si>
    <t>TACGTGAAGG</t>
  </si>
  <si>
    <t>CGGTTATTAG</t>
  </si>
  <si>
    <t>AAGATAGC</t>
  </si>
  <si>
    <t>GCTATCTT</t>
  </si>
  <si>
    <t>CATTGTTG</t>
  </si>
  <si>
    <t>UDP0141</t>
  </si>
  <si>
    <t>CTTATTGGCC</t>
  </si>
  <si>
    <t>GATAACAAGT</t>
  </si>
  <si>
    <t>ACTTGTTATC</t>
  </si>
  <si>
    <t>CGATTGGT</t>
  </si>
  <si>
    <t>ACCAATCG</t>
  </si>
  <si>
    <t>TGCCACCA</t>
  </si>
  <si>
    <t>UDP0142</t>
  </si>
  <si>
    <t>ACAACTACTG</t>
  </si>
  <si>
    <t>AGTTATCACA</t>
  </si>
  <si>
    <t>TGTGATAACT</t>
  </si>
  <si>
    <t>GTTCCAAG</t>
  </si>
  <si>
    <t>CTTGGAAC</t>
  </si>
  <si>
    <t>CTCTGCCT</t>
  </si>
  <si>
    <t>UDP0143</t>
  </si>
  <si>
    <t>GTTGGATGAA</t>
  </si>
  <si>
    <t>TTCCAGGTAA</t>
  </si>
  <si>
    <t>CAATCTCG</t>
  </si>
  <si>
    <t>CGAGATTG</t>
  </si>
  <si>
    <t>TCTCATTC</t>
  </si>
  <si>
    <t>UDP0144</t>
  </si>
  <si>
    <t>AATCCAATTG</t>
  </si>
  <si>
    <t>CATGTAGAGG</t>
  </si>
  <si>
    <t>CAAGTCAA</t>
  </si>
  <si>
    <t>TTGACTTG</t>
  </si>
  <si>
    <t>ACGCCGCA</t>
  </si>
  <si>
    <t>UDP0145</t>
  </si>
  <si>
    <t>GATTGTCATA</t>
  </si>
  <si>
    <t>TATGACAATC</t>
  </si>
  <si>
    <t>CAGTCGTG</t>
  </si>
  <si>
    <t>CACGACTG</t>
  </si>
  <si>
    <t>GTATTATG</t>
  </si>
  <si>
    <t>UDP0146</t>
  </si>
  <si>
    <t>ATTCCGCTAT</t>
  </si>
  <si>
    <t>ATAGCGGAAT</t>
  </si>
  <si>
    <t>TTACAGTG</t>
  </si>
  <si>
    <t>CACTGTAA</t>
  </si>
  <si>
    <t>GATAGATC</t>
  </si>
  <si>
    <t>UDP0147</t>
  </si>
  <si>
    <t>GACCGCTGTG</t>
  </si>
  <si>
    <t>CACAGCGGTC</t>
  </si>
  <si>
    <t>ACCGGCCT</t>
  </si>
  <si>
    <t>AGGCCGGT</t>
  </si>
  <si>
    <t>AGCGAGCT</t>
  </si>
  <si>
    <t>UDP0148</t>
  </si>
  <si>
    <t>CCGCGTATAG</t>
  </si>
  <si>
    <t>TAGGAACCGG</t>
  </si>
  <si>
    <t>TCATTCCA</t>
  </si>
  <si>
    <t>TGGAATGA</t>
  </si>
  <si>
    <t>CAGTTCCG</t>
  </si>
  <si>
    <t>UDP0149</t>
  </si>
  <si>
    <t>GATTCTGAAT</t>
  </si>
  <si>
    <t>AGCGGTGGAC</t>
  </si>
  <si>
    <t>GTCCACCGCT</t>
  </si>
  <si>
    <t>GCTAGGAT</t>
  </si>
  <si>
    <t>ATCCTAGC</t>
  </si>
  <si>
    <t>TGACCTTA</t>
  </si>
  <si>
    <t>UDP0150</t>
  </si>
  <si>
    <t>TAGAGAATAC</t>
  </si>
  <si>
    <t>TATAGATTCG</t>
  </si>
  <si>
    <t>CGAATCTATA</t>
  </si>
  <si>
    <t>ATGAATTG</t>
  </si>
  <si>
    <t>CAATTCAT</t>
  </si>
  <si>
    <t>CTAGGCAA</t>
  </si>
  <si>
    <t>UDP0151</t>
  </si>
  <si>
    <t>ACAGAGGCCA</t>
  </si>
  <si>
    <t>TTAGGCTC</t>
  </si>
  <si>
    <t>GAGCCTAA</t>
  </si>
  <si>
    <t>TCGAATGG</t>
  </si>
  <si>
    <t>UDP0152</t>
  </si>
  <si>
    <t>ATTCCTATTG</t>
  </si>
  <si>
    <t>CAATAGGAAT</t>
  </si>
  <si>
    <t>TAACACCA</t>
  </si>
  <si>
    <t>TGGTGTTA</t>
  </si>
  <si>
    <t>CTTAGTGT</t>
  </si>
  <si>
    <t>UDP0153</t>
  </si>
  <si>
    <t>CCACGCTGAA</t>
  </si>
  <si>
    <t>TATTCCTCAG</t>
  </si>
  <si>
    <t>ACACTCTT</t>
  </si>
  <si>
    <t>AAGAGTGT</t>
  </si>
  <si>
    <t>TCCGACAC</t>
  </si>
  <si>
    <t>UDP0154</t>
  </si>
  <si>
    <t>GTTCGGAGTT</t>
  </si>
  <si>
    <t>CGCCTTCTGA</t>
  </si>
  <si>
    <t>CTGTATGA</t>
  </si>
  <si>
    <t>TCATACAG</t>
  </si>
  <si>
    <t>AACAGGAA</t>
  </si>
  <si>
    <t>UDP0155</t>
  </si>
  <si>
    <t>GCGCAGAGTA</t>
  </si>
  <si>
    <t>TACTCTGCGC</t>
  </si>
  <si>
    <t>TTGGTCAA</t>
  </si>
  <si>
    <t>TTGACCAA</t>
  </si>
  <si>
    <t>GGTGAAGG</t>
  </si>
  <si>
    <t>UDP0156</t>
  </si>
  <si>
    <t>GCAATATTCA</t>
  </si>
  <si>
    <t>GGCGCCAATT</t>
  </si>
  <si>
    <t>AATTGGCGCC</t>
  </si>
  <si>
    <t>CGTTGGCA</t>
  </si>
  <si>
    <t>TGCCAACG</t>
  </si>
  <si>
    <t>CCTGTGGC</t>
  </si>
  <si>
    <t>UDP0157</t>
  </si>
  <si>
    <t>CTAGATTGCG</t>
  </si>
  <si>
    <t>AGATATGGCG</t>
  </si>
  <si>
    <t>CGCCATATCT</t>
  </si>
  <si>
    <t>TCCACTTG</t>
  </si>
  <si>
    <t>CAAGTGGA</t>
  </si>
  <si>
    <t>TTCACAAT</t>
  </si>
  <si>
    <t>UDP0158</t>
  </si>
  <si>
    <t>CCTGCTTGGT</t>
  </si>
  <si>
    <t>ACCAAGCAGG</t>
  </si>
  <si>
    <t>ACACGAGT</t>
  </si>
  <si>
    <t>UDP0159</t>
  </si>
  <si>
    <t>TCCGGACTAG</t>
  </si>
  <si>
    <t>GACGAACAAT</t>
  </si>
  <si>
    <t>ATTGTTCGTC</t>
  </si>
  <si>
    <t>CTGGACCA</t>
  </si>
  <si>
    <t>TGGTCCAG</t>
  </si>
  <si>
    <t>GTGTAGAC</t>
  </si>
  <si>
    <t>UDP0160</t>
  </si>
  <si>
    <t>GTGACGGAGC</t>
  </si>
  <si>
    <t>TGGCGGTCCA</t>
  </si>
  <si>
    <t>TGGACCGCCA</t>
  </si>
  <si>
    <t>U097</t>
  </si>
  <si>
    <t>AAGGAGCG</t>
  </si>
  <si>
    <t>GACTATTG</t>
  </si>
  <si>
    <t>CAATAGTC</t>
  </si>
  <si>
    <t>UDP0161</t>
  </si>
  <si>
    <t>AATTCCATCT</t>
  </si>
  <si>
    <t>CTTCAGTTAC</t>
  </si>
  <si>
    <t>GTAACTGAAG</t>
  </si>
  <si>
    <t>U098</t>
  </si>
  <si>
    <t>GTCATCTA</t>
  </si>
  <si>
    <t>GCGGTTCT</t>
  </si>
  <si>
    <t>AGAACCGC</t>
  </si>
  <si>
    <t>UDP0162</t>
  </si>
  <si>
    <t>TTAACGGTGT</t>
  </si>
  <si>
    <t>TCCTGACCGT</t>
  </si>
  <si>
    <t>U099</t>
  </si>
  <si>
    <t>CTTCATGG</t>
  </si>
  <si>
    <t>CATTGCCA</t>
  </si>
  <si>
    <t>TGGCAATG</t>
  </si>
  <si>
    <t>UDP0163</t>
  </si>
  <si>
    <t>CGCGCCTAGA</t>
  </si>
  <si>
    <t>U100</t>
  </si>
  <si>
    <t>TTAAGCGT</t>
  </si>
  <si>
    <t>GCATGCAA</t>
  </si>
  <si>
    <t>TTGCATGC</t>
  </si>
  <si>
    <t>UDP0164</t>
  </si>
  <si>
    <t>AGGATAAGTT</t>
  </si>
  <si>
    <t>AACTTATCCT</t>
  </si>
  <si>
    <t>U101</t>
  </si>
  <si>
    <t>GGTAGTTG</t>
  </si>
  <si>
    <t>TGGACCAT</t>
  </si>
  <si>
    <t>ATGGTCCA</t>
  </si>
  <si>
    <t>UDP0165</t>
  </si>
  <si>
    <t>AGGCCAGACA</t>
  </si>
  <si>
    <t>TGTCTGGCCT</t>
  </si>
  <si>
    <t>U102</t>
  </si>
  <si>
    <t>ACTATATA</t>
  </si>
  <si>
    <t>TTGGCTCC</t>
  </si>
  <si>
    <t>GGAGCCAA</t>
  </si>
  <si>
    <t>UDP0166</t>
  </si>
  <si>
    <t>CATATGCGAT</t>
  </si>
  <si>
    <t>CCTTGAACGG</t>
  </si>
  <si>
    <t>CCGTTCAAGG</t>
  </si>
  <si>
    <t>U103</t>
  </si>
  <si>
    <t>ACGGAGGA</t>
  </si>
  <si>
    <t>GGTTAGTC</t>
  </si>
  <si>
    <t>GACTAACC</t>
  </si>
  <si>
    <t>UDP0167</t>
  </si>
  <si>
    <t>CACCACCTAC</t>
  </si>
  <si>
    <t>GTAGGTGGTG</t>
  </si>
  <si>
    <t>U104</t>
  </si>
  <si>
    <t>GACTGCGG</t>
  </si>
  <si>
    <t>ATCCTTCA</t>
  </si>
  <si>
    <t>TGAAGGAT</t>
  </si>
  <si>
    <t>UDP0168</t>
  </si>
  <si>
    <t>TTGCTTGTAT</t>
  </si>
  <si>
    <t>ATACAAGCAA</t>
  </si>
  <si>
    <t>U105</t>
  </si>
  <si>
    <t>GGCAGGAC</t>
  </si>
  <si>
    <t>CCGCCTAA</t>
  </si>
  <si>
    <t>TTAGGCGG</t>
  </si>
  <si>
    <t>UDP0169</t>
  </si>
  <si>
    <t>CAATCTATGA</t>
  </si>
  <si>
    <t>U106</t>
  </si>
  <si>
    <t>AACCGCCA</t>
  </si>
  <si>
    <t>TCAACTTG</t>
  </si>
  <si>
    <t>CAAGTTGA</t>
  </si>
  <si>
    <t>UDP0170</t>
  </si>
  <si>
    <t>GCACCACCAA</t>
  </si>
  <si>
    <t>TGGTACTGAT</t>
  </si>
  <si>
    <t>ATCAGTACCA</t>
  </si>
  <si>
    <t>U107</t>
  </si>
  <si>
    <t>TATCGGCT</t>
  </si>
  <si>
    <t>ACGAGATG</t>
  </si>
  <si>
    <t>CATCTCGT</t>
  </si>
  <si>
    <t>UDP0171</t>
  </si>
  <si>
    <t>AGGCGTTCGC</t>
  </si>
  <si>
    <t>TTCATCCAAC</t>
  </si>
  <si>
    <t>U108</t>
  </si>
  <si>
    <t>ACTTAGTA</t>
  </si>
  <si>
    <t>TACTAAGT</t>
  </si>
  <si>
    <t>UDP0172</t>
  </si>
  <si>
    <t>CCTCCGGTTG</t>
  </si>
  <si>
    <t>CATAACACCA</t>
  </si>
  <si>
    <t>U109</t>
  </si>
  <si>
    <t>ACTGCTCT</t>
  </si>
  <si>
    <t>CAACTGCA</t>
  </si>
  <si>
    <t>TGCAGTTG</t>
  </si>
  <si>
    <t>UDP0173</t>
  </si>
  <si>
    <t>TCCTATTAGC</t>
  </si>
  <si>
    <t>GCTAATAGGA</t>
  </si>
  <si>
    <t>U110</t>
  </si>
  <si>
    <t>ATATATAC</t>
  </si>
  <si>
    <t>TCTAGAGG</t>
  </si>
  <si>
    <t>CCTCTAGA</t>
  </si>
  <si>
    <t>UDP0174</t>
  </si>
  <si>
    <t>TCTCTAGATT</t>
  </si>
  <si>
    <t>AATCTAGAGA</t>
  </si>
  <si>
    <t>U111</t>
  </si>
  <si>
    <t>CAGTCGAT</t>
  </si>
  <si>
    <t>CTGCTGAA</t>
  </si>
  <si>
    <t>TTCAGCAG</t>
  </si>
  <si>
    <t>UDP0175</t>
  </si>
  <si>
    <t>GGACCAGTGG</t>
  </si>
  <si>
    <t>CGCGAGCCTA</t>
  </si>
  <si>
    <t>TAGGCTCGCG</t>
  </si>
  <si>
    <t>U112</t>
  </si>
  <si>
    <t>GAGCATAC</t>
  </si>
  <si>
    <t>AACCTAGA</t>
  </si>
  <si>
    <t>TCTAGGTT</t>
  </si>
  <si>
    <t>UDP0176</t>
  </si>
  <si>
    <t>GATAAGCTCT</t>
  </si>
  <si>
    <t>AGAGCTTATC</t>
  </si>
  <si>
    <t>U113</t>
  </si>
  <si>
    <t>TGAATGGC</t>
  </si>
  <si>
    <t>AAGCGTCC</t>
  </si>
  <si>
    <t>GGACGCTT</t>
  </si>
  <si>
    <t>UDP0177</t>
  </si>
  <si>
    <t>GAGATGTCGA</t>
  </si>
  <si>
    <t>TCGACATCTC</t>
  </si>
  <si>
    <t>U114</t>
  </si>
  <si>
    <t>TATATTGA</t>
  </si>
  <si>
    <t>TAGCATTG</t>
  </si>
  <si>
    <t>CAATGCTA</t>
  </si>
  <si>
    <t>UDP0178</t>
  </si>
  <si>
    <t>GATCGTCGCG</t>
  </si>
  <si>
    <t>CTGGATATGT</t>
  </si>
  <si>
    <t>U115</t>
  </si>
  <si>
    <t>ACCGCTAC</t>
  </si>
  <si>
    <t>CTTGCGAG</t>
  </si>
  <si>
    <t>CTCGCAAG</t>
  </si>
  <si>
    <t>UDP0179</t>
  </si>
  <si>
    <t>GGCCAATAAG</t>
  </si>
  <si>
    <t>U116</t>
  </si>
  <si>
    <t>GTCAAGAG</t>
  </si>
  <si>
    <t>AAGTACGC</t>
  </si>
  <si>
    <t>GCGTACTT</t>
  </si>
  <si>
    <t>UDP0180</t>
  </si>
  <si>
    <t>ATTACTCACC</t>
  </si>
  <si>
    <t>GGTGAGTAAT</t>
  </si>
  <si>
    <t>U117</t>
  </si>
  <si>
    <t>ACGCGAGA</t>
  </si>
  <si>
    <t>GCAACTAA</t>
  </si>
  <si>
    <t>TTAGTTGC</t>
  </si>
  <si>
    <t>UDP0181</t>
  </si>
  <si>
    <t>AATTGGCGGA</t>
  </si>
  <si>
    <t>U118</t>
  </si>
  <si>
    <t>CCTCTCAT</t>
  </si>
  <si>
    <t>ACTAGTTC</t>
  </si>
  <si>
    <t>GAACTAGT</t>
  </si>
  <si>
    <t>UDP0182</t>
  </si>
  <si>
    <t>TTGTCAACTT</t>
  </si>
  <si>
    <t>AAGTTGACAA</t>
  </si>
  <si>
    <t>U119</t>
  </si>
  <si>
    <t>GAGTCGTC</t>
  </si>
  <si>
    <t>CGTAGGCA</t>
  </si>
  <si>
    <t>TGCCTACG</t>
  </si>
  <si>
    <t>UDP0183</t>
  </si>
  <si>
    <t>GGCGAATTCT</t>
  </si>
  <si>
    <t>AGAATTCGCC</t>
  </si>
  <si>
    <t>U120</t>
  </si>
  <si>
    <t>ATACTATA</t>
  </si>
  <si>
    <t>GGCGGTAT</t>
  </si>
  <si>
    <t>ATACCGCC</t>
  </si>
  <si>
    <t>UDP0184</t>
  </si>
  <si>
    <t>CAACGTCAGC</t>
  </si>
  <si>
    <t>U121</t>
  </si>
  <si>
    <t>CCTGCCAA</t>
  </si>
  <si>
    <t>CAGCAACT</t>
  </si>
  <si>
    <t>AGTTGCTG</t>
  </si>
  <si>
    <t>UDP0185</t>
  </si>
  <si>
    <t>ACGGTCCAAC</t>
  </si>
  <si>
    <t>TCTTACATCA</t>
  </si>
  <si>
    <t>U122</t>
  </si>
  <si>
    <t>AGTTATGC</t>
  </si>
  <si>
    <t>GATTACTT</t>
  </si>
  <si>
    <t>AAGTAATC</t>
  </si>
  <si>
    <t>UDP0186</t>
  </si>
  <si>
    <t>GTAACTTGGT</t>
  </si>
  <si>
    <t>CGCCATACCT</t>
  </si>
  <si>
    <t>AGGTATGGCG</t>
  </si>
  <si>
    <t>U123</t>
  </si>
  <si>
    <t>GCGTACGG</t>
  </si>
  <si>
    <t>TCCTTGCA</t>
  </si>
  <si>
    <t>TGCAAGGA</t>
  </si>
  <si>
    <t>UDP0187</t>
  </si>
  <si>
    <t>CTAATGTCTT</t>
  </si>
  <si>
    <t>AAGACATTAG</t>
  </si>
  <si>
    <t>U124</t>
  </si>
  <si>
    <t>TTCATACG</t>
  </si>
  <si>
    <t>AACCAACG</t>
  </si>
  <si>
    <t>CGTTGGTT</t>
  </si>
  <si>
    <t>UDP0188</t>
  </si>
  <si>
    <t>TGCTACTGCC</t>
  </si>
  <si>
    <t>CAACCGGAGG</t>
  </si>
  <si>
    <t>U125</t>
  </si>
  <si>
    <t>AAGAAGAC</t>
  </si>
  <si>
    <t>GCCGGCAG</t>
  </si>
  <si>
    <t>CTGCCGGC</t>
  </si>
  <si>
    <t>UDP0189</t>
  </si>
  <si>
    <t>CAACACCGCA</t>
  </si>
  <si>
    <t>GGCAGTAGCA</t>
  </si>
  <si>
    <t>U126</t>
  </si>
  <si>
    <t>CGAATCCA</t>
  </si>
  <si>
    <t>TGGATTCG</t>
  </si>
  <si>
    <t>UDP0190</t>
  </si>
  <si>
    <t>TTAGGATAGA</t>
  </si>
  <si>
    <t>U127</t>
  </si>
  <si>
    <t>TGGAGTAC</t>
  </si>
  <si>
    <t>GTACTCCA</t>
  </si>
  <si>
    <t>UDP0191</t>
  </si>
  <si>
    <t>TTGAATGTTG</t>
  </si>
  <si>
    <t>CGCAATCTAG</t>
  </si>
  <si>
    <t>U128</t>
  </si>
  <si>
    <t>CAAGTACT</t>
  </si>
  <si>
    <t>GCTTGATG</t>
  </si>
  <si>
    <t>CATCAAGC</t>
  </si>
  <si>
    <t>UDP0192</t>
  </si>
  <si>
    <t>CCGGTAACAC</t>
  </si>
  <si>
    <t>GAGTTGTACT</t>
  </si>
  <si>
    <t>AGTACAACTC</t>
  </si>
  <si>
    <t>U129</t>
  </si>
  <si>
    <t>AGCGGCAA</t>
  </si>
  <si>
    <t>CCAACCAG</t>
  </si>
  <si>
    <t>CTGGTTGG</t>
  </si>
  <si>
    <t>UDP0193</t>
  </si>
  <si>
    <t>TCTCATGATA</t>
  </si>
  <si>
    <t>AACACGTGGA</t>
  </si>
  <si>
    <t>TCCACGTGTT</t>
  </si>
  <si>
    <t>U130</t>
  </si>
  <si>
    <t>TTCCAAGC</t>
  </si>
  <si>
    <t>ACCGTTGA</t>
  </si>
  <si>
    <t>TCAACGGT</t>
  </si>
  <si>
    <t>UDP0194</t>
  </si>
  <si>
    <t>CGAGGCCAAG</t>
  </si>
  <si>
    <t>GTGTTACCGG</t>
  </si>
  <si>
    <t>U131</t>
  </si>
  <si>
    <t>CTATTCAT</t>
  </si>
  <si>
    <t>AACTAGTC</t>
  </si>
  <si>
    <t>GACTAGTT</t>
  </si>
  <si>
    <t>UDP0195</t>
  </si>
  <si>
    <t>TTCACGAGAC</t>
  </si>
  <si>
    <t>AGATTGTTAC</t>
  </si>
  <si>
    <t>GTAACAATCT</t>
  </si>
  <si>
    <t>U132</t>
  </si>
  <si>
    <t>AAGCAATA</t>
  </si>
  <si>
    <t>GAGTAACG</t>
  </si>
  <si>
    <t>CGTTACTC</t>
  </si>
  <si>
    <t>UDP0196</t>
  </si>
  <si>
    <t>GCGTGGATGG</t>
  </si>
  <si>
    <t>TTGACCAATG</t>
  </si>
  <si>
    <t>CATTGGTCAA</t>
  </si>
  <si>
    <t>U133</t>
  </si>
  <si>
    <t>GTTCTACG</t>
  </si>
  <si>
    <t>CTAGTTGC</t>
  </si>
  <si>
    <t>GCAACTAG</t>
  </si>
  <si>
    <t>UDP0197</t>
  </si>
  <si>
    <t>TCCTGGTTGT</t>
  </si>
  <si>
    <t>CTGACCGGCA</t>
  </si>
  <si>
    <t>U134</t>
  </si>
  <si>
    <t>AGAATCTC</t>
  </si>
  <si>
    <t>GGTCAGAT</t>
  </si>
  <si>
    <t>UDP0198</t>
  </si>
  <si>
    <t>TAATTCTGCT</t>
  </si>
  <si>
    <t>TCTCATCAAT</t>
  </si>
  <si>
    <t>ATTGATGAGA</t>
  </si>
  <si>
    <t>U135</t>
  </si>
  <si>
    <t>CGGTCCGT</t>
  </si>
  <si>
    <t>AATAGACG</t>
  </si>
  <si>
    <t>CGTCTATT</t>
  </si>
  <si>
    <t>UDP0199</t>
  </si>
  <si>
    <t>CGCACGACTG</t>
  </si>
  <si>
    <t>GGACCAACAG</t>
  </si>
  <si>
    <t>U136</t>
  </si>
  <si>
    <t>GGAACGGT</t>
  </si>
  <si>
    <t>GTACTCGA</t>
  </si>
  <si>
    <t>TCGAGTAC</t>
  </si>
  <si>
    <t>UDP0200</t>
  </si>
  <si>
    <t>GAGGTTAGAC</t>
  </si>
  <si>
    <t>AATGTATTGC</t>
  </si>
  <si>
    <t>GCAATACATT</t>
  </si>
  <si>
    <t>U137</t>
  </si>
  <si>
    <t>CTCTACTT</t>
  </si>
  <si>
    <t>GTTAGCGG</t>
  </si>
  <si>
    <t>CCGCTAAC</t>
  </si>
  <si>
    <t>UDP0201</t>
  </si>
  <si>
    <t>AACCGAGTTC</t>
  </si>
  <si>
    <t>GATCTCTGGA</t>
  </si>
  <si>
    <t>TCCAGAGATC</t>
  </si>
  <si>
    <t>U138</t>
  </si>
  <si>
    <t>ACGCTGCA</t>
  </si>
  <si>
    <t>CGTTAATG</t>
  </si>
  <si>
    <t>CATTAACG</t>
  </si>
  <si>
    <t>UDP0202</t>
  </si>
  <si>
    <t>CAGGCGCCAT</t>
  </si>
  <si>
    <t>U139</t>
  </si>
  <si>
    <t>AAGGATTC</t>
  </si>
  <si>
    <t>ACCGTCTC</t>
  </si>
  <si>
    <t>GAGACGGT</t>
  </si>
  <si>
    <t>UDP0203</t>
  </si>
  <si>
    <t>AGTATGCTAC</t>
  </si>
  <si>
    <t>TTAATAGACC</t>
  </si>
  <si>
    <t>U140</t>
  </si>
  <si>
    <t>CAGACCTT</t>
  </si>
  <si>
    <t>AAGGTCTG</t>
  </si>
  <si>
    <t>UDP0204</t>
  </si>
  <si>
    <t>GGAGTCGCGA</t>
  </si>
  <si>
    <t>TCGCGACTCC</t>
  </si>
  <si>
    <t>U141</t>
  </si>
  <si>
    <t>GGAGTATG</t>
  </si>
  <si>
    <t>CTTGCCGC</t>
  </si>
  <si>
    <t>GCGGCAAG</t>
  </si>
  <si>
    <t>UDP0205</t>
  </si>
  <si>
    <t>TCCTCGGACT</t>
  </si>
  <si>
    <t>AACGCCAGAG</t>
  </si>
  <si>
    <t>CTCTGGCGTT</t>
  </si>
  <si>
    <t>U142</t>
  </si>
  <si>
    <t>CAGCGGAC</t>
  </si>
  <si>
    <t>TAGTATCT</t>
  </si>
  <si>
    <t>AGATACTA</t>
  </si>
  <si>
    <t>UDP0206</t>
  </si>
  <si>
    <t>CGTAATTAAC</t>
  </si>
  <si>
    <t>GTTAATTACG</t>
  </si>
  <si>
    <t>U143</t>
  </si>
  <si>
    <t>GCGCCTTC</t>
  </si>
  <si>
    <t>TGACTCAA</t>
  </si>
  <si>
    <t>TTGAGTCA</t>
  </si>
  <si>
    <t>UDP0207</t>
  </si>
  <si>
    <t>GAATATGCGG</t>
  </si>
  <si>
    <t>ACGAGACTGA</t>
  </si>
  <si>
    <t>TCAGTCTCGT</t>
  </si>
  <si>
    <t>U144</t>
  </si>
  <si>
    <t>ATATCCGC</t>
  </si>
  <si>
    <t>TGGTTGAC</t>
  </si>
  <si>
    <t>GTCAACCA</t>
  </si>
  <si>
    <t>UDP0208</t>
  </si>
  <si>
    <t>GATCGGATAA</t>
  </si>
  <si>
    <t>GTATCGGCCG</t>
  </si>
  <si>
    <t>CGGCCGATAC</t>
  </si>
  <si>
    <t>U145</t>
  </si>
  <si>
    <t>GAGGAGTA</t>
  </si>
  <si>
    <t>CGAATATT</t>
  </si>
  <si>
    <t>AATATTCG</t>
  </si>
  <si>
    <t>UDP0209</t>
  </si>
  <si>
    <t>GCTAGACTAT</t>
  </si>
  <si>
    <t>AATACGACAT</t>
  </si>
  <si>
    <t>ATGTCGTATT</t>
  </si>
  <si>
    <t>U146</t>
  </si>
  <si>
    <t>TGACGAAC</t>
  </si>
  <si>
    <t>AATATGAG</t>
  </si>
  <si>
    <t>CTCATATT</t>
  </si>
  <si>
    <t>UDP0210</t>
  </si>
  <si>
    <t>GTTATATGGC</t>
  </si>
  <si>
    <t>GCCATATAAC</t>
  </si>
  <si>
    <t>U147</t>
  </si>
  <si>
    <t>AACTTGAT</t>
  </si>
  <si>
    <t>GGATATCG</t>
  </si>
  <si>
    <t>CGATATCC</t>
  </si>
  <si>
    <t>UDP0211</t>
  </si>
  <si>
    <t>CCACCGGAGT</t>
  </si>
  <si>
    <t>GCCTGCCATG</t>
  </si>
  <si>
    <t>CATGGCAGGC</t>
  </si>
  <si>
    <t>U148</t>
  </si>
  <si>
    <t>CTTGAGTC</t>
  </si>
  <si>
    <t>CGTTGCGG</t>
  </si>
  <si>
    <t>CCGCAACG</t>
  </si>
  <si>
    <t>UDP0212</t>
  </si>
  <si>
    <t>CTTACCGCAC</t>
  </si>
  <si>
    <t>TAAGACCTAT</t>
  </si>
  <si>
    <t>ATAGGTCTTA</t>
  </si>
  <si>
    <t>U149</t>
  </si>
  <si>
    <t>TCCTAGGT</t>
  </si>
  <si>
    <t>CAACTCTT</t>
  </si>
  <si>
    <t>AAGAGTTG</t>
  </si>
  <si>
    <t>UDP0213</t>
  </si>
  <si>
    <t>TTAGGATATC</t>
  </si>
  <si>
    <t>TATACCATGG</t>
  </si>
  <si>
    <t>CCATGGTATA</t>
  </si>
  <si>
    <t>U150</t>
  </si>
  <si>
    <t>CCATCTTA</t>
  </si>
  <si>
    <t>TAGTTAGG</t>
  </si>
  <si>
    <t>CCTAACTA</t>
  </si>
  <si>
    <t>UDP0214</t>
  </si>
  <si>
    <t>TTATACGCGA</t>
  </si>
  <si>
    <t>GCCGTCTGTT</t>
  </si>
  <si>
    <t>AACAGACGGC</t>
  </si>
  <si>
    <t>U151</t>
  </si>
  <si>
    <t>AAGTTGGA</t>
  </si>
  <si>
    <t>ACCGCGTT</t>
  </si>
  <si>
    <t>AACGCGGT</t>
  </si>
  <si>
    <t>UDP0215</t>
  </si>
  <si>
    <t>CGCTTAGAAT</t>
  </si>
  <si>
    <t>CAGAGTGATA</t>
  </si>
  <si>
    <t>TATCACTCTG</t>
  </si>
  <si>
    <t>U152</t>
  </si>
  <si>
    <t>GGCCGTTC</t>
  </si>
  <si>
    <t>TGAGCAGG</t>
  </si>
  <si>
    <t>CCTGCTCA</t>
  </si>
  <si>
    <t>UDP0216</t>
  </si>
  <si>
    <t>CCGAAGCGCT</t>
  </si>
  <si>
    <t>TGCTAACTAT</t>
  </si>
  <si>
    <t>ATAGTTAGCA</t>
  </si>
  <si>
    <t>U153</t>
  </si>
  <si>
    <t>TAACTAGC</t>
  </si>
  <si>
    <t>AAGCAGGT</t>
  </si>
  <si>
    <t>ACCTGCTT</t>
  </si>
  <si>
    <t>UDP0217</t>
  </si>
  <si>
    <t>TCAGTTAATG</t>
  </si>
  <si>
    <t>CATTAACTGA</t>
  </si>
  <si>
    <t>U154</t>
  </si>
  <si>
    <t>CAACGCAA</t>
  </si>
  <si>
    <t>AGGATGAT</t>
  </si>
  <si>
    <t>ATCATCCT</t>
  </si>
  <si>
    <t>UDP0218</t>
  </si>
  <si>
    <t>GTGACCTTGA</t>
  </si>
  <si>
    <t>TCAAGGTCAC</t>
  </si>
  <si>
    <t>U155</t>
  </si>
  <si>
    <t>AGGCTTCT</t>
  </si>
  <si>
    <t>CTAATAGG</t>
  </si>
  <si>
    <t>CCTATTAG</t>
  </si>
  <si>
    <t>UDP0219</t>
  </si>
  <si>
    <t>ACATGCATAT</t>
  </si>
  <si>
    <t>U156</t>
  </si>
  <si>
    <t>GAGGACCT</t>
  </si>
  <si>
    <t>CCTAGCGA</t>
  </si>
  <si>
    <t>TCGCTAGG</t>
  </si>
  <si>
    <t>UDP0220</t>
  </si>
  <si>
    <t>CTAAGTACGC</t>
  </si>
  <si>
    <t>AACATACCTA</t>
  </si>
  <si>
    <t>TAGGTATGTT</t>
  </si>
  <si>
    <t>U157</t>
  </si>
  <si>
    <t>ACCTTATT</t>
  </si>
  <si>
    <t>TGCCTCTC</t>
  </si>
  <si>
    <t>GAGAGGCA</t>
  </si>
  <si>
    <t>UDP0221</t>
  </si>
  <si>
    <t>TAGTTCGGTA</t>
  </si>
  <si>
    <t>CCATGTGTAG</t>
  </si>
  <si>
    <t>CTACACATGG</t>
  </si>
  <si>
    <t>U158</t>
  </si>
  <si>
    <t>GGCGTTGC</t>
  </si>
  <si>
    <t>AGAACCGG</t>
  </si>
  <si>
    <t>CCGGTTCT</t>
  </si>
  <si>
    <t>UDP0222</t>
  </si>
  <si>
    <t>CTATTACTAC</t>
  </si>
  <si>
    <t>GAGTCTCTCC</t>
  </si>
  <si>
    <t>GGAGAGACTC</t>
  </si>
  <si>
    <t>U159</t>
  </si>
  <si>
    <t>TGCTAACG</t>
  </si>
  <si>
    <t>TTACTTCT</t>
  </si>
  <si>
    <t>AGAAGTAA</t>
  </si>
  <si>
    <t>UDP0223</t>
  </si>
  <si>
    <t>GCTATGCGCA</t>
  </si>
  <si>
    <t>TGCGCATAGC</t>
  </si>
  <si>
    <t>U160</t>
  </si>
  <si>
    <t>CCAACGTT</t>
  </si>
  <si>
    <t>CCGGTTAG</t>
  </si>
  <si>
    <t>CTAACCGG</t>
  </si>
  <si>
    <t>UDP0224</t>
  </si>
  <si>
    <t>ATCGCATATG</t>
  </si>
  <si>
    <t>U161</t>
  </si>
  <si>
    <t>GGCAGCCG</t>
  </si>
  <si>
    <t>GTATACCA</t>
  </si>
  <si>
    <t>TGGTATAC</t>
  </si>
  <si>
    <t>UDP0225</t>
  </si>
  <si>
    <t>TAGTGGAAGC</t>
  </si>
  <si>
    <t>AGTACCTATA</t>
  </si>
  <si>
    <t>TATAGGTACT</t>
  </si>
  <si>
    <t>U162</t>
  </si>
  <si>
    <t>TAGGCCGT</t>
  </si>
  <si>
    <t>CGACGGTC</t>
  </si>
  <si>
    <t>GACCGTCG</t>
  </si>
  <si>
    <t>UDP0226</t>
  </si>
  <si>
    <t>GACCGGAGAT</t>
  </si>
  <si>
    <t>ATCTCCGGTC</t>
  </si>
  <si>
    <t>U163</t>
  </si>
  <si>
    <t>CGTATTGC</t>
  </si>
  <si>
    <t>GGTAGAAT</t>
  </si>
  <si>
    <t>ATTCTACC</t>
  </si>
  <si>
    <t>UDP0227</t>
  </si>
  <si>
    <t>GCTTCATATT</t>
  </si>
  <si>
    <t>CGTTCAGCCT</t>
  </si>
  <si>
    <t>AGGCTGAACG</t>
  </si>
  <si>
    <t>U164</t>
  </si>
  <si>
    <t>GATGATAA</t>
  </si>
  <si>
    <t>AGCAAGGC</t>
  </si>
  <si>
    <t>GCCTTGCT</t>
  </si>
  <si>
    <t>UDP0228</t>
  </si>
  <si>
    <t>ACTAGCGCTA</t>
  </si>
  <si>
    <t>TTACTTCCTC</t>
  </si>
  <si>
    <t>GAGGAAGTAA</t>
  </si>
  <si>
    <t>U165</t>
  </si>
  <si>
    <t>AAGTCATT</t>
  </si>
  <si>
    <t>GTTCAGGC</t>
  </si>
  <si>
    <t>GCCTGAAC</t>
  </si>
  <si>
    <t>UDP0229</t>
  </si>
  <si>
    <t>GCTCTTAACT</t>
  </si>
  <si>
    <t>CACGTCCACC</t>
  </si>
  <si>
    <t>GGTGGACGTG</t>
  </si>
  <si>
    <t>U166</t>
  </si>
  <si>
    <t>CAGTTGCC</t>
  </si>
  <si>
    <t>GTTCGGTT</t>
  </si>
  <si>
    <t>UDP0230</t>
  </si>
  <si>
    <t>GTGGTATCTG</t>
  </si>
  <si>
    <t>GCTACTATCT</t>
  </si>
  <si>
    <t>AGATAGTAGC</t>
  </si>
  <si>
    <t>U167</t>
  </si>
  <si>
    <t>AAGGTAAG</t>
  </si>
  <si>
    <t>UDP0231</t>
  </si>
  <si>
    <t>AGTCAACCAT</t>
  </si>
  <si>
    <t>U168</t>
  </si>
  <si>
    <t>TCTTATAT</t>
  </si>
  <si>
    <t>TGGTATGA</t>
  </si>
  <si>
    <t>TCATACCA</t>
  </si>
  <si>
    <t>UDP0232</t>
  </si>
  <si>
    <t>CAGTAATTAC</t>
  </si>
  <si>
    <t>CGAGGCGGTA</t>
  </si>
  <si>
    <t>TACCGCCTCG</t>
  </si>
  <si>
    <t>U169</t>
  </si>
  <si>
    <t>CTCTAAGA</t>
  </si>
  <si>
    <t>CGCCGGAT</t>
  </si>
  <si>
    <t>ATCCGGCG</t>
  </si>
  <si>
    <t>UDP0233</t>
  </si>
  <si>
    <t>TACAAGACTT</t>
  </si>
  <si>
    <t>CAGGTGTTCA</t>
  </si>
  <si>
    <t>TGAACACCTG</t>
  </si>
  <si>
    <t>U170</t>
  </si>
  <si>
    <t>AAGACTTA</t>
  </si>
  <si>
    <t>TTCGATGA</t>
  </si>
  <si>
    <t>TCATCGAA</t>
  </si>
  <si>
    <t>UDP0234</t>
  </si>
  <si>
    <t>CTGTGGTGAC</t>
  </si>
  <si>
    <t>GACAGACAGG</t>
  </si>
  <si>
    <t>U171</t>
  </si>
  <si>
    <t>TCTCCGTC</t>
  </si>
  <si>
    <t>AACGAAGT</t>
  </si>
  <si>
    <t>ACTTCGTT</t>
  </si>
  <si>
    <t>UDP0235</t>
  </si>
  <si>
    <t>CTCCACTAAT</t>
  </si>
  <si>
    <t>TGTACTTGTT</t>
  </si>
  <si>
    <t>AACAAGTACA</t>
  </si>
  <si>
    <t>U172</t>
  </si>
  <si>
    <t>CCGATCCT</t>
  </si>
  <si>
    <t>TATATGCC</t>
  </si>
  <si>
    <t>GGCATATA</t>
  </si>
  <si>
    <t>UDP0236</t>
  </si>
  <si>
    <t>CTCTAAGTAG</t>
  </si>
  <si>
    <t>CTACTTAGAG</t>
  </si>
  <si>
    <t>U173</t>
  </si>
  <si>
    <t>GTTCAATA</t>
  </si>
  <si>
    <t>CTTATCAG</t>
  </si>
  <si>
    <t>CTGATAAG</t>
  </si>
  <si>
    <t>UDP0237</t>
  </si>
  <si>
    <t>GTCACCACAG</t>
  </si>
  <si>
    <t>U174</t>
  </si>
  <si>
    <t>GATTCCAG</t>
  </si>
  <si>
    <t>TGGTAATT</t>
  </si>
  <si>
    <t>AATTACCA</t>
  </si>
  <si>
    <t>UDP0238</t>
  </si>
  <si>
    <t>TCTACATACC</t>
  </si>
  <si>
    <t>GGTATGTAGA</t>
  </si>
  <si>
    <t>U175</t>
  </si>
  <si>
    <t>ATCGGTTC</t>
  </si>
  <si>
    <t>GTACGGCT</t>
  </si>
  <si>
    <t>AGCCGTAC</t>
  </si>
  <si>
    <t>UDP0239</t>
  </si>
  <si>
    <t>AAGGAAGAGT</t>
  </si>
  <si>
    <t>CACGTTAGGC</t>
  </si>
  <si>
    <t>GCCTAACGTG</t>
  </si>
  <si>
    <t>U176</t>
  </si>
  <si>
    <t>TCCTCAAT</t>
  </si>
  <si>
    <t>ATTGATTA</t>
  </si>
  <si>
    <t>TAATCAAT</t>
  </si>
  <si>
    <t>UDP0240</t>
  </si>
  <si>
    <t>GGAAGGAGAC</t>
  </si>
  <si>
    <t>TGGTGAGTCT</t>
  </si>
  <si>
    <t>AGACTCACCA</t>
  </si>
  <si>
    <t>U177</t>
  </si>
  <si>
    <t>ATTATCGA</t>
  </si>
  <si>
    <t>TTAGGATG</t>
  </si>
  <si>
    <t>CATCCTAA</t>
  </si>
  <si>
    <t>UDP0241</t>
  </si>
  <si>
    <t>TGAACGCGGA</t>
  </si>
  <si>
    <t>CTTCGAAGGA</t>
  </si>
  <si>
    <t>TCCTTCGAAG</t>
  </si>
  <si>
    <t>U178</t>
  </si>
  <si>
    <t>GTCGCTAG</t>
  </si>
  <si>
    <t>ATCAAGCA</t>
  </si>
  <si>
    <t>TGCTTGAT</t>
  </si>
  <si>
    <t>UDP0242</t>
  </si>
  <si>
    <t>CCTGCAACCT</t>
  </si>
  <si>
    <t>GTAGAGTCAG</t>
  </si>
  <si>
    <t>U179</t>
  </si>
  <si>
    <t>CGCAGAAG</t>
  </si>
  <si>
    <t>ACGATTAC</t>
  </si>
  <si>
    <t>GTAATCGT</t>
  </si>
  <si>
    <t>UDP0243</t>
  </si>
  <si>
    <t>GACATTGTCA</t>
  </si>
  <si>
    <t>TGACAATGTC</t>
  </si>
  <si>
    <t>U180</t>
  </si>
  <si>
    <t>TCAGGACC</t>
  </si>
  <si>
    <t>TTACCATT</t>
  </si>
  <si>
    <t>AATGGTAA</t>
  </si>
  <si>
    <t>UDP0244</t>
  </si>
  <si>
    <t>ATCCTCTCAA</t>
  </si>
  <si>
    <t>TCCGCAAGGC</t>
  </si>
  <si>
    <t>GCCTTGCGGA</t>
  </si>
  <si>
    <t>U181</t>
  </si>
  <si>
    <t>ATCAGAGA</t>
  </si>
  <si>
    <t>TAGCAGCC</t>
  </si>
  <si>
    <t>GGCTGCTA</t>
  </si>
  <si>
    <t>UDP0245</t>
  </si>
  <si>
    <t>CACTAGACCA</t>
  </si>
  <si>
    <t>ACTGCCTTAT</t>
  </si>
  <si>
    <t>ATAAGGCAGT</t>
  </si>
  <si>
    <t>U182</t>
  </si>
  <si>
    <t>CTGGATAA</t>
  </si>
  <si>
    <t>GTAGCCGG</t>
  </si>
  <si>
    <t>CCGGCTAC</t>
  </si>
  <si>
    <t>UDP0246</t>
  </si>
  <si>
    <t>ATTATCCACT</t>
  </si>
  <si>
    <t>TACGCACGTA</t>
  </si>
  <si>
    <t>TACGTGCGTA</t>
  </si>
  <si>
    <t>U183</t>
  </si>
  <si>
    <t>GTCTCGCG</t>
  </si>
  <si>
    <t>CCATACCT</t>
  </si>
  <si>
    <t>AGGTATGG</t>
  </si>
  <si>
    <t>UDP0247</t>
  </si>
  <si>
    <t>ATGGCGTGCC</t>
  </si>
  <si>
    <t>CGCTTGAAGT</t>
  </si>
  <si>
    <t>U184</t>
  </si>
  <si>
    <t>TCGAATAA</t>
  </si>
  <si>
    <t>CTGAGTTC</t>
  </si>
  <si>
    <t>GAACTCAG</t>
  </si>
  <si>
    <t>UDP0248</t>
  </si>
  <si>
    <t>CTGCACTTCA</t>
  </si>
  <si>
    <t>TGAAGTGCAG</t>
  </si>
  <si>
    <t>U185</t>
  </si>
  <si>
    <t>CAACCTCT</t>
  </si>
  <si>
    <t>TGGCCATC</t>
  </si>
  <si>
    <t>GATGGCCA</t>
  </si>
  <si>
    <t>UDP0249</t>
  </si>
  <si>
    <t>ATGTCCAGCA</t>
  </si>
  <si>
    <t>CAGCGGACAA</t>
  </si>
  <si>
    <t>TTGTCCGCTG</t>
  </si>
  <si>
    <t>U186</t>
  </si>
  <si>
    <t>AGTTGAAC</t>
  </si>
  <si>
    <t>AACGCGCA</t>
  </si>
  <si>
    <t>TGCGCGTT</t>
  </si>
  <si>
    <t>UDP0250</t>
  </si>
  <si>
    <t>GGATCCGCAT</t>
  </si>
  <si>
    <t>ATGCGGATCC</t>
  </si>
  <si>
    <t>U187</t>
  </si>
  <si>
    <t>CTTCGTTA</t>
  </si>
  <si>
    <t>GGCCAGTA</t>
  </si>
  <si>
    <t>TACTGGCC</t>
  </si>
  <si>
    <t>UDP0251</t>
  </si>
  <si>
    <t>GCGTATTAAT</t>
  </si>
  <si>
    <t>TGCGGTGTTG</t>
  </si>
  <si>
    <t>U188</t>
  </si>
  <si>
    <t>GCTGCGGC</t>
  </si>
  <si>
    <t>GAGCTAGT</t>
  </si>
  <si>
    <t>ACTAGCTC</t>
  </si>
  <si>
    <t>UDP0252</t>
  </si>
  <si>
    <t>GTTGTGACTA</t>
  </si>
  <si>
    <t>ACATAACGGA</t>
  </si>
  <si>
    <t>U189</t>
  </si>
  <si>
    <t>AGTAACCT</t>
  </si>
  <si>
    <t>TACGGTAC</t>
  </si>
  <si>
    <t>GTACCGTA</t>
  </si>
  <si>
    <t>UDP0253</t>
  </si>
  <si>
    <t>TCTCAATACC</t>
  </si>
  <si>
    <t>GACGTTCGCG</t>
  </si>
  <si>
    <t>CGCGAACGTC</t>
  </si>
  <si>
    <t>U190</t>
  </si>
  <si>
    <t>TAAGATAT</t>
  </si>
  <si>
    <t>AACTACCT</t>
  </si>
  <si>
    <t>AGGTAGTT</t>
  </si>
  <si>
    <t>UDP0254</t>
  </si>
  <si>
    <t>AAGCATCTTG</t>
  </si>
  <si>
    <t>CATTCAACAA</t>
  </si>
  <si>
    <t>TTGTTGAATG</t>
  </si>
  <si>
    <t>U191</t>
  </si>
  <si>
    <t>TGGTCCTG</t>
  </si>
  <si>
    <t>GAATAGGC</t>
  </si>
  <si>
    <t>GCCTATTC</t>
  </si>
  <si>
    <t>UDP0255</t>
  </si>
  <si>
    <t>CACGGATTAT</t>
  </si>
  <si>
    <t>ATAATCCGTG</t>
  </si>
  <si>
    <t>U192</t>
  </si>
  <si>
    <t>TCGGTCAT</t>
  </si>
  <si>
    <t>ATGACCGA</t>
  </si>
  <si>
    <t>UDP0256</t>
  </si>
  <si>
    <t>TGCAAGATAA</t>
  </si>
  <si>
    <t>TTGAGGACGG</t>
  </si>
  <si>
    <t>CCGTCCTCAA</t>
  </si>
  <si>
    <t>UDP0257</t>
  </si>
  <si>
    <t>CTCTGTATAC</t>
  </si>
  <si>
    <t>GTATACAGAG</t>
  </si>
  <si>
    <t>UDP0258</t>
  </si>
  <si>
    <t>CAGCGGTAGA</t>
  </si>
  <si>
    <t>GCAACAGGTG</t>
  </si>
  <si>
    <t>CACCTGTTGC</t>
  </si>
  <si>
    <t>UDP0259</t>
  </si>
  <si>
    <t>TCATACCGTT</t>
  </si>
  <si>
    <t>GGTAACGCAG</t>
  </si>
  <si>
    <t>UDP0260</t>
  </si>
  <si>
    <t>GGCGCCATTG</t>
  </si>
  <si>
    <t>ACCGCGCAAT</t>
  </si>
  <si>
    <t>UDP0261</t>
  </si>
  <si>
    <t>AGCGAATTAG</t>
  </si>
  <si>
    <t>AGCCGGAACA</t>
  </si>
  <si>
    <t>TGTTCCGGCT</t>
  </si>
  <si>
    <t>UDP0262</t>
  </si>
  <si>
    <t>TTAGACCATG</t>
  </si>
  <si>
    <t>TCCTAGGAAG</t>
  </si>
  <si>
    <t>CTTCCTAGGA</t>
  </si>
  <si>
    <t>UDP0263</t>
  </si>
  <si>
    <t>CACACAGTAT</t>
  </si>
  <si>
    <t>TTGAGCCTAA</t>
  </si>
  <si>
    <t>TTAGGCTCAA</t>
  </si>
  <si>
    <t>UDP0264</t>
  </si>
  <si>
    <t>TCTTGTCGGC</t>
  </si>
  <si>
    <t>CCACCTGTGT</t>
  </si>
  <si>
    <t>UDP0265</t>
  </si>
  <si>
    <t>CCTCGCAACC</t>
  </si>
  <si>
    <t>UDP0266</t>
  </si>
  <si>
    <t>CTGTTATATC</t>
  </si>
  <si>
    <t>GTATAGCTGT</t>
  </si>
  <si>
    <t>ACAGCTATAC</t>
  </si>
  <si>
    <t>UDP0267</t>
  </si>
  <si>
    <t>TAACCGGCGA</t>
  </si>
  <si>
    <t>GCTACATTAG</t>
  </si>
  <si>
    <t>CTAATGTAGC</t>
  </si>
  <si>
    <t>UDP0268</t>
  </si>
  <si>
    <t>AAGAGAGTCT</t>
  </si>
  <si>
    <t>TACGAATCTT</t>
  </si>
  <si>
    <t>AAGATTCGTA</t>
  </si>
  <si>
    <t>UDP0269</t>
  </si>
  <si>
    <t>GTAGGCGAGC</t>
  </si>
  <si>
    <t>TAGGAGCGCA</t>
  </si>
  <si>
    <t>TGCGCTCCTA</t>
  </si>
  <si>
    <t>UDP0270</t>
  </si>
  <si>
    <t>GTACTGGCGT</t>
  </si>
  <si>
    <t>ACGCCAGTAC</t>
  </si>
  <si>
    <t>UDP0271</t>
  </si>
  <si>
    <t>ATTATGTCTC</t>
  </si>
  <si>
    <t>AGTTAAGAGC</t>
  </si>
  <si>
    <t>UDP0272</t>
  </si>
  <si>
    <t>TATAACAGCT</t>
  </si>
  <si>
    <t>TCGCGTATAA</t>
  </si>
  <si>
    <t>UDP0273</t>
  </si>
  <si>
    <t>CCAATGATAC</t>
  </si>
  <si>
    <t>GAGTGTGCCG</t>
  </si>
  <si>
    <t>CGGCACACTC</t>
  </si>
  <si>
    <t>UDP0274</t>
  </si>
  <si>
    <t>GAGGCCTATT</t>
  </si>
  <si>
    <t>CTAGTCCGGA</t>
  </si>
  <si>
    <t>UDP0275</t>
  </si>
  <si>
    <t>AGCTAAGCGG</t>
  </si>
  <si>
    <t>ATTAATACGC</t>
  </si>
  <si>
    <t>UDP0276</t>
  </si>
  <si>
    <t>CCTAGAGTAT</t>
  </si>
  <si>
    <t>ATACTCTAGG</t>
  </si>
  <si>
    <t>UDP0277</t>
  </si>
  <si>
    <t>CGATCTGTGA</t>
  </si>
  <si>
    <t>TAGGAAGACT</t>
  </si>
  <si>
    <t>AGTCTTCCTA</t>
  </si>
  <si>
    <t>UDP0278</t>
  </si>
  <si>
    <t>GTGGACAAGT</t>
  </si>
  <si>
    <t>CCGTGGCCTT</t>
  </si>
  <si>
    <t>AAGGCCACGG</t>
  </si>
  <si>
    <t>UDP0279</t>
  </si>
  <si>
    <t>GGATATATCC</t>
  </si>
  <si>
    <t>UDP0280</t>
  </si>
  <si>
    <t>AGATTAAGTG</t>
  </si>
  <si>
    <t>CACCTCTTGG</t>
  </si>
  <si>
    <t>CCAAGAGGTG</t>
  </si>
  <si>
    <t>UDP0281</t>
  </si>
  <si>
    <t>AACGTTACAT</t>
  </si>
  <si>
    <t>UDP0282</t>
  </si>
  <si>
    <t>CGGCAAGCTC</t>
  </si>
  <si>
    <t>GAGCTTGCCG</t>
  </si>
  <si>
    <t>UDP0283</t>
  </si>
  <si>
    <t>TCTTGGCTAT</t>
  </si>
  <si>
    <t>UDP0284</t>
  </si>
  <si>
    <t>ACGGAATGCG</t>
  </si>
  <si>
    <t>CGCATTCCGT</t>
  </si>
  <si>
    <t>UDP0285</t>
  </si>
  <si>
    <t>TGATAACGAG</t>
  </si>
  <si>
    <t>GTTCCGCAGG</t>
  </si>
  <si>
    <t>UDP0286</t>
  </si>
  <si>
    <t>CATAGTAAGG</t>
  </si>
  <si>
    <t>ACCAAGTTAC</t>
  </si>
  <si>
    <t>UDP0287</t>
  </si>
  <si>
    <t>ATTGGCTTCT</t>
  </si>
  <si>
    <t>TGGCTCGCAG</t>
  </si>
  <si>
    <t>UDP0288</t>
  </si>
  <si>
    <t>GTACCGATTA</t>
  </si>
  <si>
    <t>AACTAACGTT</t>
  </si>
  <si>
    <t>AACGTTAGTT</t>
  </si>
  <si>
    <t>UDP0289</t>
  </si>
  <si>
    <t>GAACAATTCC</t>
  </si>
  <si>
    <t>TAGAGTTGGA</t>
  </si>
  <si>
    <t>TCCAACTCTA</t>
  </si>
  <si>
    <t>UDP0290</t>
  </si>
  <si>
    <t>TGTGGTCCGG</t>
  </si>
  <si>
    <t>AGAGCACTAG</t>
  </si>
  <si>
    <t>UDP0291</t>
  </si>
  <si>
    <t>CTTCTAAGTC</t>
  </si>
  <si>
    <t>ACTCTACAGG</t>
  </si>
  <si>
    <t>CCTGTAGAGT</t>
  </si>
  <si>
    <t>UDP0292</t>
  </si>
  <si>
    <t>CGGTGACACC</t>
  </si>
  <si>
    <t>GGTGTCACCG</t>
  </si>
  <si>
    <t>UDP0293</t>
  </si>
  <si>
    <t>UDP0294</t>
  </si>
  <si>
    <t>TGTGCTAACA</t>
  </si>
  <si>
    <t>TGTTAGCACA</t>
  </si>
  <si>
    <t>UDP0295</t>
  </si>
  <si>
    <t>TGCAATGAAT</t>
  </si>
  <si>
    <t>CCAGAAGTAA</t>
  </si>
  <si>
    <t>TTACTTCTGG</t>
  </si>
  <si>
    <t>UDP0296</t>
  </si>
  <si>
    <t>CTATGAAGGA</t>
  </si>
  <si>
    <t>CTTATACCTG</t>
  </si>
  <si>
    <t>CAGGTATAAG</t>
  </si>
  <si>
    <t>UDP0297</t>
  </si>
  <si>
    <t>GAAGACTAGA</t>
  </si>
  <si>
    <t>ACTAGAACTT</t>
  </si>
  <si>
    <t>AAGTTCTAGT</t>
  </si>
  <si>
    <t>UDP0298</t>
  </si>
  <si>
    <t>AGGAGTCGAG</t>
  </si>
  <si>
    <t>TTAGGCTTAC</t>
  </si>
  <si>
    <t>GTAAGCCTAA</t>
  </si>
  <si>
    <t>UDP0299</t>
  </si>
  <si>
    <t>TTCACTCACT</t>
  </si>
  <si>
    <t>TATCATGAGA</t>
  </si>
  <si>
    <t>UDP0300</t>
  </si>
  <si>
    <t>GGTCCGCTTC</t>
  </si>
  <si>
    <t>CTCACACAAG</t>
  </si>
  <si>
    <t>CTTGTGTGAG</t>
  </si>
  <si>
    <t>UDP0301</t>
  </si>
  <si>
    <t>CAACGAGAGC</t>
  </si>
  <si>
    <t>GAATTGAGTG</t>
  </si>
  <si>
    <t>UDP0302</t>
  </si>
  <si>
    <t>ATTGAGGTCC</t>
  </si>
  <si>
    <t>CGGATTATAT</t>
  </si>
  <si>
    <t>ATATAATCCG</t>
  </si>
  <si>
    <t>UDP0303</t>
  </si>
  <si>
    <t>TTGAAGCAGA</t>
  </si>
  <si>
    <t>TCTGCTTCAA</t>
  </si>
  <si>
    <t>UDP0304</t>
  </si>
  <si>
    <t>CCGCTCCGTT</t>
  </si>
  <si>
    <t>TACGGCGAAG</t>
  </si>
  <si>
    <t>CTTCGCCGTA</t>
  </si>
  <si>
    <t>UDP0305</t>
  </si>
  <si>
    <t>TCTCCATTGA</t>
  </si>
  <si>
    <t>UDP0306</t>
  </si>
  <si>
    <t>CGAGACCAAG</t>
  </si>
  <si>
    <t>CTTGGTCTCG</t>
  </si>
  <si>
    <t>UDP0307</t>
  </si>
  <si>
    <t>CACCTAGCAC</t>
  </si>
  <si>
    <t>TGCTGGACAT</t>
  </si>
  <si>
    <t>UDP0308</t>
  </si>
  <si>
    <t>TTCAAGTATG</t>
  </si>
  <si>
    <t>GATGGTATCG</t>
  </si>
  <si>
    <t>CGATACCATC</t>
  </si>
  <si>
    <t>UDP0309</t>
  </si>
  <si>
    <t>TTAAGACAAG</t>
  </si>
  <si>
    <t>GGCTTAATTG</t>
  </si>
  <si>
    <t>CAATTAAGCC</t>
  </si>
  <si>
    <t>UDP0310</t>
  </si>
  <si>
    <t>CACCTCTCTT</t>
  </si>
  <si>
    <t>CTCGACTCCT</t>
  </si>
  <si>
    <t>UDP0311</t>
  </si>
  <si>
    <t>TTCTCGTGCA</t>
  </si>
  <si>
    <t>ATACACAGAG</t>
  </si>
  <si>
    <t>CTCTGTGTAT</t>
  </si>
  <si>
    <t>UDP0312</t>
  </si>
  <si>
    <t>GCTAGGAAGT</t>
  </si>
  <si>
    <t>TCTCGGACGA</t>
  </si>
  <si>
    <t>TCGTCCGAGA</t>
  </si>
  <si>
    <t>UDP0313</t>
  </si>
  <si>
    <t>TTAATAGCAC</t>
  </si>
  <si>
    <t>ACCACGTCTG</t>
  </si>
  <si>
    <t>CAGACGTGGT</t>
  </si>
  <si>
    <t>UDP0314</t>
  </si>
  <si>
    <t>CATTCACGCT</t>
  </si>
  <si>
    <t>GTTGTACTCA</t>
  </si>
  <si>
    <t>TGAGTACAAC</t>
  </si>
  <si>
    <t>UDP0315</t>
  </si>
  <si>
    <t>GGCACTAAGG</t>
  </si>
  <si>
    <t>TCAGGTCAAC</t>
  </si>
  <si>
    <t>GTTGACCTGA</t>
  </si>
  <si>
    <t>UDP0316</t>
  </si>
  <si>
    <t>ATTCGGTACA</t>
  </si>
  <si>
    <t>AGTCCGAGGA</t>
  </si>
  <si>
    <t>UDP0317</t>
  </si>
  <si>
    <t>ACTAATCTCC</t>
  </si>
  <si>
    <t>CACTTAATCT</t>
  </si>
  <si>
    <t>UDP0318</t>
  </si>
  <si>
    <t>TGTGTTAGTA</t>
  </si>
  <si>
    <t>TACTCTGTTA</t>
  </si>
  <si>
    <t>TAACAGAGTA</t>
  </si>
  <si>
    <t>UDP0319</t>
  </si>
  <si>
    <t>CAACGACCTA</t>
  </si>
  <si>
    <t>GCGACTCGAT</t>
  </si>
  <si>
    <t>ATCGAGTCGC</t>
  </si>
  <si>
    <t>UDP0320</t>
  </si>
  <si>
    <t>CGGTCGGCAT</t>
  </si>
  <si>
    <t>CTAGGCAAGG</t>
  </si>
  <si>
    <t>CCTTGCCTAG</t>
  </si>
  <si>
    <t>UDP0321</t>
  </si>
  <si>
    <t>TCGACGCTAG</t>
  </si>
  <si>
    <t>CCTCTTCGAA</t>
  </si>
  <si>
    <t>TTCGAAGAGG</t>
  </si>
  <si>
    <t>UDP0322</t>
  </si>
  <si>
    <t>CTCGTAGGCA</t>
  </si>
  <si>
    <t>TCATCCTCTT</t>
  </si>
  <si>
    <t>AAGAGGATGA</t>
  </si>
  <si>
    <t>UDP0323</t>
  </si>
  <si>
    <t>GGTAAGATAA</t>
  </si>
  <si>
    <t>TTATCTTACC</t>
  </si>
  <si>
    <t>UDP0324</t>
  </si>
  <si>
    <t>AACGAGCCAG</t>
  </si>
  <si>
    <t>CTGGCTCGTT</t>
  </si>
  <si>
    <t>UDP0325</t>
  </si>
  <si>
    <t>ATATCTGCTT</t>
  </si>
  <si>
    <t>TAGACAATCT</t>
  </si>
  <si>
    <t>AGATTGTCTA</t>
  </si>
  <si>
    <t>UDP0326</t>
  </si>
  <si>
    <t>TGGATCTGGC</t>
  </si>
  <si>
    <t>CAATGCTGAA</t>
  </si>
  <si>
    <t>TTCAGCATTG</t>
  </si>
  <si>
    <t>UDP0327</t>
  </si>
  <si>
    <t>TTGAATCCAA</t>
  </si>
  <si>
    <t>GTCACGGTGT</t>
  </si>
  <si>
    <t>ACACCGTGAC</t>
  </si>
  <si>
    <t>UDP0328</t>
  </si>
  <si>
    <t>GGTGTACAAG</t>
  </si>
  <si>
    <t>UDP0329</t>
  </si>
  <si>
    <t>AGGTTGCAGG</t>
  </si>
  <si>
    <t>UDP0330</t>
  </si>
  <si>
    <t>AGCTAGCTTC</t>
  </si>
  <si>
    <t>TAATACGGAG</t>
  </si>
  <si>
    <t>CTCCGTATTA</t>
  </si>
  <si>
    <t>UDP0331</t>
  </si>
  <si>
    <t>CAATCCTTGT</t>
  </si>
  <si>
    <t>CGAAGACGCA</t>
  </si>
  <si>
    <t>TGCGTCTTCG</t>
  </si>
  <si>
    <t>UDP0332</t>
  </si>
  <si>
    <t>ATTGACACAT</t>
  </si>
  <si>
    <t>ATGTGTCAAT</t>
  </si>
  <si>
    <t>UDP0333</t>
  </si>
  <si>
    <t>CGTCACCTTG</t>
  </si>
  <si>
    <t>CAGCCGATTG</t>
  </si>
  <si>
    <t>UDP0334</t>
  </si>
  <si>
    <t>AATGACTGGT</t>
  </si>
  <si>
    <t>TCTCACGCGT</t>
  </si>
  <si>
    <t>ACGCGTGAGA</t>
  </si>
  <si>
    <t>UDP0335</t>
  </si>
  <si>
    <t>ATGATTCCGG</t>
  </si>
  <si>
    <t>CTCTGACGTG</t>
  </si>
  <si>
    <t>CACGTCAGAG</t>
  </si>
  <si>
    <t>UDP0336</t>
  </si>
  <si>
    <t>TCGAATGGAA</t>
  </si>
  <si>
    <t>TTCCATTCGA</t>
  </si>
  <si>
    <t>UDP0337</t>
  </si>
  <si>
    <t>TGTAAGGTGG</t>
  </si>
  <si>
    <t>AAGGCCTTGG</t>
  </si>
  <si>
    <t>CCAAGGCCTT</t>
  </si>
  <si>
    <t>UDP0338</t>
  </si>
  <si>
    <t>CAACTGCAAC</t>
  </si>
  <si>
    <t>TGAACGCAAC</t>
  </si>
  <si>
    <t>GTTGCGTTCA</t>
  </si>
  <si>
    <t>UDP0339</t>
  </si>
  <si>
    <t>ACATGAGTGA</t>
  </si>
  <si>
    <t>CCGCTTAGCT</t>
  </si>
  <si>
    <t>UDP0340</t>
  </si>
  <si>
    <t>GCAACCAGTC</t>
  </si>
  <si>
    <t>CACCGAGGAA</t>
  </si>
  <si>
    <t>TTCCTCGGTG</t>
  </si>
  <si>
    <t>UDP0341</t>
  </si>
  <si>
    <t>GAGCGACGAT</t>
  </si>
  <si>
    <t>CGTATAATCA</t>
  </si>
  <si>
    <t>UDP0342</t>
  </si>
  <si>
    <t>CGAACGCACC</t>
  </si>
  <si>
    <t>ATGACAGAAC</t>
  </si>
  <si>
    <t>GTTCTGTCAT</t>
  </si>
  <si>
    <t>UDP0343</t>
  </si>
  <si>
    <t>TCTTACGCCG</t>
  </si>
  <si>
    <t>ATTCATTGCA</t>
  </si>
  <si>
    <t>UDP0344</t>
  </si>
  <si>
    <t>AGCTGATGTC</t>
  </si>
  <si>
    <t>TCATGTCCTG</t>
  </si>
  <si>
    <t>CAGGACATGA</t>
  </si>
  <si>
    <t>UDP0345</t>
  </si>
  <si>
    <t>CTGAATTAGT</t>
  </si>
  <si>
    <t>AATTCGATCG</t>
  </si>
  <si>
    <t>CGATCGAATT</t>
  </si>
  <si>
    <t>UDP0346</t>
  </si>
  <si>
    <t>TAAGGAGGAA</t>
  </si>
  <si>
    <t>TTCCGACATT</t>
  </si>
  <si>
    <t>AATGTCGGAA</t>
  </si>
  <si>
    <t>UDP0347</t>
  </si>
  <si>
    <t>AGCTTACACA</t>
  </si>
  <si>
    <t>TGGCACGACC</t>
  </si>
  <si>
    <t>GGTCGTGCCA</t>
  </si>
  <si>
    <t>UDP0348</t>
  </si>
  <si>
    <t>AACCAGCCAC</t>
  </si>
  <si>
    <t>GCCACAGCAC</t>
  </si>
  <si>
    <t>GTGCTGTGGC</t>
  </si>
  <si>
    <t>UDP0349</t>
  </si>
  <si>
    <t>CTTAAGTCGA</t>
  </si>
  <si>
    <t>CAGTAGTTGT</t>
  </si>
  <si>
    <t>UDP0350</t>
  </si>
  <si>
    <t>AGCTCTCAAG</t>
  </si>
  <si>
    <t>CTTGAGAGCT</t>
  </si>
  <si>
    <t>UDP0351</t>
  </si>
  <si>
    <t>ACTTACTTCA</t>
  </si>
  <si>
    <t>TCTGGAATTA</t>
  </si>
  <si>
    <t>TAATTCCAGA</t>
  </si>
  <si>
    <t>UDP0352</t>
  </si>
  <si>
    <t>ATTAGTGGAG</t>
  </si>
  <si>
    <t>UDP0353</t>
  </si>
  <si>
    <t>GATATCACAC</t>
  </si>
  <si>
    <t>GACTATATGT</t>
  </si>
  <si>
    <t>ACATATAGTC</t>
  </si>
  <si>
    <t>UDP0354</t>
  </si>
  <si>
    <t>AGCGCTGTGT</t>
  </si>
  <si>
    <t>CGTTCGGAAC</t>
  </si>
  <si>
    <t>GTTCCGAACG</t>
  </si>
  <si>
    <t>UDP0355</t>
  </si>
  <si>
    <t>TCACCGCGCT</t>
  </si>
  <si>
    <t>TCGATACTAG</t>
  </si>
  <si>
    <t>CTAGTATCGA</t>
  </si>
  <si>
    <t>UDP0356</t>
  </si>
  <si>
    <t>GATAGCCTTG</t>
  </si>
  <si>
    <t>TACCACAATG</t>
  </si>
  <si>
    <t>CATTGTGGTA</t>
  </si>
  <si>
    <t>UDP0357</t>
  </si>
  <si>
    <t>CCTGGACGCA</t>
  </si>
  <si>
    <t>TGGTATACCA</t>
  </si>
  <si>
    <t>UDP0358</t>
  </si>
  <si>
    <t>TTACGCACCT</t>
  </si>
  <si>
    <t>GCTCTCGTTG</t>
  </si>
  <si>
    <t>UDP0359</t>
  </si>
  <si>
    <t>TCGTTGCTGC</t>
  </si>
  <si>
    <t>GTCTCGTGAA</t>
  </si>
  <si>
    <t>UDP0360</t>
  </si>
  <si>
    <t>CGACAAGGAT</t>
  </si>
  <si>
    <t>AAGGCCACCT</t>
  </si>
  <si>
    <t>AGGTGGCCTT</t>
  </si>
  <si>
    <t>UDP0361</t>
  </si>
  <si>
    <t>GTGTACCTTC</t>
  </si>
  <si>
    <t>CTGTGAGCTA</t>
  </si>
  <si>
    <t>TAGCTCACAG</t>
  </si>
  <si>
    <t>UDP0362</t>
  </si>
  <si>
    <t>ACCTGGCCAA</t>
  </si>
  <si>
    <t>TCACAGATCG</t>
  </si>
  <si>
    <t>UDP0363</t>
  </si>
  <si>
    <t>AGAAGCCAAT</t>
  </si>
  <si>
    <t>UDP0364</t>
  </si>
  <si>
    <t>AGTTAATGCT</t>
  </si>
  <si>
    <t>ACTGCAGCCG</t>
  </si>
  <si>
    <t>CGGCTGCAGT</t>
  </si>
  <si>
    <t>UDP0365</t>
  </si>
  <si>
    <t>AACATCTAGT</t>
  </si>
  <si>
    <t>ACTAGATGTT</t>
  </si>
  <si>
    <t>UDP0366</t>
  </si>
  <si>
    <t>CCTTACTATG</t>
  </si>
  <si>
    <t>UDP0367</t>
  </si>
  <si>
    <t>GTGGCGAGAC</t>
  </si>
  <si>
    <t>GTCTCGCCAC</t>
  </si>
  <si>
    <t>UDP0368</t>
  </si>
  <si>
    <t>TCCAGCCTGC</t>
  </si>
  <si>
    <t>GCCAGATCCA</t>
  </si>
  <si>
    <t>UDP0369</t>
  </si>
  <si>
    <t>ACACAATATC</t>
  </si>
  <si>
    <t>UDP0370</t>
  </si>
  <si>
    <t>AGTGCGAGTG</t>
  </si>
  <si>
    <t>TGGAGGTAAT</t>
  </si>
  <si>
    <t>ATTACCTCCA</t>
  </si>
  <si>
    <t>UDP0371</t>
  </si>
  <si>
    <t>CCTTCACGTA</t>
  </si>
  <si>
    <t>UDP0372</t>
  </si>
  <si>
    <t>CTATACGCGG</t>
  </si>
  <si>
    <t>UDP0373</t>
  </si>
  <si>
    <t>GTTGCAGTTG</t>
  </si>
  <si>
    <t>UDP0374</t>
  </si>
  <si>
    <t>CTTCAACCAC</t>
  </si>
  <si>
    <t>TTATGCGCCT</t>
  </si>
  <si>
    <t>AGGCGCATAA</t>
  </si>
  <si>
    <t>UDP0375</t>
  </si>
  <si>
    <t>TCTATTCAGT</t>
  </si>
  <si>
    <t>TCTCAGTACA</t>
  </si>
  <si>
    <t>TGTACTGAGA</t>
  </si>
  <si>
    <t>UDP0376</t>
  </si>
  <si>
    <t>CAAGACGTCC</t>
  </si>
  <si>
    <t>AGTATACGGA</t>
  </si>
  <si>
    <t>TCCGTATACT</t>
  </si>
  <si>
    <t>UDP0377</t>
  </si>
  <si>
    <t>ACGCTTGGAC</t>
  </si>
  <si>
    <t>GTCCAAGCGT</t>
  </si>
  <si>
    <t>UDP0378</t>
  </si>
  <si>
    <t>CCGCGGTTCT</t>
  </si>
  <si>
    <t>GGAGTAGATT</t>
  </si>
  <si>
    <t>AATCTACTCC</t>
  </si>
  <si>
    <t>UDP0379</t>
  </si>
  <si>
    <t>ATTGATACTG</t>
  </si>
  <si>
    <t>TACACGCTCC</t>
  </si>
  <si>
    <t>UDP0380</t>
  </si>
  <si>
    <t>GGATTATGGA</t>
  </si>
  <si>
    <t>TCCGATAGAG</t>
  </si>
  <si>
    <t>CTCTATCGGA</t>
  </si>
  <si>
    <t>UDP0381</t>
  </si>
  <si>
    <t>TGGTTCTCAT</t>
  </si>
  <si>
    <t>CTCAAGGCCG</t>
  </si>
  <si>
    <t>CGGCCTTGAG</t>
  </si>
  <si>
    <t>UDP0382</t>
  </si>
  <si>
    <t>TCAACCACGA</t>
  </si>
  <si>
    <t>CAAGTTCATA</t>
  </si>
  <si>
    <t>TATGAACTTG</t>
  </si>
  <si>
    <t>UDP0383</t>
  </si>
  <si>
    <t>AATCCTTAGG</t>
  </si>
  <si>
    <t>CCTAAGGATT</t>
  </si>
  <si>
    <t>UDP0384</t>
  </si>
  <si>
    <t>GGTGGAATAC</t>
  </si>
  <si>
    <t>Custom id</t>
  </si>
  <si>
    <t>Tureseq UD Set ABCD ( For Trueseq)</t>
  </si>
  <si>
    <t>SET</t>
  </si>
  <si>
    <t>The Unique Dual Index Ki(UDI) For smarter V3</t>
  </si>
  <si>
    <t>Sureselect low imput, Lexgon, 10X,Trueseq, smarter</t>
  </si>
  <si>
    <t>Admera Health
Concentration (ng/ul)</t>
  </si>
  <si>
    <t>Admera Health
Total Quantity (ng)</t>
  </si>
  <si>
    <t>RIN/DIN</t>
  </si>
  <si>
    <t>Total Cell Count per uL</t>
  </si>
  <si>
    <t>Seq output</t>
  </si>
  <si>
    <t>dilution before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</si>
</sst>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.0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name val="Times New Roman"/>
      <family val="1"/>
    </font>
    <font>
      <sz val="11"/>
      <color rgb="FF9C0006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sz val="11"/>
      <name val="Calibri"/>
      <family val="2"/>
      <charset val="13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u/>
      <sz val="11"/>
      <color theme="1"/>
      <name val="Calibri"/>
      <family val="2"/>
      <scheme val="minor"/>
    </font>
    <font>
      <b/>
      <u/>
      <sz val="14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Verdan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9C0006"/>
      <name val="Calibri"/>
      <family val="2"/>
    </font>
    <font>
      <b/>
      <sz val="11"/>
      <color rgb="FF9C0006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rgb="FFFFFFFF"/>
      <name val="Calibri"/>
      <family val="2"/>
      <scheme val="minor"/>
    </font>
    <font>
      <sz val="9"/>
      <color rgb="FF4A4A4A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6"/>
      <color rgb="FFFF0000"/>
      <name val="Calibri"/>
      <family val="2"/>
    </font>
    <font>
      <b/>
      <u/>
      <sz val="16"/>
      <color rgb="FFFF0000"/>
      <name val="Calibri (Body)"/>
    </font>
    <font>
      <b/>
      <sz val="11"/>
      <color rgb="FF000000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CCBD8"/>
        <bgColor indexed="64"/>
      </patternFill>
    </fill>
    <fill>
      <patternFill patternType="solid">
        <fgColor rgb="FFF0AA45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96BE0C"/>
        <bgColor indexed="64"/>
      </patternFill>
    </fill>
    <fill>
      <patternFill patternType="solid">
        <fgColor theme="5" tint="0.59999389629810485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medium">
        <color rgb="FF4A4A4A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202">
    <xf numFmtId="0" fontId="0" fillId="0" borderId="0"/>
    <xf numFmtId="164" fontId="7" fillId="0" borderId="0"/>
    <xf numFmtId="164" fontId="8" fillId="0" borderId="0">
      <alignment vertical="center"/>
    </xf>
    <xf numFmtId="164" fontId="9" fillId="0" borderId="0" applyNumberFormat="0" applyFill="0" applyBorder="0" applyAlignment="0" applyProtection="0">
      <alignment vertical="center"/>
    </xf>
    <xf numFmtId="164" fontId="10" fillId="0" borderId="4" applyNumberFormat="0" applyFill="0" applyAlignment="0" applyProtection="0">
      <alignment vertical="center"/>
    </xf>
    <xf numFmtId="164" fontId="11" fillId="0" borderId="5" applyNumberFormat="0" applyFill="0" applyAlignment="0" applyProtection="0">
      <alignment vertical="center"/>
    </xf>
    <xf numFmtId="164" fontId="12" fillId="0" borderId="6" applyNumberFormat="0" applyFill="0" applyAlignment="0" applyProtection="0">
      <alignment vertical="center"/>
    </xf>
    <xf numFmtId="164" fontId="12" fillId="0" borderId="0" applyNumberFormat="0" applyFill="0" applyBorder="0" applyAlignment="0" applyProtection="0">
      <alignment vertical="center"/>
    </xf>
    <xf numFmtId="164" fontId="13" fillId="5" borderId="0" applyNumberFormat="0" applyBorder="0" applyAlignment="0" applyProtection="0">
      <alignment vertical="center"/>
    </xf>
    <xf numFmtId="164" fontId="14" fillId="6" borderId="0" applyNumberFormat="0" applyBorder="0" applyAlignment="0" applyProtection="0">
      <alignment vertical="center"/>
    </xf>
    <xf numFmtId="164" fontId="15" fillId="7" borderId="0" applyNumberFormat="0" applyBorder="0" applyAlignment="0" applyProtection="0">
      <alignment vertical="center"/>
    </xf>
    <xf numFmtId="164" fontId="16" fillId="8" borderId="7" applyNumberFormat="0" applyAlignment="0" applyProtection="0">
      <alignment vertical="center"/>
    </xf>
    <xf numFmtId="164" fontId="17" fillId="9" borderId="8" applyNumberFormat="0" applyAlignment="0" applyProtection="0">
      <alignment vertical="center"/>
    </xf>
    <xf numFmtId="164" fontId="18" fillId="9" borderId="7" applyNumberFormat="0" applyAlignment="0" applyProtection="0">
      <alignment vertical="center"/>
    </xf>
    <xf numFmtId="164" fontId="19" fillId="0" borderId="9" applyNumberFormat="0" applyFill="0" applyAlignment="0" applyProtection="0">
      <alignment vertical="center"/>
    </xf>
    <xf numFmtId="164" fontId="20" fillId="10" borderId="10" applyNumberFormat="0" applyAlignment="0" applyProtection="0">
      <alignment vertical="center"/>
    </xf>
    <xf numFmtId="164" fontId="21" fillId="0" borderId="0" applyNumberFormat="0" applyFill="0" applyBorder="0" applyAlignment="0" applyProtection="0">
      <alignment vertical="center"/>
    </xf>
    <xf numFmtId="164" fontId="22" fillId="0" borderId="0" applyNumberFormat="0" applyFill="0" applyBorder="0" applyAlignment="0" applyProtection="0">
      <alignment vertical="center"/>
    </xf>
    <xf numFmtId="164" fontId="23" fillId="0" borderId="12" applyNumberFormat="0" applyFill="0" applyAlignment="0" applyProtection="0">
      <alignment vertical="center"/>
    </xf>
    <xf numFmtId="164" fontId="24" fillId="12" borderId="0" applyNumberFormat="0" applyBorder="0" applyAlignment="0" applyProtection="0">
      <alignment vertical="center"/>
    </xf>
    <xf numFmtId="164" fontId="8" fillId="13" borderId="0" applyNumberFormat="0" applyBorder="0" applyAlignment="0" applyProtection="0">
      <alignment vertical="center"/>
    </xf>
    <xf numFmtId="164" fontId="8" fillId="14" borderId="0" applyNumberFormat="0" applyBorder="0" applyAlignment="0" applyProtection="0">
      <alignment vertical="center"/>
    </xf>
    <xf numFmtId="164" fontId="24" fillId="15" borderId="0" applyNumberFormat="0" applyBorder="0" applyAlignment="0" applyProtection="0">
      <alignment vertical="center"/>
    </xf>
    <xf numFmtId="164" fontId="24" fillId="16" borderId="0" applyNumberFormat="0" applyBorder="0" applyAlignment="0" applyProtection="0">
      <alignment vertical="center"/>
    </xf>
    <xf numFmtId="164" fontId="8" fillId="17" borderId="0" applyNumberFormat="0" applyBorder="0" applyAlignment="0" applyProtection="0">
      <alignment vertical="center"/>
    </xf>
    <xf numFmtId="164" fontId="8" fillId="18" borderId="0" applyNumberFormat="0" applyBorder="0" applyAlignment="0" applyProtection="0">
      <alignment vertical="center"/>
    </xf>
    <xf numFmtId="164" fontId="24" fillId="19" borderId="0" applyNumberFormat="0" applyBorder="0" applyAlignment="0" applyProtection="0">
      <alignment vertical="center"/>
    </xf>
    <xf numFmtId="164" fontId="24" fillId="20" borderId="0" applyNumberFormat="0" applyBorder="0" applyAlignment="0" applyProtection="0">
      <alignment vertical="center"/>
    </xf>
    <xf numFmtId="164" fontId="8" fillId="21" borderId="0" applyNumberFormat="0" applyBorder="0" applyAlignment="0" applyProtection="0">
      <alignment vertical="center"/>
    </xf>
    <xf numFmtId="164" fontId="8" fillId="22" borderId="0" applyNumberFormat="0" applyBorder="0" applyAlignment="0" applyProtection="0">
      <alignment vertical="center"/>
    </xf>
    <xf numFmtId="164" fontId="24" fillId="23" borderId="0" applyNumberFormat="0" applyBorder="0" applyAlignment="0" applyProtection="0">
      <alignment vertical="center"/>
    </xf>
    <xf numFmtId="164" fontId="24" fillId="24" borderId="0" applyNumberFormat="0" applyBorder="0" applyAlignment="0" applyProtection="0">
      <alignment vertical="center"/>
    </xf>
    <xf numFmtId="164" fontId="8" fillId="25" borderId="0" applyNumberFormat="0" applyBorder="0" applyAlignment="0" applyProtection="0">
      <alignment vertical="center"/>
    </xf>
    <xf numFmtId="164" fontId="8" fillId="26" borderId="0" applyNumberFormat="0" applyBorder="0" applyAlignment="0" applyProtection="0">
      <alignment vertical="center"/>
    </xf>
    <xf numFmtId="164" fontId="24" fillId="27" borderId="0" applyNumberFormat="0" applyBorder="0" applyAlignment="0" applyProtection="0">
      <alignment vertical="center"/>
    </xf>
    <xf numFmtId="164" fontId="24" fillId="28" borderId="0" applyNumberFormat="0" applyBorder="0" applyAlignment="0" applyProtection="0">
      <alignment vertical="center"/>
    </xf>
    <xf numFmtId="164" fontId="8" fillId="29" borderId="0" applyNumberFormat="0" applyBorder="0" applyAlignment="0" applyProtection="0">
      <alignment vertical="center"/>
    </xf>
    <xf numFmtId="164" fontId="8" fillId="30" borderId="0" applyNumberFormat="0" applyBorder="0" applyAlignment="0" applyProtection="0">
      <alignment vertical="center"/>
    </xf>
    <xf numFmtId="164" fontId="24" fillId="31" borderId="0" applyNumberFormat="0" applyBorder="0" applyAlignment="0" applyProtection="0">
      <alignment vertical="center"/>
    </xf>
    <xf numFmtId="164" fontId="24" fillId="32" borderId="0" applyNumberFormat="0" applyBorder="0" applyAlignment="0" applyProtection="0">
      <alignment vertical="center"/>
    </xf>
    <xf numFmtId="164" fontId="8" fillId="33" borderId="0" applyNumberFormat="0" applyBorder="0" applyAlignment="0" applyProtection="0">
      <alignment vertical="center"/>
    </xf>
    <xf numFmtId="164" fontId="8" fillId="34" borderId="0" applyNumberFormat="0" applyBorder="0" applyAlignment="0" applyProtection="0">
      <alignment vertical="center"/>
    </xf>
    <xf numFmtId="164" fontId="24" fillId="35" borderId="0" applyNumberFormat="0" applyBorder="0" applyAlignment="0" applyProtection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11" borderId="11" applyNumberFormat="0" applyFont="0" applyAlignment="0" applyProtection="0">
      <alignment vertical="center"/>
    </xf>
    <xf numFmtId="164" fontId="13" fillId="5" borderId="0" applyNumberFormat="0" applyBorder="0" applyAlignment="0" applyProtection="0">
      <alignment vertical="center"/>
    </xf>
    <xf numFmtId="164" fontId="12" fillId="0" borderId="0" applyNumberFormat="0" applyFill="0" applyBorder="0" applyAlignment="0" applyProtection="0">
      <alignment vertical="center"/>
    </xf>
    <xf numFmtId="164" fontId="12" fillId="0" borderId="6" applyNumberFormat="0" applyFill="0" applyAlignment="0" applyProtection="0">
      <alignment vertical="center"/>
    </xf>
    <xf numFmtId="164" fontId="11" fillId="0" borderId="5" applyNumberFormat="0" applyFill="0" applyAlignment="0" applyProtection="0">
      <alignment vertical="center"/>
    </xf>
    <xf numFmtId="164" fontId="10" fillId="0" borderId="4" applyNumberFormat="0" applyFill="0" applyAlignment="0" applyProtection="0">
      <alignment vertical="center"/>
    </xf>
    <xf numFmtId="164" fontId="9" fillId="0" borderId="0" applyNumberFormat="0" applyFill="0" applyBorder="0" applyAlignment="0" applyProtection="0">
      <alignment vertical="center"/>
    </xf>
    <xf numFmtId="164" fontId="14" fillId="6" borderId="0" applyNumberFormat="0" applyBorder="0" applyAlignment="0" applyProtection="0">
      <alignment vertical="center"/>
    </xf>
    <xf numFmtId="164" fontId="15" fillId="7" borderId="0" applyNumberFormat="0" applyBorder="0" applyAlignment="0" applyProtection="0">
      <alignment vertical="center"/>
    </xf>
    <xf numFmtId="164" fontId="16" fillId="8" borderId="7" applyNumberFormat="0" applyAlignment="0" applyProtection="0">
      <alignment vertical="center"/>
    </xf>
    <xf numFmtId="164" fontId="17" fillId="9" borderId="8" applyNumberFormat="0" applyAlignment="0" applyProtection="0">
      <alignment vertical="center"/>
    </xf>
    <xf numFmtId="164" fontId="18" fillId="9" borderId="7" applyNumberFormat="0" applyAlignment="0" applyProtection="0">
      <alignment vertical="center"/>
    </xf>
    <xf numFmtId="164" fontId="19" fillId="0" borderId="9" applyNumberFormat="0" applyFill="0" applyAlignment="0" applyProtection="0">
      <alignment vertical="center"/>
    </xf>
    <xf numFmtId="164" fontId="20" fillId="10" borderId="10" applyNumberFormat="0" applyAlignment="0" applyProtection="0">
      <alignment vertical="center"/>
    </xf>
    <xf numFmtId="164" fontId="21" fillId="0" borderId="0" applyNumberFormat="0" applyFill="0" applyBorder="0" applyAlignment="0" applyProtection="0">
      <alignment vertical="center"/>
    </xf>
    <xf numFmtId="164" fontId="22" fillId="0" borderId="0" applyNumberFormat="0" applyFill="0" applyBorder="0" applyAlignment="0" applyProtection="0">
      <alignment vertical="center"/>
    </xf>
    <xf numFmtId="164" fontId="23" fillId="0" borderId="12" applyNumberFormat="0" applyFill="0" applyAlignment="0" applyProtection="0">
      <alignment vertical="center"/>
    </xf>
    <xf numFmtId="164" fontId="24" fillId="12" borderId="0" applyNumberFormat="0" applyBorder="0" applyAlignment="0" applyProtection="0">
      <alignment vertical="center"/>
    </xf>
    <xf numFmtId="164" fontId="8" fillId="13" borderId="0" applyNumberFormat="0" applyBorder="0" applyAlignment="0" applyProtection="0">
      <alignment vertical="center"/>
    </xf>
    <xf numFmtId="164" fontId="8" fillId="14" borderId="0" applyNumberFormat="0" applyBorder="0" applyAlignment="0" applyProtection="0">
      <alignment vertical="center"/>
    </xf>
    <xf numFmtId="164" fontId="24" fillId="15" borderId="0" applyNumberFormat="0" applyBorder="0" applyAlignment="0" applyProtection="0">
      <alignment vertical="center"/>
    </xf>
    <xf numFmtId="164" fontId="24" fillId="16" borderId="0" applyNumberFormat="0" applyBorder="0" applyAlignment="0" applyProtection="0">
      <alignment vertical="center"/>
    </xf>
    <xf numFmtId="164" fontId="8" fillId="17" borderId="0" applyNumberFormat="0" applyBorder="0" applyAlignment="0" applyProtection="0">
      <alignment vertical="center"/>
    </xf>
    <xf numFmtId="164" fontId="8" fillId="18" borderId="0" applyNumberFormat="0" applyBorder="0" applyAlignment="0" applyProtection="0">
      <alignment vertical="center"/>
    </xf>
    <xf numFmtId="164" fontId="24" fillId="19" borderId="0" applyNumberFormat="0" applyBorder="0" applyAlignment="0" applyProtection="0">
      <alignment vertical="center"/>
    </xf>
    <xf numFmtId="164" fontId="24" fillId="20" borderId="0" applyNumberFormat="0" applyBorder="0" applyAlignment="0" applyProtection="0">
      <alignment vertical="center"/>
    </xf>
    <xf numFmtId="164" fontId="8" fillId="21" borderId="0" applyNumberFormat="0" applyBorder="0" applyAlignment="0" applyProtection="0">
      <alignment vertical="center"/>
    </xf>
    <xf numFmtId="164" fontId="8" fillId="22" borderId="0" applyNumberFormat="0" applyBorder="0" applyAlignment="0" applyProtection="0">
      <alignment vertical="center"/>
    </xf>
    <xf numFmtId="164" fontId="24" fillId="23" borderId="0" applyNumberFormat="0" applyBorder="0" applyAlignment="0" applyProtection="0">
      <alignment vertical="center"/>
    </xf>
    <xf numFmtId="164" fontId="24" fillId="24" borderId="0" applyNumberFormat="0" applyBorder="0" applyAlignment="0" applyProtection="0">
      <alignment vertical="center"/>
    </xf>
    <xf numFmtId="164" fontId="8" fillId="25" borderId="0" applyNumberFormat="0" applyBorder="0" applyAlignment="0" applyProtection="0">
      <alignment vertical="center"/>
    </xf>
    <xf numFmtId="164" fontId="8" fillId="26" borderId="0" applyNumberFormat="0" applyBorder="0" applyAlignment="0" applyProtection="0">
      <alignment vertical="center"/>
    </xf>
    <xf numFmtId="164" fontId="24" fillId="27" borderId="0" applyNumberFormat="0" applyBorder="0" applyAlignment="0" applyProtection="0">
      <alignment vertical="center"/>
    </xf>
    <xf numFmtId="164" fontId="24" fillId="28" borderId="0" applyNumberFormat="0" applyBorder="0" applyAlignment="0" applyProtection="0">
      <alignment vertical="center"/>
    </xf>
    <xf numFmtId="164" fontId="8" fillId="29" borderId="0" applyNumberFormat="0" applyBorder="0" applyAlignment="0" applyProtection="0">
      <alignment vertical="center"/>
    </xf>
    <xf numFmtId="164" fontId="8" fillId="30" borderId="0" applyNumberFormat="0" applyBorder="0" applyAlignment="0" applyProtection="0">
      <alignment vertical="center"/>
    </xf>
    <xf numFmtId="164" fontId="24" fillId="31" borderId="0" applyNumberFormat="0" applyBorder="0" applyAlignment="0" applyProtection="0">
      <alignment vertical="center"/>
    </xf>
    <xf numFmtId="164" fontId="24" fillId="32" borderId="0" applyNumberFormat="0" applyBorder="0" applyAlignment="0" applyProtection="0">
      <alignment vertical="center"/>
    </xf>
    <xf numFmtId="164" fontId="8" fillId="33" borderId="0" applyNumberFormat="0" applyBorder="0" applyAlignment="0" applyProtection="0">
      <alignment vertical="center"/>
    </xf>
    <xf numFmtId="164" fontId="8" fillId="34" borderId="0" applyNumberFormat="0" applyBorder="0" applyAlignment="0" applyProtection="0">
      <alignment vertical="center"/>
    </xf>
    <xf numFmtId="164" fontId="24" fillId="35" borderId="0" applyNumberFormat="0" applyBorder="0" applyAlignment="0" applyProtection="0">
      <alignment vertical="center"/>
    </xf>
    <xf numFmtId="164" fontId="8" fillId="0" borderId="0">
      <alignment vertical="center"/>
    </xf>
    <xf numFmtId="164" fontId="8" fillId="11" borderId="11" applyNumberFormat="0" applyFont="0" applyAlignment="0" applyProtection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26" fillId="6" borderId="0" applyNumberFormat="0" applyBorder="0" applyAlignment="0" applyProtection="0">
      <alignment vertical="center"/>
    </xf>
    <xf numFmtId="164" fontId="27" fillId="5" borderId="0" applyNumberFormat="0" applyBorder="0" applyAlignment="0" applyProtection="0">
      <alignment vertical="center"/>
    </xf>
    <xf numFmtId="164" fontId="7" fillId="0" borderId="0"/>
    <xf numFmtId="164" fontId="26" fillId="6" borderId="0" applyNumberFormat="0" applyBorder="0" applyAlignment="0" applyProtection="0">
      <alignment vertical="center"/>
    </xf>
    <xf numFmtId="164" fontId="27" fillId="5" borderId="0" applyNumberFormat="0" applyBorder="0" applyAlignment="0" applyProtection="0">
      <alignment vertical="center"/>
    </xf>
    <xf numFmtId="164" fontId="7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164" fontId="7" fillId="0" borderId="0"/>
    <xf numFmtId="0" fontId="46" fillId="0" borderId="0"/>
    <xf numFmtId="0" fontId="46" fillId="0" borderId="0"/>
    <xf numFmtId="0" fontId="46" fillId="0" borderId="0"/>
    <xf numFmtId="0" fontId="50" fillId="6" borderId="0" applyNumberFormat="0" applyBorder="0" applyAlignment="0" applyProtection="0"/>
    <xf numFmtId="0" fontId="3" fillId="0" borderId="0"/>
    <xf numFmtId="0" fontId="2" fillId="0" borderId="0"/>
    <xf numFmtId="0" fontId="1" fillId="0" borderId="0"/>
    <xf numFmtId="0" fontId="65" fillId="57" borderId="7">
      <alignment horizontal="left" vertical="top" wrapText="1"/>
      <protection locked="0"/>
    </xf>
    <xf numFmtId="164" fontId="9" fillId="0" borderId="0">
      <alignment vertical="center"/>
    </xf>
    <xf numFmtId="164" fontId="10" fillId="0" borderId="4">
      <alignment vertical="center"/>
    </xf>
    <xf numFmtId="164" fontId="11" fillId="0" borderId="5">
      <alignment vertical="center"/>
    </xf>
    <xf numFmtId="164" fontId="12" fillId="0" borderId="6">
      <alignment vertical="center"/>
    </xf>
    <xf numFmtId="164" fontId="12" fillId="0" borderId="0">
      <alignment vertical="center"/>
    </xf>
    <xf numFmtId="164" fontId="13" fillId="5" borderId="0">
      <alignment vertical="center"/>
    </xf>
    <xf numFmtId="164" fontId="14" fillId="6" borderId="0">
      <alignment vertical="center"/>
    </xf>
    <xf numFmtId="164" fontId="15" fillId="7" borderId="0">
      <alignment vertical="center"/>
    </xf>
    <xf numFmtId="164" fontId="16" fillId="8" borderId="7">
      <alignment vertical="center"/>
    </xf>
    <xf numFmtId="164" fontId="17" fillId="9" borderId="8">
      <alignment vertical="center"/>
    </xf>
    <xf numFmtId="164" fontId="18" fillId="9" borderId="7">
      <alignment vertical="center"/>
    </xf>
    <xf numFmtId="164" fontId="19" fillId="0" borderId="9">
      <alignment vertical="center"/>
    </xf>
    <xf numFmtId="164" fontId="20" fillId="10" borderId="10">
      <alignment vertical="center"/>
    </xf>
    <xf numFmtId="164" fontId="21" fillId="0" borderId="0">
      <alignment vertical="center"/>
    </xf>
    <xf numFmtId="164" fontId="22" fillId="0" borderId="0">
      <alignment vertical="center"/>
    </xf>
    <xf numFmtId="164" fontId="23" fillId="0" borderId="12">
      <alignment vertical="center"/>
    </xf>
    <xf numFmtId="164" fontId="24" fillId="12" borderId="0">
      <alignment vertical="center"/>
    </xf>
    <xf numFmtId="164" fontId="8" fillId="13" borderId="0">
      <alignment vertical="center"/>
    </xf>
    <xf numFmtId="164" fontId="8" fillId="14" borderId="0">
      <alignment vertical="center"/>
    </xf>
    <xf numFmtId="164" fontId="24" fillId="15" borderId="0">
      <alignment vertical="center"/>
    </xf>
    <xf numFmtId="164" fontId="24" fillId="16" borderId="0">
      <alignment vertical="center"/>
    </xf>
    <xf numFmtId="164" fontId="8" fillId="17" borderId="0">
      <alignment vertical="center"/>
    </xf>
    <xf numFmtId="164" fontId="8" fillId="18" borderId="0">
      <alignment vertical="center"/>
    </xf>
    <xf numFmtId="164" fontId="24" fillId="19" borderId="0">
      <alignment vertical="center"/>
    </xf>
    <xf numFmtId="164" fontId="24" fillId="20" borderId="0">
      <alignment vertical="center"/>
    </xf>
    <xf numFmtId="164" fontId="8" fillId="21" borderId="0">
      <alignment vertical="center"/>
    </xf>
    <xf numFmtId="164" fontId="8" fillId="22" borderId="0">
      <alignment vertical="center"/>
    </xf>
    <xf numFmtId="164" fontId="24" fillId="23" borderId="0">
      <alignment vertical="center"/>
    </xf>
    <xf numFmtId="164" fontId="24" fillId="24" borderId="0">
      <alignment vertical="center"/>
    </xf>
    <xf numFmtId="164" fontId="8" fillId="25" borderId="0">
      <alignment vertical="center"/>
    </xf>
    <xf numFmtId="164" fontId="8" fillId="26" borderId="0">
      <alignment vertical="center"/>
    </xf>
    <xf numFmtId="164" fontId="24" fillId="27" borderId="0">
      <alignment vertical="center"/>
    </xf>
    <xf numFmtId="164" fontId="24" fillId="28" borderId="0">
      <alignment vertical="center"/>
    </xf>
    <xf numFmtId="164" fontId="8" fillId="29" borderId="0">
      <alignment vertical="center"/>
    </xf>
    <xf numFmtId="164" fontId="8" fillId="30" borderId="0">
      <alignment vertical="center"/>
    </xf>
    <xf numFmtId="164" fontId="24" fillId="31" borderId="0">
      <alignment vertical="center"/>
    </xf>
    <xf numFmtId="164" fontId="24" fillId="32" borderId="0">
      <alignment vertical="center"/>
    </xf>
    <xf numFmtId="164" fontId="8" fillId="33" borderId="0">
      <alignment vertical="center"/>
    </xf>
    <xf numFmtId="164" fontId="8" fillId="34" borderId="0">
      <alignment vertical="center"/>
    </xf>
    <xf numFmtId="164" fontId="24" fillId="35" borderId="0">
      <alignment vertical="center"/>
    </xf>
    <xf numFmtId="164" fontId="8" fillId="11" borderId="11">
      <alignment vertical="center"/>
    </xf>
    <xf numFmtId="164" fontId="13" fillId="5" borderId="0">
      <alignment vertical="center"/>
    </xf>
    <xf numFmtId="164" fontId="12" fillId="0" borderId="0">
      <alignment vertical="center"/>
    </xf>
    <xf numFmtId="164" fontId="12" fillId="0" borderId="6">
      <alignment vertical="center"/>
    </xf>
    <xf numFmtId="164" fontId="11" fillId="0" borderId="5">
      <alignment vertical="center"/>
    </xf>
    <xf numFmtId="164" fontId="10" fillId="0" borderId="4">
      <alignment vertical="center"/>
    </xf>
    <xf numFmtId="164" fontId="9" fillId="0" borderId="0">
      <alignment vertical="center"/>
    </xf>
    <xf numFmtId="164" fontId="14" fillId="6" borderId="0">
      <alignment vertical="center"/>
    </xf>
    <xf numFmtId="164" fontId="15" fillId="7" borderId="0">
      <alignment vertical="center"/>
    </xf>
    <xf numFmtId="164" fontId="16" fillId="8" borderId="7">
      <alignment vertical="center"/>
    </xf>
    <xf numFmtId="164" fontId="17" fillId="9" borderId="8">
      <alignment vertical="center"/>
    </xf>
    <xf numFmtId="164" fontId="18" fillId="9" borderId="7">
      <alignment vertical="center"/>
    </xf>
    <xf numFmtId="164" fontId="19" fillId="0" borderId="9">
      <alignment vertical="center"/>
    </xf>
    <xf numFmtId="164" fontId="20" fillId="10" borderId="10">
      <alignment vertical="center"/>
    </xf>
    <xf numFmtId="164" fontId="21" fillId="0" borderId="0">
      <alignment vertical="center"/>
    </xf>
    <xf numFmtId="164" fontId="22" fillId="0" borderId="0">
      <alignment vertical="center"/>
    </xf>
    <xf numFmtId="164" fontId="23" fillId="0" borderId="12">
      <alignment vertical="center"/>
    </xf>
    <xf numFmtId="164" fontId="24" fillId="12" borderId="0">
      <alignment vertical="center"/>
    </xf>
    <xf numFmtId="164" fontId="8" fillId="13" borderId="0">
      <alignment vertical="center"/>
    </xf>
    <xf numFmtId="164" fontId="8" fillId="14" borderId="0">
      <alignment vertical="center"/>
    </xf>
    <xf numFmtId="164" fontId="24" fillId="15" borderId="0">
      <alignment vertical="center"/>
    </xf>
    <xf numFmtId="164" fontId="24" fillId="16" borderId="0">
      <alignment vertical="center"/>
    </xf>
    <xf numFmtId="164" fontId="8" fillId="17" borderId="0">
      <alignment vertical="center"/>
    </xf>
    <xf numFmtId="164" fontId="8" fillId="18" borderId="0">
      <alignment vertical="center"/>
    </xf>
    <xf numFmtId="164" fontId="24" fillId="19" borderId="0">
      <alignment vertical="center"/>
    </xf>
    <xf numFmtId="164" fontId="24" fillId="20" borderId="0">
      <alignment vertical="center"/>
    </xf>
    <xf numFmtId="164" fontId="8" fillId="21" borderId="0">
      <alignment vertical="center"/>
    </xf>
    <xf numFmtId="164" fontId="8" fillId="22" borderId="0">
      <alignment vertical="center"/>
    </xf>
    <xf numFmtId="164" fontId="24" fillId="23" borderId="0">
      <alignment vertical="center"/>
    </xf>
    <xf numFmtId="164" fontId="24" fillId="24" borderId="0">
      <alignment vertical="center"/>
    </xf>
    <xf numFmtId="164" fontId="8" fillId="25" borderId="0">
      <alignment vertical="center"/>
    </xf>
    <xf numFmtId="164" fontId="8" fillId="26" borderId="0">
      <alignment vertical="center"/>
    </xf>
    <xf numFmtId="164" fontId="24" fillId="27" borderId="0">
      <alignment vertical="center"/>
    </xf>
    <xf numFmtId="164" fontId="24" fillId="28" borderId="0">
      <alignment vertical="center"/>
    </xf>
    <xf numFmtId="164" fontId="8" fillId="29" borderId="0">
      <alignment vertical="center"/>
    </xf>
    <xf numFmtId="164" fontId="8" fillId="30" borderId="0">
      <alignment vertical="center"/>
    </xf>
    <xf numFmtId="164" fontId="24" fillId="31" borderId="0">
      <alignment vertical="center"/>
    </xf>
    <xf numFmtId="164" fontId="24" fillId="32" borderId="0">
      <alignment vertical="center"/>
    </xf>
    <xf numFmtId="164" fontId="8" fillId="33" borderId="0">
      <alignment vertical="center"/>
    </xf>
    <xf numFmtId="164" fontId="8" fillId="34" borderId="0">
      <alignment vertical="center"/>
    </xf>
    <xf numFmtId="164" fontId="24" fillId="35" borderId="0">
      <alignment vertical="center"/>
    </xf>
    <xf numFmtId="164" fontId="8" fillId="11" borderId="11">
      <alignment vertical="center"/>
    </xf>
    <xf numFmtId="164" fontId="26" fillId="6" borderId="0">
      <alignment vertical="center"/>
    </xf>
    <xf numFmtId="164" fontId="27" fillId="5" borderId="0">
      <alignment vertical="center"/>
    </xf>
    <xf numFmtId="164" fontId="26" fillId="6" borderId="0">
      <alignment vertical="center"/>
    </xf>
    <xf numFmtId="164" fontId="27" fillId="5" borderId="0">
      <alignment vertical="center"/>
    </xf>
    <xf numFmtId="0" fontId="50" fillId="6" borderId="0"/>
    <xf numFmtId="0" fontId="1" fillId="0" borderId="0"/>
  </cellStyleXfs>
  <cellXfs count="894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9" fillId="0" borderId="1" xfId="0" applyFont="1" applyBorder="1"/>
    <xf numFmtId="0" fontId="6" fillId="0" borderId="1" xfId="0" applyFont="1" applyBorder="1" applyAlignment="1">
      <alignment wrapText="1"/>
    </xf>
    <xf numFmtId="2" fontId="0" fillId="0" borderId="1" xfId="0" applyNumberFormat="1" applyBorder="1"/>
    <xf numFmtId="0" fontId="0" fillId="3" borderId="1" xfId="0" applyFill="1" applyBorder="1"/>
    <xf numFmtId="0" fontId="0" fillId="36" borderId="1" xfId="0" applyFill="1" applyBorder="1"/>
    <xf numFmtId="0" fontId="0" fillId="36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29" fillId="39" borderId="1" xfId="0" applyFont="1" applyFill="1" applyBorder="1"/>
    <xf numFmtId="165" fontId="0" fillId="36" borderId="1" xfId="0" applyNumberFormat="1" applyFill="1" applyBorder="1"/>
    <xf numFmtId="2" fontId="0" fillId="36" borderId="1" xfId="0" applyNumberFormat="1" applyFill="1" applyBorder="1"/>
    <xf numFmtId="0" fontId="0" fillId="0" borderId="19" xfId="0" applyBorder="1" applyAlignment="1">
      <alignment horizontal="right"/>
    </xf>
    <xf numFmtId="0" fontId="0" fillId="0" borderId="19" xfId="0" applyBorder="1"/>
    <xf numFmtId="0" fontId="0" fillId="36" borderId="3" xfId="0" applyFill="1" applyBorder="1" applyAlignment="1">
      <alignment horizontal="right"/>
    </xf>
    <xf numFmtId="0" fontId="0" fillId="36" borderId="3" xfId="0" applyFill="1" applyBorder="1"/>
    <xf numFmtId="0" fontId="0" fillId="41" borderId="1" xfId="0" applyFill="1" applyBorder="1"/>
    <xf numFmtId="0" fontId="0" fillId="4" borderId="0" xfId="0" applyFill="1"/>
    <xf numFmtId="1" fontId="0" fillId="0" borderId="1" xfId="0" applyNumberFormat="1" applyBorder="1"/>
    <xf numFmtId="0" fontId="0" fillId="0" borderId="1" xfId="0" applyBorder="1" applyAlignment="1">
      <alignment wrapText="1"/>
    </xf>
    <xf numFmtId="0" fontId="0" fillId="40" borderId="1" xfId="0" applyFill="1" applyBorder="1" applyAlignment="1">
      <alignment horizontal="center" vertical="center" wrapText="1"/>
    </xf>
    <xf numFmtId="0" fontId="29" fillId="43" borderId="1" xfId="0" applyFont="1" applyFill="1" applyBorder="1"/>
    <xf numFmtId="164" fontId="29" fillId="43" borderId="1" xfId="100" applyFont="1" applyFill="1" applyBorder="1" applyAlignment="1">
      <alignment vertical="center"/>
    </xf>
    <xf numFmtId="0" fontId="37" fillId="0" borderId="29" xfId="0" applyFont="1" applyBorder="1"/>
    <xf numFmtId="0" fontId="37" fillId="0" borderId="30" xfId="0" applyFont="1" applyBorder="1"/>
    <xf numFmtId="0" fontId="41" fillId="0" borderId="29" xfId="0" applyFont="1" applyBorder="1" applyAlignment="1">
      <alignment wrapText="1"/>
    </xf>
    <xf numFmtId="0" fontId="41" fillId="3" borderId="29" xfId="0" applyFont="1" applyFill="1" applyBorder="1" applyAlignment="1">
      <alignment wrapText="1"/>
    </xf>
    <xf numFmtId="0" fontId="37" fillId="3" borderId="28" xfId="0" applyFont="1" applyFill="1" applyBorder="1" applyAlignment="1">
      <alignment horizontal="center" vertical="center" wrapText="1"/>
    </xf>
    <xf numFmtId="0" fontId="37" fillId="3" borderId="26" xfId="0" applyFont="1" applyFill="1" applyBorder="1" applyAlignment="1">
      <alignment horizontal="center" vertical="center" wrapText="1"/>
    </xf>
    <xf numFmtId="0" fontId="41" fillId="3" borderId="25" xfId="0" applyFont="1" applyFill="1" applyBorder="1"/>
    <xf numFmtId="0" fontId="37" fillId="3" borderId="25" xfId="0" applyFont="1" applyFill="1" applyBorder="1"/>
    <xf numFmtId="0" fontId="37" fillId="3" borderId="27" xfId="0" applyFont="1" applyFill="1" applyBorder="1"/>
    <xf numFmtId="0" fontId="6" fillId="0" borderId="1" xfId="0" applyFont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right"/>
    </xf>
    <xf numFmtId="0" fontId="6" fillId="4" borderId="3" xfId="0" applyFont="1" applyFill="1" applyBorder="1"/>
    <xf numFmtId="0" fontId="0" fillId="0" borderId="35" xfId="0" applyBorder="1"/>
    <xf numFmtId="0" fontId="0" fillId="0" borderId="2" xfId="0" applyBorder="1"/>
    <xf numFmtId="0" fontId="0" fillId="46" borderId="1" xfId="0" applyFill="1" applyBorder="1" applyAlignment="1">
      <alignment wrapText="1"/>
    </xf>
    <xf numFmtId="0" fontId="0" fillId="46" borderId="1" xfId="0" applyFill="1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2" xfId="0" applyBorder="1" applyAlignment="1">
      <alignment horizontal="left"/>
    </xf>
    <xf numFmtId="0" fontId="0" fillId="41" borderId="1" xfId="0" applyFill="1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8" xfId="0" applyBorder="1" applyAlignment="1">
      <alignment wrapText="1"/>
    </xf>
    <xf numFmtId="0" fontId="0" fillId="39" borderId="2" xfId="0" applyFill="1" applyBorder="1" applyAlignment="1">
      <alignment wrapText="1"/>
    </xf>
    <xf numFmtId="0" fontId="0" fillId="39" borderId="1" xfId="0" applyFill="1" applyBorder="1" applyAlignment="1">
      <alignment wrapText="1"/>
    </xf>
    <xf numFmtId="0" fontId="0" fillId="39" borderId="2" xfId="0" applyFill="1" applyBorder="1"/>
    <xf numFmtId="0" fontId="0" fillId="39" borderId="1" xfId="0" applyFill="1" applyBorder="1"/>
    <xf numFmtId="0" fontId="35" fillId="0" borderId="0" xfId="0" applyFont="1" applyAlignment="1">
      <alignment horizontal="center" vertical="top" wrapText="1"/>
    </xf>
    <xf numFmtId="0" fontId="45" fillId="0" borderId="0" xfId="0" applyFont="1" applyAlignment="1">
      <alignment horizontal="center" vertical="top" wrapText="1"/>
    </xf>
    <xf numFmtId="0" fontId="45" fillId="2" borderId="18" xfId="0" applyFont="1" applyFill="1" applyBorder="1" applyAlignment="1">
      <alignment horizontal="center" vertical="top" wrapText="1"/>
    </xf>
    <xf numFmtId="0" fontId="0" fillId="36" borderId="1" xfId="0" applyFill="1" applyBorder="1" applyAlignment="1">
      <alignment horizontal="left"/>
    </xf>
    <xf numFmtId="0" fontId="0" fillId="36" borderId="3" xfId="0" applyFill="1" applyBorder="1" applyAlignment="1">
      <alignment horizontal="left"/>
    </xf>
    <xf numFmtId="0" fontId="4" fillId="42" borderId="1" xfId="0" applyFont="1" applyFill="1" applyBorder="1" applyAlignment="1">
      <alignment horizontal="center" vertical="center" wrapText="1"/>
    </xf>
    <xf numFmtId="0" fontId="4" fillId="47" borderId="1" xfId="0" applyFont="1" applyFill="1" applyBorder="1" applyAlignment="1">
      <alignment horizontal="center" vertical="center" wrapText="1"/>
    </xf>
    <xf numFmtId="1" fontId="0" fillId="36" borderId="1" xfId="0" applyNumberFormat="1" applyFill="1" applyBorder="1"/>
    <xf numFmtId="2" fontId="0" fillId="0" borderId="19" xfId="0" applyNumberFormat="1" applyBorder="1"/>
    <xf numFmtId="2" fontId="0" fillId="36" borderId="3" xfId="0" applyNumberFormat="1" applyFill="1" applyBorder="1"/>
    <xf numFmtId="0" fontId="0" fillId="37" borderId="0" xfId="0" applyFill="1"/>
    <xf numFmtId="0" fontId="0" fillId="4" borderId="1" xfId="0" applyFill="1" applyBorder="1" applyAlignment="1">
      <alignment horizontal="right"/>
    </xf>
    <xf numFmtId="0" fontId="0" fillId="4" borderId="19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36" borderId="19" xfId="0" applyFill="1" applyBorder="1" applyAlignment="1">
      <alignment horizontal="right"/>
    </xf>
    <xf numFmtId="0" fontId="0" fillId="36" borderId="0" xfId="0" applyFill="1"/>
    <xf numFmtId="0" fontId="0" fillId="36" borderId="19" xfId="0" applyFill="1" applyBorder="1"/>
    <xf numFmtId="0" fontId="0" fillId="40" borderId="1" xfId="0" applyFill="1" applyBorder="1"/>
    <xf numFmtId="2" fontId="0" fillId="40" borderId="1" xfId="0" applyNumberFormat="1" applyFill="1" applyBorder="1"/>
    <xf numFmtId="165" fontId="0" fillId="40" borderId="1" xfId="0" applyNumberFormat="1" applyFill="1" applyBorder="1"/>
    <xf numFmtId="0" fontId="0" fillId="40" borderId="19" xfId="0" applyFill="1" applyBorder="1"/>
    <xf numFmtId="0" fontId="0" fillId="40" borderId="3" xfId="0" applyFill="1" applyBorder="1"/>
    <xf numFmtId="0" fontId="0" fillId="40" borderId="0" xfId="0" applyFill="1"/>
    <xf numFmtId="2" fontId="0" fillId="37" borderId="1" xfId="0" applyNumberFormat="1" applyFill="1" applyBorder="1"/>
    <xf numFmtId="2" fontId="0" fillId="48" borderId="1" xfId="0" applyNumberFormat="1" applyFill="1" applyBorder="1"/>
    <xf numFmtId="165" fontId="0" fillId="48" borderId="1" xfId="0" applyNumberFormat="1" applyFill="1" applyBorder="1"/>
    <xf numFmtId="0" fontId="0" fillId="48" borderId="1" xfId="0" applyFill="1" applyBorder="1"/>
    <xf numFmtId="0" fontId="0" fillId="48" borderId="19" xfId="0" applyFill="1" applyBorder="1"/>
    <xf numFmtId="0" fontId="0" fillId="48" borderId="3" xfId="0" applyFill="1" applyBorder="1"/>
    <xf numFmtId="0" fontId="0" fillId="48" borderId="0" xfId="0" applyFill="1"/>
    <xf numFmtId="2" fontId="0" fillId="38" borderId="1" xfId="0" applyNumberFormat="1" applyFill="1" applyBorder="1"/>
    <xf numFmtId="165" fontId="0" fillId="38" borderId="1" xfId="0" applyNumberFormat="1" applyFill="1" applyBorder="1"/>
    <xf numFmtId="0" fontId="0" fillId="38" borderId="1" xfId="0" applyFill="1" applyBorder="1"/>
    <xf numFmtId="0" fontId="0" fillId="38" borderId="19" xfId="0" applyFill="1" applyBorder="1"/>
    <xf numFmtId="0" fontId="0" fillId="38" borderId="3" xfId="0" applyFill="1" applyBorder="1"/>
    <xf numFmtId="0" fontId="0" fillId="38" borderId="0" xfId="0" applyFill="1"/>
    <xf numFmtId="2" fontId="0" fillId="49" borderId="1" xfId="0" applyNumberFormat="1" applyFill="1" applyBorder="1"/>
    <xf numFmtId="0" fontId="0" fillId="49" borderId="0" xfId="0" applyFill="1"/>
    <xf numFmtId="2" fontId="0" fillId="39" borderId="1" xfId="0" applyNumberFormat="1" applyFill="1" applyBorder="1"/>
    <xf numFmtId="165" fontId="0" fillId="39" borderId="1" xfId="0" applyNumberFormat="1" applyFill="1" applyBorder="1"/>
    <xf numFmtId="0" fontId="0" fillId="39" borderId="19" xfId="0" applyFill="1" applyBorder="1"/>
    <xf numFmtId="0" fontId="0" fillId="39" borderId="3" xfId="0" applyFill="1" applyBorder="1"/>
    <xf numFmtId="0" fontId="0" fillId="39" borderId="0" xfId="0" applyFill="1"/>
    <xf numFmtId="0" fontId="35" fillId="39" borderId="1" xfId="0" applyFont="1" applyFill="1" applyBorder="1" applyAlignment="1">
      <alignment horizontal="center" vertical="top" wrapText="1"/>
    </xf>
    <xf numFmtId="0" fontId="37" fillId="0" borderId="0" xfId="0" applyFont="1" applyAlignment="1">
      <alignment vertical="top"/>
    </xf>
    <xf numFmtId="0" fontId="37" fillId="41" borderId="28" xfId="0" applyFont="1" applyFill="1" applyBorder="1" applyAlignment="1">
      <alignment horizontal="center" vertical="top" wrapText="1"/>
    </xf>
    <xf numFmtId="0" fontId="37" fillId="41" borderId="26" xfId="0" applyFont="1" applyFill="1" applyBorder="1" applyAlignment="1">
      <alignment horizontal="center" vertical="top" wrapText="1"/>
    </xf>
    <xf numFmtId="2" fontId="0" fillId="40" borderId="1" xfId="0" quotePrefix="1" applyNumberForma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top" wrapText="1"/>
    </xf>
    <xf numFmtId="0" fontId="6" fillId="36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 wrapText="1"/>
    </xf>
    <xf numFmtId="0" fontId="6" fillId="40" borderId="1" xfId="0" applyFont="1" applyFill="1" applyBorder="1" applyAlignment="1">
      <alignment horizontal="center" vertical="top" wrapText="1"/>
    </xf>
    <xf numFmtId="0" fontId="6" fillId="37" borderId="1" xfId="0" applyFont="1" applyFill="1" applyBorder="1" applyAlignment="1">
      <alignment horizontal="center" vertical="top" wrapText="1"/>
    </xf>
    <xf numFmtId="0" fontId="6" fillId="48" borderId="1" xfId="0" applyFont="1" applyFill="1" applyBorder="1" applyAlignment="1">
      <alignment horizontal="center" vertical="top" wrapText="1"/>
    </xf>
    <xf numFmtId="0" fontId="6" fillId="38" borderId="1" xfId="0" applyFont="1" applyFill="1" applyBorder="1" applyAlignment="1">
      <alignment horizontal="center" vertical="top" wrapText="1"/>
    </xf>
    <xf numFmtId="0" fontId="6" fillId="49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0" fillId="36" borderId="43" xfId="0" applyFill="1" applyBorder="1" applyAlignment="1">
      <alignment horizontal="center" wrapText="1"/>
    </xf>
    <xf numFmtId="0" fontId="0" fillId="36" borderId="43" xfId="0" applyFill="1" applyBorder="1" applyAlignment="1">
      <alignment horizontal="center"/>
    </xf>
    <xf numFmtId="0" fontId="0" fillId="4" borderId="43" xfId="0" applyFill="1" applyBorder="1" applyAlignment="1">
      <alignment horizontal="center" wrapText="1"/>
    </xf>
    <xf numFmtId="0" fontId="0" fillId="40" borderId="43" xfId="0" applyFill="1" applyBorder="1" applyAlignment="1">
      <alignment horizontal="center" wrapText="1"/>
    </xf>
    <xf numFmtId="0" fontId="0" fillId="37" borderId="43" xfId="0" applyFill="1" applyBorder="1" applyAlignment="1">
      <alignment horizontal="center" wrapText="1"/>
    </xf>
    <xf numFmtId="0" fontId="0" fillId="48" borderId="43" xfId="0" applyFill="1" applyBorder="1" applyAlignment="1">
      <alignment horizontal="center" wrapText="1"/>
    </xf>
    <xf numFmtId="0" fontId="0" fillId="38" borderId="43" xfId="0" applyFill="1" applyBorder="1" applyAlignment="1">
      <alignment horizontal="center" wrapText="1"/>
    </xf>
    <xf numFmtId="0" fontId="0" fillId="49" borderId="43" xfId="0" applyFill="1" applyBorder="1" applyAlignment="1">
      <alignment horizontal="center" wrapText="1"/>
    </xf>
    <xf numFmtId="0" fontId="34" fillId="49" borderId="43" xfId="0" applyFont="1" applyFill="1" applyBorder="1" applyAlignment="1">
      <alignment horizontal="center" wrapText="1"/>
    </xf>
    <xf numFmtId="0" fontId="35" fillId="39" borderId="43" xfId="0" applyFont="1" applyFill="1" applyBorder="1" applyAlignment="1">
      <alignment horizontal="center" wrapText="1"/>
    </xf>
    <xf numFmtId="0" fontId="35" fillId="0" borderId="37" xfId="0" applyFont="1" applyBorder="1" applyAlignment="1">
      <alignment horizontal="center" vertical="top" wrapText="1"/>
    </xf>
    <xf numFmtId="0" fontId="37" fillId="0" borderId="37" xfId="0" applyFont="1" applyBorder="1"/>
    <xf numFmtId="0" fontId="37" fillId="41" borderId="45" xfId="0" applyFont="1" applyFill="1" applyBorder="1" applyAlignment="1">
      <alignment horizontal="center" vertical="center" wrapText="1"/>
    </xf>
    <xf numFmtId="0" fontId="37" fillId="41" borderId="46" xfId="0" applyFont="1" applyFill="1" applyBorder="1" applyAlignment="1">
      <alignment horizontal="center" vertical="center" wrapText="1"/>
    </xf>
    <xf numFmtId="2" fontId="0" fillId="40" borderId="3" xfId="0" applyNumberFormat="1" applyFill="1" applyBorder="1"/>
    <xf numFmtId="2" fontId="0" fillId="37" borderId="3" xfId="0" applyNumberFormat="1" applyFill="1" applyBorder="1"/>
    <xf numFmtId="2" fontId="0" fillId="48" borderId="3" xfId="0" applyNumberFormat="1" applyFill="1" applyBorder="1"/>
    <xf numFmtId="2" fontId="0" fillId="38" borderId="3" xfId="0" applyNumberFormat="1" applyFill="1" applyBorder="1"/>
    <xf numFmtId="2" fontId="0" fillId="49" borderId="3" xfId="0" applyNumberFormat="1" applyFill="1" applyBorder="1"/>
    <xf numFmtId="2" fontId="0" fillId="39" borderId="3" xfId="0" applyNumberFormat="1" applyFill="1" applyBorder="1"/>
    <xf numFmtId="0" fontId="0" fillId="39" borderId="3" xfId="0" applyFill="1" applyBorder="1" applyAlignment="1">
      <alignment wrapText="1"/>
    </xf>
    <xf numFmtId="0" fontId="45" fillId="2" borderId="23" xfId="0" applyFont="1" applyFill="1" applyBorder="1" applyAlignment="1">
      <alignment horizontal="center" vertical="top" wrapText="1"/>
    </xf>
    <xf numFmtId="0" fontId="37" fillId="3" borderId="47" xfId="0" applyFont="1" applyFill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 wrapText="1"/>
    </xf>
    <xf numFmtId="2" fontId="0" fillId="49" borderId="19" xfId="0" applyNumberFormat="1" applyFill="1" applyBorder="1"/>
    <xf numFmtId="0" fontId="0" fillId="2" borderId="1" xfId="0" applyFill="1" applyBorder="1"/>
    <xf numFmtId="0" fontId="6" fillId="40" borderId="1" xfId="0" applyFont="1" applyFill="1" applyBorder="1"/>
    <xf numFmtId="0" fontId="29" fillId="39" borderId="2" xfId="0" applyFont="1" applyFill="1" applyBorder="1"/>
    <xf numFmtId="0" fontId="29" fillId="45" borderId="1" xfId="0" applyFont="1" applyFill="1" applyBorder="1"/>
    <xf numFmtId="0" fontId="29" fillId="48" borderId="1" xfId="0" applyFont="1" applyFill="1" applyBorder="1"/>
    <xf numFmtId="0" fontId="29" fillId="52" borderId="1" xfId="0" applyFont="1" applyFill="1" applyBorder="1"/>
    <xf numFmtId="0" fontId="6" fillId="36" borderId="1" xfId="0" applyFont="1" applyFill="1" applyBorder="1" applyAlignment="1">
      <alignment horizontal="left" vertical="center"/>
    </xf>
    <xf numFmtId="0" fontId="6" fillId="36" borderId="1" xfId="0" applyFont="1" applyFill="1" applyBorder="1" applyAlignment="1">
      <alignment horizontal="left" vertical="top" wrapText="1"/>
    </xf>
    <xf numFmtId="0" fontId="0" fillId="36" borderId="43" xfId="0" applyFill="1" applyBorder="1" applyAlignment="1">
      <alignment horizontal="left" wrapText="1"/>
    </xf>
    <xf numFmtId="0" fontId="0" fillId="36" borderId="19" xfId="0" applyFill="1" applyBorder="1" applyAlignment="1">
      <alignment horizontal="left"/>
    </xf>
    <xf numFmtId="0" fontId="0" fillId="36" borderId="0" xfId="0" applyFill="1" applyAlignment="1">
      <alignment horizontal="left"/>
    </xf>
    <xf numFmtId="0" fontId="47" fillId="3" borderId="0" xfId="0" applyFont="1" applyFill="1"/>
    <xf numFmtId="0" fontId="48" fillId="3" borderId="0" xfId="0" applyFont="1" applyFill="1" applyAlignment="1">
      <alignment wrapText="1"/>
    </xf>
    <xf numFmtId="0" fontId="48" fillId="0" borderId="0" xfId="0" applyFont="1" applyAlignment="1">
      <alignment wrapText="1"/>
    </xf>
    <xf numFmtId="0" fontId="47" fillId="3" borderId="0" xfId="0" applyFont="1" applyFill="1" applyAlignment="1">
      <alignment horizontal="center" vertical="center" wrapText="1"/>
    </xf>
    <xf numFmtId="0" fontId="40" fillId="3" borderId="0" xfId="0" applyFont="1" applyFill="1"/>
    <xf numFmtId="0" fontId="0" fillId="0" borderId="40" xfId="0" applyBorder="1"/>
    <xf numFmtId="0" fontId="6" fillId="2" borderId="2" xfId="0" applyFont="1" applyFill="1" applyBorder="1"/>
    <xf numFmtId="0" fontId="6" fillId="2" borderId="1" xfId="0" applyFont="1" applyFill="1" applyBorder="1"/>
    <xf numFmtId="0" fontId="0" fillId="2" borderId="40" xfId="0" applyFill="1" applyBorder="1"/>
    <xf numFmtId="0" fontId="6" fillId="3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6" fillId="37" borderId="40" xfId="0" applyFont="1" applyFill="1" applyBorder="1" applyAlignment="1">
      <alignment horizontal="center"/>
    </xf>
    <xf numFmtId="0" fontId="6" fillId="40" borderId="2" xfId="0" applyFont="1" applyFill="1" applyBorder="1"/>
    <xf numFmtId="0" fontId="6" fillId="40" borderId="41" xfId="0" applyFont="1" applyFill="1" applyBorder="1"/>
    <xf numFmtId="0" fontId="0" fillId="40" borderId="43" xfId="0" applyFill="1" applyBorder="1"/>
    <xf numFmtId="0" fontId="0" fillId="0" borderId="43" xfId="0" applyBorder="1"/>
    <xf numFmtId="0" fontId="6" fillId="2" borderId="43" xfId="0" applyFont="1" applyFill="1" applyBorder="1"/>
    <xf numFmtId="0" fontId="0" fillId="2" borderId="43" xfId="0" applyFill="1" applyBorder="1"/>
    <xf numFmtId="0" fontId="6" fillId="40" borderId="43" xfId="0" applyFont="1" applyFill="1" applyBorder="1"/>
    <xf numFmtId="0" fontId="0" fillId="2" borderId="50" xfId="0" applyFill="1" applyBorder="1"/>
    <xf numFmtId="0" fontId="0" fillId="53" borderId="1" xfId="0" applyFill="1" applyBorder="1"/>
    <xf numFmtId="0" fontId="29" fillId="36" borderId="1" xfId="0" applyFont="1" applyFill="1" applyBorder="1"/>
    <xf numFmtId="0" fontId="29" fillId="54" borderId="1" xfId="0" applyFont="1" applyFill="1" applyBorder="1"/>
    <xf numFmtId="0" fontId="29" fillId="39" borderId="40" xfId="0" applyFont="1" applyFill="1" applyBorder="1"/>
    <xf numFmtId="0" fontId="29" fillId="43" borderId="40" xfId="0" applyFont="1" applyFill="1" applyBorder="1"/>
    <xf numFmtId="0" fontId="29" fillId="43" borderId="2" xfId="0" applyFont="1" applyFill="1" applyBorder="1"/>
    <xf numFmtId="0" fontId="29" fillId="43" borderId="41" xfId="0" applyFont="1" applyFill="1" applyBorder="1"/>
    <xf numFmtId="0" fontId="29" fillId="43" borderId="43" xfId="0" applyFont="1" applyFill="1" applyBorder="1"/>
    <xf numFmtId="0" fontId="29" fillId="43" borderId="50" xfId="0" applyFont="1" applyFill="1" applyBorder="1"/>
    <xf numFmtId="0" fontId="29" fillId="0" borderId="2" xfId="0" applyFont="1" applyBorder="1"/>
    <xf numFmtId="0" fontId="29" fillId="0" borderId="40" xfId="0" applyFont="1" applyBorder="1"/>
    <xf numFmtId="0" fontId="29" fillId="54" borderId="2" xfId="0" applyFont="1" applyFill="1" applyBorder="1"/>
    <xf numFmtId="0" fontId="29" fillId="54" borderId="40" xfId="0" applyFont="1" applyFill="1" applyBorder="1"/>
    <xf numFmtId="0" fontId="29" fillId="54" borderId="41" xfId="0" applyFont="1" applyFill="1" applyBorder="1"/>
    <xf numFmtId="0" fontId="29" fillId="54" borderId="43" xfId="0" applyFont="1" applyFill="1" applyBorder="1"/>
    <xf numFmtId="0" fontId="29" fillId="54" borderId="50" xfId="0" applyFont="1" applyFill="1" applyBorder="1"/>
    <xf numFmtId="0" fontId="29" fillId="52" borderId="42" xfId="0" applyFont="1" applyFill="1" applyBorder="1"/>
    <xf numFmtId="0" fontId="29" fillId="52" borderId="49" xfId="0" applyFont="1" applyFill="1" applyBorder="1"/>
    <xf numFmtId="0" fontId="29" fillId="52" borderId="40" xfId="0" applyFont="1" applyFill="1" applyBorder="1"/>
    <xf numFmtId="0" fontId="29" fillId="45" borderId="2" xfId="0" applyFont="1" applyFill="1" applyBorder="1"/>
    <xf numFmtId="0" fontId="29" fillId="45" borderId="40" xfId="0" applyFont="1" applyFill="1" applyBorder="1"/>
    <xf numFmtId="0" fontId="29" fillId="45" borderId="41" xfId="0" applyFont="1" applyFill="1" applyBorder="1"/>
    <xf numFmtId="0" fontId="29" fillId="45" borderId="43" xfId="0" applyFont="1" applyFill="1" applyBorder="1"/>
    <xf numFmtId="0" fontId="29" fillId="45" borderId="50" xfId="0" applyFont="1" applyFill="1" applyBorder="1"/>
    <xf numFmtId="0" fontId="29" fillId="36" borderId="39" xfId="0" applyFont="1" applyFill="1" applyBorder="1"/>
    <xf numFmtId="0" fontId="29" fillId="36" borderId="42" xfId="0" applyFont="1" applyFill="1" applyBorder="1"/>
    <xf numFmtId="0" fontId="29" fillId="36" borderId="49" xfId="0" applyFont="1" applyFill="1" applyBorder="1"/>
    <xf numFmtId="0" fontId="29" fillId="36" borderId="2" xfId="0" applyFont="1" applyFill="1" applyBorder="1"/>
    <xf numFmtId="0" fontId="29" fillId="36" borderId="40" xfId="0" applyFont="1" applyFill="1" applyBorder="1"/>
    <xf numFmtId="0" fontId="29" fillId="48" borderId="2" xfId="0" applyFont="1" applyFill="1" applyBorder="1"/>
    <xf numFmtId="0" fontId="29" fillId="48" borderId="40" xfId="0" applyFont="1" applyFill="1" applyBorder="1"/>
    <xf numFmtId="0" fontId="29" fillId="48" borderId="41" xfId="0" applyFont="1" applyFill="1" applyBorder="1"/>
    <xf numFmtId="0" fontId="29" fillId="48" borderId="43" xfId="0" applyFont="1" applyFill="1" applyBorder="1"/>
    <xf numFmtId="0" fontId="29" fillId="48" borderId="50" xfId="0" applyFont="1" applyFill="1" applyBorder="1"/>
    <xf numFmtId="0" fontId="5" fillId="0" borderId="19" xfId="0" applyFont="1" applyBorder="1" applyAlignment="1">
      <alignment horizontal="center" vertical="center" wrapText="1"/>
    </xf>
    <xf numFmtId="0" fontId="4" fillId="44" borderId="39" xfId="0" applyFont="1" applyFill="1" applyBorder="1" applyAlignment="1">
      <alignment horizontal="center" vertical="center" wrapText="1"/>
    </xf>
    <xf numFmtId="0" fontId="0" fillId="48" borderId="42" xfId="0" applyFill="1" applyBorder="1"/>
    <xf numFmtId="0" fontId="4" fillId="44" borderId="2" xfId="0" applyFont="1" applyFill="1" applyBorder="1" applyAlignment="1">
      <alignment horizontal="center" vertical="center" wrapText="1"/>
    </xf>
    <xf numFmtId="0" fontId="4" fillId="44" borderId="41" xfId="0" applyFont="1" applyFill="1" applyBorder="1" applyAlignment="1">
      <alignment horizontal="center" vertical="center" wrapText="1"/>
    </xf>
    <xf numFmtId="0" fontId="0" fillId="48" borderId="43" xfId="0" applyFill="1" applyBorder="1"/>
    <xf numFmtId="0" fontId="4" fillId="53" borderId="39" xfId="0" applyFont="1" applyFill="1" applyBorder="1" applyAlignment="1">
      <alignment horizontal="center" vertical="center" wrapText="1"/>
    </xf>
    <xf numFmtId="0" fontId="0" fillId="53" borderId="42" xfId="0" applyFill="1" applyBorder="1"/>
    <xf numFmtId="0" fontId="4" fillId="53" borderId="2" xfId="0" applyFont="1" applyFill="1" applyBorder="1" applyAlignment="1">
      <alignment horizontal="center" vertical="center" wrapText="1"/>
    </xf>
    <xf numFmtId="0" fontId="4" fillId="53" borderId="41" xfId="0" applyFont="1" applyFill="1" applyBorder="1" applyAlignment="1">
      <alignment horizontal="center" vertical="center" wrapText="1"/>
    </xf>
    <xf numFmtId="0" fontId="0" fillId="53" borderId="43" xfId="0" applyFill="1" applyBorder="1"/>
    <xf numFmtId="0" fontId="5" fillId="0" borderId="14" xfId="0" applyFont="1" applyBorder="1" applyAlignment="1">
      <alignment horizontal="center" vertical="center" wrapText="1"/>
    </xf>
    <xf numFmtId="0" fontId="4" fillId="40" borderId="39" xfId="0" applyFont="1" applyFill="1" applyBorder="1" applyAlignment="1">
      <alignment horizontal="center" vertical="center" wrapText="1"/>
    </xf>
    <xf numFmtId="0" fontId="4" fillId="40" borderId="42" xfId="0" applyFont="1" applyFill="1" applyBorder="1" applyAlignment="1">
      <alignment horizontal="center" vertical="center" wrapText="1"/>
    </xf>
    <xf numFmtId="0" fontId="4" fillId="40" borderId="49" xfId="0" applyFont="1" applyFill="1" applyBorder="1" applyAlignment="1">
      <alignment horizontal="center" vertical="center" wrapText="1"/>
    </xf>
    <xf numFmtId="0" fontId="0" fillId="37" borderId="41" xfId="0" applyFill="1" applyBorder="1"/>
    <xf numFmtId="0" fontId="0" fillId="37" borderId="43" xfId="0" applyFill="1" applyBorder="1"/>
    <xf numFmtId="0" fontId="0" fillId="37" borderId="50" xfId="0" applyFill="1" applyBorder="1"/>
    <xf numFmtId="0" fontId="4" fillId="51" borderId="39" xfId="0" applyFont="1" applyFill="1" applyBorder="1" applyAlignment="1">
      <alignment horizontal="center" vertical="center" wrapText="1"/>
    </xf>
    <xf numFmtId="0" fontId="4" fillId="51" borderId="42" xfId="0" applyFont="1" applyFill="1" applyBorder="1" applyAlignment="1">
      <alignment horizontal="center" vertical="center" wrapText="1"/>
    </xf>
    <xf numFmtId="0" fontId="4" fillId="51" borderId="49" xfId="0" applyFont="1" applyFill="1" applyBorder="1" applyAlignment="1">
      <alignment horizontal="center" vertical="center" wrapText="1"/>
    </xf>
    <xf numFmtId="0" fontId="0" fillId="50" borderId="41" xfId="0" applyFill="1" applyBorder="1"/>
    <xf numFmtId="0" fontId="0" fillId="50" borderId="43" xfId="0" applyFill="1" applyBorder="1"/>
    <xf numFmtId="0" fontId="0" fillId="50" borderId="50" xfId="0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49" fillId="42" borderId="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wrapText="1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 wrapText="1"/>
    </xf>
    <xf numFmtId="0" fontId="0" fillId="41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/>
    <xf numFmtId="0" fontId="51" fillId="6" borderId="39" xfId="109" applyFont="1" applyBorder="1" applyAlignment="1"/>
    <xf numFmtId="0" fontId="51" fillId="6" borderId="49" xfId="109" applyFont="1" applyBorder="1" applyAlignment="1"/>
    <xf numFmtId="0" fontId="51" fillId="6" borderId="41" xfId="109" applyFont="1" applyBorder="1" applyAlignment="1"/>
    <xf numFmtId="0" fontId="51" fillId="6" borderId="50" xfId="109" applyFont="1" applyBorder="1" applyAlignment="1"/>
    <xf numFmtId="0" fontId="42" fillId="3" borderId="0" xfId="0" applyFont="1" applyFill="1" applyAlignment="1">
      <alignment wrapText="1"/>
    </xf>
    <xf numFmtId="0" fontId="44" fillId="0" borderId="0" xfId="0" applyFont="1" applyAlignment="1">
      <alignment wrapText="1"/>
    </xf>
    <xf numFmtId="0" fontId="44" fillId="3" borderId="0" xfId="0" applyFont="1" applyFill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38" fillId="0" borderId="59" xfId="0" applyFont="1" applyBorder="1" applyAlignment="1">
      <alignment horizontal="center" wrapText="1"/>
    </xf>
    <xf numFmtId="0" fontId="38" fillId="0" borderId="60" xfId="0" applyFont="1" applyBorder="1" applyAlignment="1">
      <alignment vertical="center" wrapText="1"/>
    </xf>
    <xf numFmtId="0" fontId="42" fillId="0" borderId="56" xfId="0" applyFont="1" applyBorder="1" applyAlignment="1">
      <alignment wrapText="1"/>
    </xf>
    <xf numFmtId="0" fontId="42" fillId="0" borderId="16" xfId="0" applyFont="1" applyBorder="1" applyAlignment="1">
      <alignment wrapText="1"/>
    </xf>
    <xf numFmtId="0" fontId="42" fillId="0" borderId="56" xfId="0" applyFont="1" applyBorder="1" applyAlignment="1">
      <alignment horizontal="center" wrapText="1"/>
    </xf>
    <xf numFmtId="0" fontId="42" fillId="0" borderId="3" xfId="0" applyFont="1" applyBorder="1" applyAlignment="1">
      <alignment wrapText="1"/>
    </xf>
    <xf numFmtId="0" fontId="42" fillId="0" borderId="3" xfId="0" applyFont="1" applyBorder="1" applyAlignment="1">
      <alignment horizontal="right" wrapText="1"/>
    </xf>
    <xf numFmtId="0" fontId="42" fillId="40" borderId="3" xfId="0" applyFont="1" applyFill="1" applyBorder="1" applyAlignment="1">
      <alignment horizontal="center" vertical="center" wrapText="1"/>
    </xf>
    <xf numFmtId="17" fontId="42" fillId="40" borderId="3" xfId="0" quotePrefix="1" applyNumberFormat="1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wrapText="1"/>
    </xf>
    <xf numFmtId="0" fontId="42" fillId="0" borderId="39" xfId="0" applyFont="1" applyBorder="1" applyAlignment="1">
      <alignment wrapText="1"/>
    </xf>
    <xf numFmtId="0" fontId="42" fillId="0" borderId="42" xfId="0" applyFont="1" applyBorder="1" applyAlignment="1">
      <alignment wrapText="1"/>
    </xf>
    <xf numFmtId="0" fontId="42" fillId="0" borderId="42" xfId="0" applyFont="1" applyBorder="1" applyAlignment="1">
      <alignment horizontal="center" wrapText="1"/>
    </xf>
    <xf numFmtId="0" fontId="42" fillId="0" borderId="42" xfId="0" applyFont="1" applyBorder="1" applyAlignment="1">
      <alignment horizontal="right" wrapText="1"/>
    </xf>
    <xf numFmtId="0" fontId="42" fillId="40" borderId="42" xfId="0" applyFont="1" applyFill="1" applyBorder="1" applyAlignment="1">
      <alignment horizontal="center" vertical="center" wrapText="1"/>
    </xf>
    <xf numFmtId="0" fontId="53" fillId="3" borderId="49" xfId="0" applyFont="1" applyFill="1" applyBorder="1" applyAlignment="1">
      <alignment wrapText="1"/>
    </xf>
    <xf numFmtId="0" fontId="42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0" fillId="3" borderId="1" xfId="0" applyNumberFormat="1" applyFill="1" applyBorder="1"/>
    <xf numFmtId="0" fontId="42" fillId="0" borderId="15" xfId="0" applyFont="1" applyBorder="1" applyAlignment="1">
      <alignment horizontal="center" wrapText="1"/>
    </xf>
    <xf numFmtId="0" fontId="54" fillId="0" borderId="15" xfId="0" applyFont="1" applyBorder="1" applyAlignment="1">
      <alignment vertical="center" wrapText="1"/>
    </xf>
    <xf numFmtId="0" fontId="6" fillId="0" borderId="42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6" fillId="40" borderId="59" xfId="0" applyFont="1" applyFill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6" fillId="40" borderId="43" xfId="0" applyFont="1" applyFill="1" applyBorder="1" applyAlignment="1">
      <alignment horizontal="center" vertical="center"/>
    </xf>
    <xf numFmtId="0" fontId="6" fillId="40" borderId="63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right" vertical="center" wrapText="1"/>
    </xf>
    <xf numFmtId="0" fontId="6" fillId="0" borderId="43" xfId="0" applyFont="1" applyBorder="1" applyAlignment="1">
      <alignment vertical="center"/>
    </xf>
    <xf numFmtId="0" fontId="6" fillId="0" borderId="59" xfId="0" applyFont="1" applyBorder="1" applyAlignment="1">
      <alignment horizontal="right" vertical="center" wrapText="1"/>
    </xf>
    <xf numFmtId="0" fontId="54" fillId="0" borderId="1" xfId="0" applyFont="1" applyBorder="1" applyAlignment="1">
      <alignment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54" fillId="0" borderId="1" xfId="0" applyFont="1" applyBorder="1" applyAlignment="1">
      <alignment horizontal="center" wrapText="1"/>
    </xf>
    <xf numFmtId="0" fontId="54" fillId="0" borderId="1" xfId="0" quotePrefix="1" applyFont="1" applyBorder="1" applyAlignment="1">
      <alignment horizontal="center" wrapText="1"/>
    </xf>
    <xf numFmtId="0" fontId="29" fillId="48" borderId="49" xfId="0" applyFont="1" applyFill="1" applyBorder="1"/>
    <xf numFmtId="0" fontId="29" fillId="53" borderId="49" xfId="0" applyFont="1" applyFill="1" applyBorder="1"/>
    <xf numFmtId="0" fontId="29" fillId="53" borderId="40" xfId="0" applyFont="1" applyFill="1" applyBorder="1"/>
    <xf numFmtId="0" fontId="29" fillId="53" borderId="50" xfId="0" applyFont="1" applyFill="1" applyBorder="1"/>
    <xf numFmtId="164" fontId="29" fillId="39" borderId="1" xfId="44" applyFont="1" applyFill="1" applyBorder="1">
      <alignment vertical="center"/>
    </xf>
    <xf numFmtId="164" fontId="29" fillId="39" borderId="40" xfId="44" applyFont="1" applyFill="1" applyBorder="1">
      <alignment vertical="center"/>
    </xf>
    <xf numFmtId="0" fontId="29" fillId="43" borderId="2" xfId="0" applyFont="1" applyFill="1" applyBorder="1" applyAlignment="1">
      <alignment vertical="center"/>
    </xf>
    <xf numFmtId="0" fontId="29" fillId="43" borderId="1" xfId="0" applyFont="1" applyFill="1" applyBorder="1" applyAlignment="1">
      <alignment vertical="center"/>
    </xf>
    <xf numFmtId="0" fontId="29" fillId="43" borderId="40" xfId="0" applyFont="1" applyFill="1" applyBorder="1" applyAlignment="1">
      <alignment vertical="center"/>
    </xf>
    <xf numFmtId="164" fontId="29" fillId="43" borderId="1" xfId="44" applyFont="1" applyFill="1" applyBorder="1">
      <alignment vertical="center"/>
    </xf>
    <xf numFmtId="0" fontId="0" fillId="45" borderId="1" xfId="0" applyFill="1" applyBorder="1"/>
    <xf numFmtId="0" fontId="6" fillId="45" borderId="1" xfId="0" applyFont="1" applyFill="1" applyBorder="1"/>
    <xf numFmtId="0" fontId="5" fillId="45" borderId="1" xfId="0" applyFont="1" applyFill="1" applyBorder="1" applyAlignment="1">
      <alignment horizontal="center" vertical="center" wrapText="1"/>
    </xf>
    <xf numFmtId="0" fontId="49" fillId="45" borderId="1" xfId="0" applyFont="1" applyFill="1" applyBorder="1" applyAlignment="1">
      <alignment horizontal="center" vertical="center" wrapText="1"/>
    </xf>
    <xf numFmtId="0" fontId="6" fillId="36" borderId="1" xfId="0" applyFont="1" applyFill="1" applyBorder="1"/>
    <xf numFmtId="0" fontId="5" fillId="36" borderId="1" xfId="0" applyFont="1" applyFill="1" applyBorder="1" applyAlignment="1">
      <alignment horizontal="center" vertical="center" wrapText="1"/>
    </xf>
    <xf numFmtId="0" fontId="49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49" fillId="42" borderId="1" xfId="0" applyFont="1" applyFill="1" applyBorder="1" applyAlignment="1">
      <alignment horizontal="center" vertical="center"/>
    </xf>
    <xf numFmtId="0" fontId="0" fillId="3" borderId="22" xfId="0" applyFill="1" applyBorder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41" borderId="1" xfId="0" applyFont="1" applyFill="1" applyBorder="1" applyAlignment="1">
      <alignment horizontal="left" vertical="top" wrapText="1"/>
    </xf>
    <xf numFmtId="0" fontId="35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40" borderId="75" xfId="0" applyFill="1" applyBorder="1"/>
    <xf numFmtId="0" fontId="0" fillId="40" borderId="76" xfId="0" applyFill="1" applyBorder="1"/>
    <xf numFmtId="0" fontId="0" fillId="0" borderId="77" xfId="0" applyBorder="1"/>
    <xf numFmtId="0" fontId="59" fillId="0" borderId="0" xfId="0" applyFont="1"/>
    <xf numFmtId="0" fontId="59" fillId="0" borderId="78" xfId="0" applyFont="1" applyBorder="1"/>
    <xf numFmtId="0" fontId="59" fillId="0" borderId="79" xfId="0" applyFont="1" applyBorder="1"/>
    <xf numFmtId="0" fontId="59" fillId="0" borderId="80" xfId="0" applyFont="1" applyBorder="1"/>
    <xf numFmtId="0" fontId="59" fillId="0" borderId="81" xfId="0" applyFont="1" applyBorder="1" applyAlignment="1">
      <alignment horizontal="left"/>
    </xf>
    <xf numFmtId="0" fontId="59" fillId="0" borderId="79" xfId="0" applyFont="1" applyBorder="1" applyAlignment="1">
      <alignment horizontal="left"/>
    </xf>
    <xf numFmtId="0" fontId="59" fillId="3" borderId="78" xfId="0" applyFont="1" applyFill="1" applyBorder="1"/>
    <xf numFmtId="1" fontId="59" fillId="3" borderId="79" xfId="0" applyNumberFormat="1" applyFont="1" applyFill="1" applyBorder="1"/>
    <xf numFmtId="165" fontId="59" fillId="3" borderId="79" xfId="0" applyNumberFormat="1" applyFont="1" applyFill="1" applyBorder="1"/>
    <xf numFmtId="0" fontId="59" fillId="0" borderId="82" xfId="0" applyFont="1" applyBorder="1" applyAlignment="1">
      <alignment horizontal="left"/>
    </xf>
    <xf numFmtId="0" fontId="59" fillId="0" borderId="83" xfId="0" applyFont="1" applyBorder="1"/>
    <xf numFmtId="0" fontId="59" fillId="0" borderId="1" xfId="0" applyFont="1" applyBorder="1"/>
    <xf numFmtId="0" fontId="59" fillId="0" borderId="14" xfId="0" applyFont="1" applyBorder="1"/>
    <xf numFmtId="0" fontId="59" fillId="0" borderId="18" xfId="0" applyFont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59" fillId="3" borderId="83" xfId="0" applyFont="1" applyFill="1" applyBorder="1"/>
    <xf numFmtId="1" fontId="59" fillId="3" borderId="1" xfId="0" applyNumberFormat="1" applyFont="1" applyFill="1" applyBorder="1"/>
    <xf numFmtId="165" fontId="59" fillId="3" borderId="1" xfId="0" applyNumberFormat="1" applyFont="1" applyFill="1" applyBorder="1"/>
    <xf numFmtId="0" fontId="59" fillId="0" borderId="84" xfId="0" applyFont="1" applyBorder="1" applyAlignment="1">
      <alignment horizontal="left"/>
    </xf>
    <xf numFmtId="0" fontId="59" fillId="36" borderId="83" xfId="0" applyFont="1" applyFill="1" applyBorder="1"/>
    <xf numFmtId="1" fontId="59" fillId="36" borderId="1" xfId="0" applyNumberFormat="1" applyFont="1" applyFill="1" applyBorder="1"/>
    <xf numFmtId="165" fontId="59" fillId="36" borderId="1" xfId="0" applyNumberFormat="1" applyFont="1" applyFill="1" applyBorder="1"/>
    <xf numFmtId="0" fontId="59" fillId="36" borderId="1" xfId="0" applyFont="1" applyFill="1" applyBorder="1"/>
    <xf numFmtId="0" fontId="59" fillId="36" borderId="18" xfId="0" applyFont="1" applyFill="1" applyBorder="1" applyAlignment="1">
      <alignment horizontal="left"/>
    </xf>
    <xf numFmtId="0" fontId="59" fillId="36" borderId="1" xfId="0" applyFont="1" applyFill="1" applyBorder="1" applyAlignment="1">
      <alignment horizontal="left"/>
    </xf>
    <xf numFmtId="0" fontId="59" fillId="36" borderId="84" xfId="0" applyFont="1" applyFill="1" applyBorder="1" applyAlignment="1">
      <alignment horizontal="left"/>
    </xf>
    <xf numFmtId="0" fontId="59" fillId="0" borderId="85" xfId="0" applyFont="1" applyBorder="1"/>
    <xf numFmtId="0" fontId="59" fillId="0" borderId="3" xfId="0" applyFont="1" applyBorder="1"/>
    <xf numFmtId="0" fontId="59" fillId="0" borderId="15" xfId="0" applyFont="1" applyBorder="1"/>
    <xf numFmtId="0" fontId="59" fillId="0" borderId="23" xfId="0" applyFont="1" applyBorder="1" applyAlignment="1">
      <alignment horizontal="left"/>
    </xf>
    <xf numFmtId="0" fontId="59" fillId="0" borderId="3" xfId="0" applyFont="1" applyBorder="1" applyAlignment="1">
      <alignment horizontal="left"/>
    </xf>
    <xf numFmtId="0" fontId="59" fillId="3" borderId="85" xfId="0" applyFont="1" applyFill="1" applyBorder="1"/>
    <xf numFmtId="1" fontId="59" fillId="3" borderId="3" xfId="0" applyNumberFormat="1" applyFont="1" applyFill="1" applyBorder="1"/>
    <xf numFmtId="165" fontId="59" fillId="3" borderId="3" xfId="0" applyNumberFormat="1" applyFont="1" applyFill="1" applyBorder="1"/>
    <xf numFmtId="0" fontId="59" fillId="0" borderId="86" xfId="0" applyFont="1" applyBorder="1" applyAlignment="1">
      <alignment horizontal="left"/>
    </xf>
    <xf numFmtId="0" fontId="59" fillId="36" borderId="87" xfId="0" applyFont="1" applyFill="1" applyBorder="1"/>
    <xf numFmtId="0" fontId="59" fillId="36" borderId="43" xfId="0" applyFont="1" applyFill="1" applyBorder="1"/>
    <xf numFmtId="0" fontId="59" fillId="36" borderId="63" xfId="0" applyFont="1" applyFill="1" applyBorder="1"/>
    <xf numFmtId="0" fontId="59" fillId="36" borderId="88" xfId="0" applyFont="1" applyFill="1" applyBorder="1" applyAlignment="1">
      <alignment horizontal="left"/>
    </xf>
    <xf numFmtId="0" fontId="59" fillId="36" borderId="43" xfId="0" applyFont="1" applyFill="1" applyBorder="1" applyAlignment="1">
      <alignment horizontal="left"/>
    </xf>
    <xf numFmtId="1" fontId="59" fillId="36" borderId="43" xfId="0" applyNumberFormat="1" applyFont="1" applyFill="1" applyBorder="1"/>
    <xf numFmtId="165" fontId="59" fillId="36" borderId="43" xfId="0" applyNumberFormat="1" applyFont="1" applyFill="1" applyBorder="1"/>
    <xf numFmtId="0" fontId="59" fillId="36" borderId="89" xfId="0" applyFont="1" applyFill="1" applyBorder="1" applyAlignment="1">
      <alignment horizontal="left"/>
    </xf>
    <xf numFmtId="0" fontId="59" fillId="36" borderId="14" xfId="0" applyFont="1" applyFill="1" applyBorder="1"/>
    <xf numFmtId="0" fontId="59" fillId="3" borderId="1" xfId="0" applyFont="1" applyFill="1" applyBorder="1"/>
    <xf numFmtId="0" fontId="59" fillId="3" borderId="18" xfId="0" applyFont="1" applyFill="1" applyBorder="1" applyAlignment="1">
      <alignment horizontal="left"/>
    </xf>
    <xf numFmtId="0" fontId="59" fillId="3" borderId="1" xfId="0" applyFont="1" applyFill="1" applyBorder="1" applyAlignment="1">
      <alignment horizontal="left"/>
    </xf>
    <xf numFmtId="0" fontId="59" fillId="3" borderId="84" xfId="0" applyFont="1" applyFill="1" applyBorder="1" applyAlignment="1">
      <alignment horizontal="left"/>
    </xf>
    <xf numFmtId="0" fontId="59" fillId="36" borderId="90" xfId="0" applyFont="1" applyFill="1" applyBorder="1"/>
    <xf numFmtId="0" fontId="59" fillId="36" borderId="42" xfId="0" applyFont="1" applyFill="1" applyBorder="1"/>
    <xf numFmtId="0" fontId="59" fillId="36" borderId="65" xfId="0" applyFont="1" applyFill="1" applyBorder="1"/>
    <xf numFmtId="0" fontId="59" fillId="36" borderId="23" xfId="0" applyFont="1" applyFill="1" applyBorder="1" applyAlignment="1">
      <alignment horizontal="left"/>
    </xf>
    <xf numFmtId="0" fontId="59" fillId="36" borderId="3" xfId="0" applyFont="1" applyFill="1" applyBorder="1" applyAlignment="1">
      <alignment horizontal="left"/>
    </xf>
    <xf numFmtId="0" fontId="59" fillId="36" borderId="85" xfId="0" applyFont="1" applyFill="1" applyBorder="1"/>
    <xf numFmtId="0" fontId="59" fillId="36" borderId="3" xfId="0" applyFont="1" applyFill="1" applyBorder="1"/>
    <xf numFmtId="1" fontId="59" fillId="36" borderId="3" xfId="0" applyNumberFormat="1" applyFont="1" applyFill="1" applyBorder="1"/>
    <xf numFmtId="165" fontId="59" fillId="36" borderId="3" xfId="0" applyNumberFormat="1" applyFont="1" applyFill="1" applyBorder="1"/>
    <xf numFmtId="0" fontId="59" fillId="36" borderId="86" xfId="0" applyFont="1" applyFill="1" applyBorder="1" applyAlignment="1">
      <alignment horizontal="left"/>
    </xf>
    <xf numFmtId="0" fontId="59" fillId="0" borderId="87" xfId="0" applyFont="1" applyBorder="1"/>
    <xf numFmtId="0" fontId="59" fillId="0" borderId="43" xfId="0" applyFont="1" applyBorder="1"/>
    <xf numFmtId="0" fontId="59" fillId="0" borderId="63" xfId="0" applyFont="1" applyBorder="1"/>
    <xf numFmtId="0" fontId="59" fillId="0" borderId="88" xfId="0" applyFont="1" applyBorder="1" applyAlignment="1">
      <alignment horizontal="left"/>
    </xf>
    <xf numFmtId="0" fontId="59" fillId="0" borderId="43" xfId="0" applyFont="1" applyBorder="1" applyAlignment="1">
      <alignment horizontal="left"/>
    </xf>
    <xf numFmtId="0" fontId="59" fillId="3" borderId="87" xfId="0" applyFont="1" applyFill="1" applyBorder="1"/>
    <xf numFmtId="1" fontId="59" fillId="3" borderId="43" xfId="0" applyNumberFormat="1" applyFont="1" applyFill="1" applyBorder="1"/>
    <xf numFmtId="165" fontId="59" fillId="3" borderId="43" xfId="0" applyNumberFormat="1" applyFont="1" applyFill="1" applyBorder="1"/>
    <xf numFmtId="0" fontId="59" fillId="0" borderId="89" xfId="0" applyFont="1" applyBorder="1" applyAlignment="1">
      <alignment horizontal="left"/>
    </xf>
    <xf numFmtId="0" fontId="59" fillId="0" borderId="90" xfId="0" applyFont="1" applyBorder="1"/>
    <xf numFmtId="0" fontId="59" fillId="0" borderId="42" xfId="0" applyFont="1" applyBorder="1"/>
    <xf numFmtId="0" fontId="59" fillId="0" borderId="65" xfId="0" applyFont="1" applyBorder="1"/>
    <xf numFmtId="0" fontId="60" fillId="0" borderId="43" xfId="0" applyFont="1" applyBorder="1" applyAlignment="1">
      <alignment horizontal="left"/>
    </xf>
    <xf numFmtId="0" fontId="59" fillId="3" borderId="43" xfId="0" applyFont="1" applyFill="1" applyBorder="1"/>
    <xf numFmtId="0" fontId="59" fillId="3" borderId="88" xfId="0" applyFont="1" applyFill="1" applyBorder="1" applyAlignment="1">
      <alignment horizontal="left"/>
    </xf>
    <xf numFmtId="0" fontId="60" fillId="3" borderId="43" xfId="0" applyFont="1" applyFill="1" applyBorder="1" applyAlignment="1">
      <alignment horizontal="left"/>
    </xf>
    <xf numFmtId="0" fontId="59" fillId="3" borderId="89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0" fillId="3" borderId="1" xfId="0" applyFont="1" applyFill="1" applyBorder="1" applyAlignment="1">
      <alignment horizontal="left"/>
    </xf>
    <xf numFmtId="0" fontId="60" fillId="36" borderId="1" xfId="0" applyFont="1" applyFill="1" applyBorder="1" applyAlignment="1">
      <alignment horizontal="left"/>
    </xf>
    <xf numFmtId="0" fontId="59" fillId="0" borderId="69" xfId="0" applyFont="1" applyBorder="1" applyAlignment="1">
      <alignment horizontal="left"/>
    </xf>
    <xf numFmtId="0" fontId="60" fillId="0" borderId="42" xfId="0" applyFont="1" applyBorder="1" applyAlignment="1">
      <alignment horizontal="left"/>
    </xf>
    <xf numFmtId="0" fontId="59" fillId="0" borderId="42" xfId="0" applyFont="1" applyBorder="1" applyAlignment="1">
      <alignment horizontal="left"/>
    </xf>
    <xf numFmtId="0" fontId="59" fillId="3" borderId="3" xfId="0" applyFont="1" applyFill="1" applyBorder="1"/>
    <xf numFmtId="0" fontId="59" fillId="3" borderId="42" xfId="0" applyFont="1" applyFill="1" applyBorder="1"/>
    <xf numFmtId="0" fontId="59" fillId="3" borderId="69" xfId="0" applyFont="1" applyFill="1" applyBorder="1" applyAlignment="1">
      <alignment horizontal="left"/>
    </xf>
    <xf numFmtId="0" fontId="60" fillId="3" borderId="42" xfId="0" applyFont="1" applyFill="1" applyBorder="1" applyAlignment="1">
      <alignment horizontal="left"/>
    </xf>
    <xf numFmtId="0" fontId="59" fillId="3" borderId="91" xfId="0" applyFont="1" applyFill="1" applyBorder="1" applyAlignment="1">
      <alignment horizontal="left"/>
    </xf>
    <xf numFmtId="0" fontId="60" fillId="36" borderId="43" xfId="0" applyFont="1" applyFill="1" applyBorder="1" applyAlignment="1">
      <alignment horizontal="left"/>
    </xf>
    <xf numFmtId="0" fontId="59" fillId="36" borderId="69" xfId="0" applyFont="1" applyFill="1" applyBorder="1" applyAlignment="1">
      <alignment horizontal="left"/>
    </xf>
    <xf numFmtId="0" fontId="60" fillId="36" borderId="42" xfId="0" applyFont="1" applyFill="1" applyBorder="1" applyAlignment="1">
      <alignment horizontal="left"/>
    </xf>
    <xf numFmtId="0" fontId="59" fillId="36" borderId="42" xfId="0" applyFont="1" applyFill="1" applyBorder="1" applyAlignment="1">
      <alignment horizontal="left"/>
    </xf>
    <xf numFmtId="1" fontId="59" fillId="36" borderId="85" xfId="0" applyNumberFormat="1" applyFont="1" applyFill="1" applyBorder="1"/>
    <xf numFmtId="0" fontId="59" fillId="36" borderId="91" xfId="0" applyFont="1" applyFill="1" applyBorder="1" applyAlignment="1">
      <alignment horizontal="left"/>
    </xf>
    <xf numFmtId="0" fontId="59" fillId="3" borderId="63" xfId="0" applyFont="1" applyFill="1" applyBorder="1"/>
    <xf numFmtId="0" fontId="59" fillId="3" borderId="43" xfId="0" applyFont="1" applyFill="1" applyBorder="1" applyAlignment="1">
      <alignment horizontal="left"/>
    </xf>
    <xf numFmtId="1" fontId="59" fillId="3" borderId="87" xfId="0" applyNumberFormat="1" applyFont="1" applyFill="1" applyBorder="1"/>
    <xf numFmtId="0" fontId="59" fillId="3" borderId="14" xfId="0" applyFont="1" applyFill="1" applyBorder="1"/>
    <xf numFmtId="1" fontId="59" fillId="3" borderId="83" xfId="0" applyNumberFormat="1" applyFont="1" applyFill="1" applyBorder="1"/>
    <xf numFmtId="1" fontId="59" fillId="36" borderId="83" xfId="0" applyNumberFormat="1" applyFont="1" applyFill="1" applyBorder="1"/>
    <xf numFmtId="0" fontId="59" fillId="3" borderId="83" xfId="0" applyFont="1" applyFill="1" applyBorder="1" applyAlignment="1">
      <alignment vertical="top"/>
    </xf>
    <xf numFmtId="0" fontId="59" fillId="3" borderId="1" xfId="0" applyFont="1" applyFill="1" applyBorder="1" applyAlignment="1">
      <alignment vertical="top"/>
    </xf>
    <xf numFmtId="0" fontId="59" fillId="3" borderId="18" xfId="0" applyFont="1" applyFill="1" applyBorder="1" applyAlignment="1">
      <alignment horizontal="left" vertical="top"/>
    </xf>
    <xf numFmtId="0" fontId="60" fillId="3" borderId="1" xfId="0" applyFont="1" applyFill="1" applyBorder="1" applyAlignment="1">
      <alignment horizontal="left" vertical="top"/>
    </xf>
    <xf numFmtId="0" fontId="59" fillId="3" borderId="1" xfId="0" applyFont="1" applyFill="1" applyBorder="1" applyAlignment="1">
      <alignment horizontal="left" vertical="top"/>
    </xf>
    <xf numFmtId="165" fontId="59" fillId="0" borderId="0" xfId="0" applyNumberFormat="1" applyFont="1" applyAlignment="1">
      <alignment horizontal="center"/>
    </xf>
    <xf numFmtId="10" fontId="59" fillId="0" borderId="83" xfId="0" applyNumberFormat="1" applyFont="1" applyBorder="1"/>
    <xf numFmtId="0" fontId="61" fillId="3" borderId="1" xfId="0" applyFont="1" applyFill="1" applyBorder="1" applyAlignment="1">
      <alignment horizontal="right"/>
    </xf>
    <xf numFmtId="0" fontId="59" fillId="3" borderId="1" xfId="0" applyFont="1" applyFill="1" applyBorder="1" applyAlignment="1">
      <alignment horizontal="right"/>
    </xf>
    <xf numFmtId="0" fontId="59" fillId="3" borderId="1" xfId="0" applyFont="1" applyFill="1" applyBorder="1" applyAlignment="1">
      <alignment horizontal="center"/>
    </xf>
    <xf numFmtId="0" fontId="60" fillId="3" borderId="1" xfId="0" applyFont="1" applyFill="1" applyBorder="1" applyAlignment="1">
      <alignment horizontal="center" vertical="center" wrapText="1"/>
    </xf>
    <xf numFmtId="0" fontId="62" fillId="3" borderId="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right" vertical="top"/>
    </xf>
    <xf numFmtId="0" fontId="59" fillId="3" borderId="1" xfId="0" applyFont="1" applyFill="1" applyBorder="1" applyAlignment="1">
      <alignment horizontal="right" vertical="top"/>
    </xf>
    <xf numFmtId="0" fontId="59" fillId="3" borderId="1" xfId="0" applyFont="1" applyFill="1" applyBorder="1" applyAlignment="1">
      <alignment horizontal="center" vertical="top"/>
    </xf>
    <xf numFmtId="0" fontId="60" fillId="3" borderId="1" xfId="0" applyFont="1" applyFill="1" applyBorder="1" applyAlignment="1">
      <alignment horizontal="center" vertical="top" wrapText="1"/>
    </xf>
    <xf numFmtId="0" fontId="62" fillId="3" borderId="1" xfId="0" applyFont="1" applyFill="1" applyBorder="1" applyAlignment="1">
      <alignment horizontal="center" vertical="top" wrapText="1"/>
    </xf>
    <xf numFmtId="0" fontId="59" fillId="3" borderId="21" xfId="0" applyFont="1" applyFill="1" applyBorder="1"/>
    <xf numFmtId="0" fontId="61" fillId="3" borderId="19" xfId="0" applyFont="1" applyFill="1" applyBorder="1" applyAlignment="1">
      <alignment horizontal="right"/>
    </xf>
    <xf numFmtId="0" fontId="59" fillId="3" borderId="19" xfId="0" applyFont="1" applyFill="1" applyBorder="1" applyAlignment="1">
      <alignment horizontal="right"/>
    </xf>
    <xf numFmtId="0" fontId="59" fillId="3" borderId="19" xfId="0" applyFont="1" applyFill="1" applyBorder="1" applyAlignment="1">
      <alignment horizontal="center"/>
    </xf>
    <xf numFmtId="0" fontId="60" fillId="3" borderId="19" xfId="0" applyFont="1" applyFill="1" applyBorder="1" applyAlignment="1">
      <alignment horizontal="center" vertical="center" wrapText="1"/>
    </xf>
    <xf numFmtId="0" fontId="62" fillId="3" borderId="19" xfId="0" applyFont="1" applyFill="1" applyBorder="1" applyAlignment="1">
      <alignment horizontal="center" vertical="center" wrapText="1"/>
    </xf>
    <xf numFmtId="0" fontId="59" fillId="3" borderId="92" xfId="0" applyFont="1" applyFill="1" applyBorder="1" applyAlignment="1">
      <alignment vertical="top"/>
    </xf>
    <xf numFmtId="0" fontId="61" fillId="3" borderId="19" xfId="0" applyFont="1" applyFill="1" applyBorder="1" applyAlignment="1">
      <alignment horizontal="right" vertical="top"/>
    </xf>
    <xf numFmtId="0" fontId="59" fillId="3" borderId="19" xfId="0" applyFont="1" applyFill="1" applyBorder="1" applyAlignment="1">
      <alignment horizontal="right" vertical="top"/>
    </xf>
    <xf numFmtId="0" fontId="59" fillId="3" borderId="19" xfId="0" applyFont="1" applyFill="1" applyBorder="1" applyAlignment="1">
      <alignment horizontal="center" vertical="top"/>
    </xf>
    <xf numFmtId="0" fontId="60" fillId="3" borderId="19" xfId="0" applyFont="1" applyFill="1" applyBorder="1" applyAlignment="1">
      <alignment horizontal="center" vertical="top" wrapText="1"/>
    </xf>
    <xf numFmtId="0" fontId="62" fillId="3" borderId="19" xfId="0" applyFont="1" applyFill="1" applyBorder="1" applyAlignment="1">
      <alignment horizontal="center" vertical="top" wrapText="1"/>
    </xf>
    <xf numFmtId="10" fontId="59" fillId="0" borderId="90" xfId="0" applyNumberFormat="1" applyFont="1" applyBorder="1"/>
    <xf numFmtId="0" fontId="59" fillId="3" borderId="65" xfId="0" applyFont="1" applyFill="1" applyBorder="1"/>
    <xf numFmtId="0" fontId="61" fillId="3" borderId="42" xfId="0" applyFont="1" applyFill="1" applyBorder="1" applyAlignment="1">
      <alignment wrapText="1"/>
    </xf>
    <xf numFmtId="0" fontId="59" fillId="3" borderId="42" xfId="0" applyFont="1" applyFill="1" applyBorder="1" applyAlignment="1">
      <alignment horizontal="right"/>
    </xf>
    <xf numFmtId="0" fontId="59" fillId="3" borderId="42" xfId="0" applyFont="1" applyFill="1" applyBorder="1" applyAlignment="1">
      <alignment horizontal="center"/>
    </xf>
    <xf numFmtId="0" fontId="60" fillId="3" borderId="42" xfId="0" applyFont="1" applyFill="1" applyBorder="1" applyAlignment="1">
      <alignment horizontal="center" vertical="center" wrapText="1"/>
    </xf>
    <xf numFmtId="0" fontId="62" fillId="3" borderId="42" xfId="0" applyFont="1" applyFill="1" applyBorder="1" applyAlignment="1">
      <alignment horizontal="center" vertical="center" wrapText="1"/>
    </xf>
    <xf numFmtId="0" fontId="59" fillId="3" borderId="42" xfId="0" applyFont="1" applyFill="1" applyBorder="1" applyAlignment="1">
      <alignment horizontal="left"/>
    </xf>
    <xf numFmtId="0" fontId="59" fillId="3" borderId="85" xfId="0" applyFont="1" applyFill="1" applyBorder="1" applyAlignment="1">
      <alignment vertical="top"/>
    </xf>
    <xf numFmtId="0" fontId="61" fillId="3" borderId="3" xfId="0" applyFont="1" applyFill="1" applyBorder="1" applyAlignment="1">
      <alignment vertical="top" wrapText="1"/>
    </xf>
    <xf numFmtId="0" fontId="59" fillId="3" borderId="3" xfId="0" applyFont="1" applyFill="1" applyBorder="1" applyAlignment="1">
      <alignment horizontal="right" vertical="top"/>
    </xf>
    <xf numFmtId="0" fontId="59" fillId="3" borderId="3" xfId="0" applyFont="1" applyFill="1" applyBorder="1" applyAlignment="1">
      <alignment horizontal="center" vertical="top"/>
    </xf>
    <xf numFmtId="0" fontId="60" fillId="3" borderId="3" xfId="0" applyFont="1" applyFill="1" applyBorder="1" applyAlignment="1">
      <alignment horizontal="center" vertical="top" wrapText="1"/>
    </xf>
    <xf numFmtId="0" fontId="62" fillId="3" borderId="3" xfId="0" applyFont="1" applyFill="1" applyBorder="1" applyAlignment="1">
      <alignment horizontal="center" vertical="top" wrapText="1"/>
    </xf>
    <xf numFmtId="0" fontId="59" fillId="3" borderId="69" xfId="0" applyFont="1" applyFill="1" applyBorder="1" applyAlignment="1">
      <alignment horizontal="left" vertical="top"/>
    </xf>
    <xf numFmtId="0" fontId="60" fillId="3" borderId="42" xfId="0" applyFont="1" applyFill="1" applyBorder="1" applyAlignment="1">
      <alignment horizontal="left" vertical="top"/>
    </xf>
    <xf numFmtId="0" fontId="59" fillId="3" borderId="42" xfId="0" applyFont="1" applyFill="1" applyBorder="1" applyAlignment="1">
      <alignment horizontal="left" vertical="top"/>
    </xf>
    <xf numFmtId="1" fontId="59" fillId="3" borderId="85" xfId="0" applyNumberFormat="1" applyFont="1" applyFill="1" applyBorder="1"/>
    <xf numFmtId="10" fontId="59" fillId="36" borderId="87" xfId="0" applyNumberFormat="1" applyFont="1" applyFill="1" applyBorder="1"/>
    <xf numFmtId="0" fontId="61" fillId="36" borderId="43" xfId="0" applyFont="1" applyFill="1" applyBorder="1" applyAlignment="1">
      <alignment horizontal="right"/>
    </xf>
    <xf numFmtId="0" fontId="59" fillId="36" borderId="43" xfId="0" applyFont="1" applyFill="1" applyBorder="1" applyAlignment="1">
      <alignment horizontal="right"/>
    </xf>
    <xf numFmtId="0" fontId="59" fillId="36" borderId="43" xfId="0" applyFont="1" applyFill="1" applyBorder="1" applyAlignment="1">
      <alignment horizontal="center"/>
    </xf>
    <xf numFmtId="0" fontId="60" fillId="36" borderId="43" xfId="0" applyFont="1" applyFill="1" applyBorder="1" applyAlignment="1">
      <alignment horizontal="center" vertical="center" wrapText="1"/>
    </xf>
    <xf numFmtId="0" fontId="62" fillId="36" borderId="43" xfId="0" applyFont="1" applyFill="1" applyBorder="1" applyAlignment="1">
      <alignment horizontal="center" vertical="center" wrapText="1"/>
    </xf>
    <xf numFmtId="0" fontId="59" fillId="36" borderId="87" xfId="0" applyFont="1" applyFill="1" applyBorder="1" applyAlignment="1">
      <alignment vertical="top"/>
    </xf>
    <xf numFmtId="0" fontId="61" fillId="36" borderId="43" xfId="0" applyFont="1" applyFill="1" applyBorder="1" applyAlignment="1">
      <alignment horizontal="right" vertical="top"/>
    </xf>
    <xf numFmtId="0" fontId="59" fillId="36" borderId="43" xfId="0" applyFont="1" applyFill="1" applyBorder="1" applyAlignment="1">
      <alignment horizontal="right" vertical="top"/>
    </xf>
    <xf numFmtId="0" fontId="59" fillId="36" borderId="43" xfId="0" applyFont="1" applyFill="1" applyBorder="1" applyAlignment="1">
      <alignment horizontal="center" vertical="top"/>
    </xf>
    <xf numFmtId="0" fontId="60" fillId="36" borderId="43" xfId="0" applyFont="1" applyFill="1" applyBorder="1" applyAlignment="1">
      <alignment horizontal="center" vertical="top" wrapText="1"/>
    </xf>
    <xf numFmtId="0" fontId="62" fillId="36" borderId="43" xfId="0" applyFont="1" applyFill="1" applyBorder="1" applyAlignment="1">
      <alignment horizontal="center" vertical="top" wrapText="1"/>
    </xf>
    <xf numFmtId="0" fontId="59" fillId="36" borderId="88" xfId="0" applyFont="1" applyFill="1" applyBorder="1" applyAlignment="1">
      <alignment horizontal="left" vertical="top"/>
    </xf>
    <xf numFmtId="0" fontId="60" fillId="36" borderId="43" xfId="0" applyFont="1" applyFill="1" applyBorder="1" applyAlignment="1">
      <alignment horizontal="left" vertical="top"/>
    </xf>
    <xf numFmtId="0" fontId="59" fillId="36" borderId="43" xfId="0" applyFont="1" applyFill="1" applyBorder="1" applyAlignment="1">
      <alignment horizontal="left" vertical="top"/>
    </xf>
    <xf numFmtId="1" fontId="59" fillId="36" borderId="87" xfId="0" applyNumberFormat="1" applyFont="1" applyFill="1" applyBorder="1"/>
    <xf numFmtId="10" fontId="59" fillId="36" borderId="83" xfId="0" applyNumberFormat="1" applyFont="1" applyFill="1" applyBorder="1"/>
    <xf numFmtId="0" fontId="61" fillId="36" borderId="1" xfId="0" applyFont="1" applyFill="1" applyBorder="1" applyAlignment="1">
      <alignment horizontal="right"/>
    </xf>
    <xf numFmtId="0" fontId="59" fillId="36" borderId="1" xfId="0" applyFont="1" applyFill="1" applyBorder="1" applyAlignment="1">
      <alignment horizontal="right"/>
    </xf>
    <xf numFmtId="0" fontId="59" fillId="36" borderId="1" xfId="0" applyFont="1" applyFill="1" applyBorder="1" applyAlignment="1">
      <alignment horizontal="center"/>
    </xf>
    <xf numFmtId="0" fontId="60" fillId="36" borderId="1" xfId="0" applyFont="1" applyFill="1" applyBorder="1" applyAlignment="1">
      <alignment horizontal="center" vertical="center" wrapText="1"/>
    </xf>
    <xf numFmtId="0" fontId="62" fillId="36" borderId="1" xfId="0" applyFont="1" applyFill="1" applyBorder="1" applyAlignment="1">
      <alignment horizontal="center" vertical="center" wrapText="1"/>
    </xf>
    <xf numFmtId="0" fontId="59" fillId="36" borderId="83" xfId="0" applyFont="1" applyFill="1" applyBorder="1" applyAlignment="1">
      <alignment vertical="top"/>
    </xf>
    <xf numFmtId="0" fontId="61" fillId="36" borderId="1" xfId="0" applyFont="1" applyFill="1" applyBorder="1" applyAlignment="1">
      <alignment horizontal="right" vertical="top"/>
    </xf>
    <xf numFmtId="0" fontId="59" fillId="36" borderId="1" xfId="0" applyFont="1" applyFill="1" applyBorder="1" applyAlignment="1">
      <alignment horizontal="right" vertical="top"/>
    </xf>
    <xf numFmtId="0" fontId="59" fillId="36" borderId="1" xfId="0" applyFont="1" applyFill="1" applyBorder="1" applyAlignment="1">
      <alignment horizontal="center" vertical="top"/>
    </xf>
    <xf numFmtId="0" fontId="60" fillId="36" borderId="1" xfId="0" applyFont="1" applyFill="1" applyBorder="1" applyAlignment="1">
      <alignment horizontal="center" vertical="top" wrapText="1"/>
    </xf>
    <xf numFmtId="0" fontId="62" fillId="36" borderId="1" xfId="0" applyFont="1" applyFill="1" applyBorder="1" applyAlignment="1">
      <alignment horizontal="center" vertical="top" wrapText="1"/>
    </xf>
    <xf numFmtId="0" fontId="59" fillId="36" borderId="18" xfId="0" applyFont="1" applyFill="1" applyBorder="1" applyAlignment="1">
      <alignment horizontal="left" vertical="top"/>
    </xf>
    <xf numFmtId="0" fontId="60" fillId="36" borderId="1" xfId="0" applyFont="1" applyFill="1" applyBorder="1" applyAlignment="1">
      <alignment horizontal="left" vertical="top"/>
    </xf>
    <xf numFmtId="0" fontId="59" fillId="36" borderId="1" xfId="0" applyFont="1" applyFill="1" applyBorder="1" applyAlignment="1">
      <alignment horizontal="left" vertical="top"/>
    </xf>
    <xf numFmtId="0" fontId="61" fillId="36" borderId="1" xfId="0" applyFont="1" applyFill="1" applyBorder="1" applyAlignment="1">
      <alignment wrapText="1"/>
    </xf>
    <xf numFmtId="0" fontId="61" fillId="36" borderId="1" xfId="0" applyFont="1" applyFill="1" applyBorder="1" applyAlignment="1">
      <alignment vertical="top" wrapText="1"/>
    </xf>
    <xf numFmtId="10" fontId="59" fillId="36" borderId="90" xfId="0" applyNumberFormat="1" applyFont="1" applyFill="1" applyBorder="1"/>
    <xf numFmtId="0" fontId="61" fillId="36" borderId="42" xfId="0" applyFont="1" applyFill="1" applyBorder="1" applyAlignment="1">
      <alignment wrapText="1"/>
    </xf>
    <xf numFmtId="0" fontId="59" fillId="36" borderId="42" xfId="0" applyFont="1" applyFill="1" applyBorder="1" applyAlignment="1">
      <alignment horizontal="right"/>
    </xf>
    <xf numFmtId="0" fontId="59" fillId="36" borderId="42" xfId="0" applyFont="1" applyFill="1" applyBorder="1" applyAlignment="1">
      <alignment horizontal="center"/>
    </xf>
    <xf numFmtId="0" fontId="60" fillId="36" borderId="42" xfId="0" applyFont="1" applyFill="1" applyBorder="1" applyAlignment="1">
      <alignment horizontal="center" vertical="center" wrapText="1"/>
    </xf>
    <xf numFmtId="0" fontId="62" fillId="36" borderId="42" xfId="0" applyFont="1" applyFill="1" applyBorder="1" applyAlignment="1">
      <alignment horizontal="center" vertical="center" wrapText="1"/>
    </xf>
    <xf numFmtId="0" fontId="59" fillId="36" borderId="85" xfId="0" applyFont="1" applyFill="1" applyBorder="1" applyAlignment="1">
      <alignment vertical="top"/>
    </xf>
    <xf numFmtId="0" fontId="61" fillId="36" borderId="3" xfId="0" applyFont="1" applyFill="1" applyBorder="1" applyAlignment="1">
      <alignment vertical="top" wrapText="1"/>
    </xf>
    <xf numFmtId="0" fontId="59" fillId="36" borderId="3" xfId="0" applyFont="1" applyFill="1" applyBorder="1" applyAlignment="1">
      <alignment horizontal="right" vertical="top"/>
    </xf>
    <xf numFmtId="0" fontId="59" fillId="36" borderId="3" xfId="0" applyFont="1" applyFill="1" applyBorder="1" applyAlignment="1">
      <alignment horizontal="center" vertical="top"/>
    </xf>
    <xf numFmtId="0" fontId="60" fillId="36" borderId="3" xfId="0" applyFont="1" applyFill="1" applyBorder="1" applyAlignment="1">
      <alignment horizontal="center" vertical="top" wrapText="1"/>
    </xf>
    <xf numFmtId="0" fontId="62" fillId="36" borderId="3" xfId="0" applyFont="1" applyFill="1" applyBorder="1" applyAlignment="1">
      <alignment horizontal="center" vertical="top" wrapText="1"/>
    </xf>
    <xf numFmtId="0" fontId="59" fillId="36" borderId="69" xfId="0" applyFont="1" applyFill="1" applyBorder="1" applyAlignment="1">
      <alignment horizontal="left" vertical="top"/>
    </xf>
    <xf numFmtId="0" fontId="60" fillId="36" borderId="42" xfId="0" applyFont="1" applyFill="1" applyBorder="1" applyAlignment="1">
      <alignment horizontal="left" vertical="top"/>
    </xf>
    <xf numFmtId="0" fontId="59" fillId="36" borderId="42" xfId="0" applyFont="1" applyFill="1" applyBorder="1" applyAlignment="1">
      <alignment horizontal="left" vertical="top"/>
    </xf>
    <xf numFmtId="10" fontId="59" fillId="0" borderId="87" xfId="0" applyNumberFormat="1" applyFont="1" applyBorder="1"/>
    <xf numFmtId="0" fontId="61" fillId="3" borderId="43" xfId="0" applyFont="1" applyFill="1" applyBorder="1" applyAlignment="1">
      <alignment horizontal="right"/>
    </xf>
    <xf numFmtId="0" fontId="59" fillId="3" borderId="43" xfId="0" applyFont="1" applyFill="1" applyBorder="1" applyAlignment="1">
      <alignment horizontal="right"/>
    </xf>
    <xf numFmtId="0" fontId="59" fillId="3" borderId="43" xfId="0" applyFont="1" applyFill="1" applyBorder="1" applyAlignment="1">
      <alignment horizontal="center"/>
    </xf>
    <xf numFmtId="0" fontId="60" fillId="3" borderId="43" xfId="0" applyFont="1" applyFill="1" applyBorder="1" applyAlignment="1">
      <alignment horizontal="center" vertical="center" wrapText="1"/>
    </xf>
    <xf numFmtId="0" fontId="62" fillId="3" borderId="43" xfId="0" applyFont="1" applyFill="1" applyBorder="1" applyAlignment="1">
      <alignment horizontal="center" vertical="center" wrapText="1"/>
    </xf>
    <xf numFmtId="0" fontId="59" fillId="3" borderId="87" xfId="0" applyFont="1" applyFill="1" applyBorder="1" applyAlignment="1">
      <alignment vertical="top"/>
    </xf>
    <xf numFmtId="0" fontId="61" fillId="3" borderId="43" xfId="0" applyFont="1" applyFill="1" applyBorder="1" applyAlignment="1">
      <alignment horizontal="right" vertical="top"/>
    </xf>
    <xf numFmtId="0" fontId="59" fillId="3" borderId="43" xfId="0" applyFont="1" applyFill="1" applyBorder="1" applyAlignment="1">
      <alignment horizontal="right" vertical="top"/>
    </xf>
    <xf numFmtId="0" fontId="59" fillId="3" borderId="43" xfId="0" applyFont="1" applyFill="1" applyBorder="1" applyAlignment="1">
      <alignment horizontal="center" vertical="top"/>
    </xf>
    <xf numFmtId="0" fontId="60" fillId="3" borderId="43" xfId="0" applyFont="1" applyFill="1" applyBorder="1" applyAlignment="1">
      <alignment horizontal="center" vertical="top" wrapText="1"/>
    </xf>
    <xf numFmtId="0" fontId="62" fillId="3" borderId="43" xfId="0" applyFont="1" applyFill="1" applyBorder="1" applyAlignment="1">
      <alignment horizontal="center" vertical="top" wrapText="1"/>
    </xf>
    <xf numFmtId="0" fontId="59" fillId="3" borderId="88" xfId="0" applyFont="1" applyFill="1" applyBorder="1" applyAlignment="1">
      <alignment horizontal="left" vertical="top"/>
    </xf>
    <xf numFmtId="0" fontId="60" fillId="3" borderId="43" xfId="0" applyFont="1" applyFill="1" applyBorder="1" applyAlignment="1">
      <alignment horizontal="left" vertical="top"/>
    </xf>
    <xf numFmtId="0" fontId="59" fillId="3" borderId="43" xfId="0" applyFont="1" applyFill="1" applyBorder="1" applyAlignment="1">
      <alignment horizontal="left" vertical="top"/>
    </xf>
    <xf numFmtId="1" fontId="59" fillId="0" borderId="43" xfId="0" applyNumberFormat="1" applyFont="1" applyBorder="1"/>
    <xf numFmtId="1" fontId="59" fillId="0" borderId="1" xfId="0" applyNumberFormat="1" applyFont="1" applyBorder="1"/>
    <xf numFmtId="0" fontId="61" fillId="3" borderId="1" xfId="0" applyFont="1" applyFill="1" applyBorder="1" applyAlignment="1">
      <alignment wrapText="1"/>
    </xf>
    <xf numFmtId="0" fontId="61" fillId="3" borderId="1" xfId="0" applyFont="1" applyFill="1" applyBorder="1" applyAlignment="1">
      <alignment vertical="top" wrapText="1"/>
    </xf>
    <xf numFmtId="10" fontId="59" fillId="0" borderId="85" xfId="0" applyNumberFormat="1" applyFont="1" applyBorder="1"/>
    <xf numFmtId="0" fontId="59" fillId="3" borderId="15" xfId="0" applyFont="1" applyFill="1" applyBorder="1"/>
    <xf numFmtId="0" fontId="61" fillId="3" borderId="3" xfId="0" applyFont="1" applyFill="1" applyBorder="1" applyAlignment="1">
      <alignment horizontal="right"/>
    </xf>
    <xf numFmtId="0" fontId="59" fillId="3" borderId="3" xfId="0" applyFont="1" applyFill="1" applyBorder="1" applyAlignment="1">
      <alignment horizontal="right"/>
    </xf>
    <xf numFmtId="0" fontId="59" fillId="3" borderId="3" xfId="0" applyFont="1" applyFill="1" applyBorder="1" applyAlignment="1">
      <alignment horizontal="center"/>
    </xf>
    <xf numFmtId="0" fontId="60" fillId="3" borderId="3" xfId="0" applyFont="1" applyFill="1" applyBorder="1" applyAlignment="1">
      <alignment horizontal="center" vertical="center" wrapText="1"/>
    </xf>
    <xf numFmtId="0" fontId="62" fillId="3" borderId="3" xfId="0" applyFont="1" applyFill="1" applyBorder="1" applyAlignment="1">
      <alignment horizontal="center" vertical="center" wrapText="1"/>
    </xf>
    <xf numFmtId="0" fontId="61" fillId="3" borderId="3" xfId="0" applyFont="1" applyFill="1" applyBorder="1" applyAlignment="1">
      <alignment horizontal="right" vertical="top"/>
    </xf>
    <xf numFmtId="1" fontId="59" fillId="0" borderId="3" xfId="0" applyNumberFormat="1" applyFont="1" applyBorder="1"/>
    <xf numFmtId="1" fontId="59" fillId="0" borderId="42" xfId="0" applyNumberFormat="1" applyFont="1" applyBorder="1"/>
    <xf numFmtId="1" fontId="59" fillId="36" borderId="19" xfId="0" applyNumberFormat="1" applyFont="1" applyFill="1" applyBorder="1"/>
    <xf numFmtId="0" fontId="0" fillId="0" borderId="78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165" fontId="59" fillId="0" borderId="79" xfId="0" applyNumberFormat="1" applyFont="1" applyBorder="1" applyAlignment="1">
      <alignment horizontal="center"/>
    </xf>
    <xf numFmtId="0" fontId="59" fillId="3" borderId="79" xfId="0" applyFont="1" applyFill="1" applyBorder="1"/>
    <xf numFmtId="0" fontId="59" fillId="3" borderId="82" xfId="0" applyFont="1" applyFill="1" applyBorder="1"/>
    <xf numFmtId="165" fontId="59" fillId="0" borderId="1" xfId="0" applyNumberFormat="1" applyFont="1" applyBorder="1" applyAlignment="1">
      <alignment horizontal="center"/>
    </xf>
    <xf numFmtId="0" fontId="59" fillId="3" borderId="84" xfId="0" applyFont="1" applyFill="1" applyBorder="1"/>
    <xf numFmtId="49" fontId="59" fillId="36" borderId="14" xfId="0" applyNumberFormat="1" applyFont="1" applyFill="1" applyBorder="1"/>
    <xf numFmtId="49" fontId="59" fillId="36" borderId="83" xfId="0" applyNumberFormat="1" applyFont="1" applyFill="1" applyBorder="1" applyAlignment="1">
      <alignment vertical="top"/>
    </xf>
    <xf numFmtId="0" fontId="59" fillId="36" borderId="1" xfId="0" applyFont="1" applyFill="1" applyBorder="1" applyAlignment="1">
      <alignment vertical="top"/>
    </xf>
    <xf numFmtId="0" fontId="61" fillId="36" borderId="93" xfId="0" applyFont="1" applyFill="1" applyBorder="1" applyAlignment="1">
      <alignment horizontal="center" vertical="center" wrapText="1"/>
    </xf>
    <xf numFmtId="0" fontId="61" fillId="36" borderId="94" xfId="0" applyFont="1" applyFill="1" applyBorder="1" applyAlignment="1">
      <alignment horizontal="center" vertical="center" wrapText="1"/>
    </xf>
    <xf numFmtId="10" fontId="61" fillId="4" borderId="94" xfId="0" applyNumberFormat="1" applyFont="1" applyFill="1" applyBorder="1" applyAlignment="1">
      <alignment horizontal="center" vertical="center" wrapText="1"/>
    </xf>
    <xf numFmtId="0" fontId="61" fillId="4" borderId="94" xfId="0" applyFont="1" applyFill="1" applyBorder="1" applyAlignment="1">
      <alignment horizontal="center" vertical="center" wrapText="1"/>
    </xf>
    <xf numFmtId="0" fontId="61" fillId="4" borderId="95" xfId="0" applyFont="1" applyFill="1" applyBorder="1" applyAlignment="1">
      <alignment horizontal="center" vertical="center" wrapText="1"/>
    </xf>
    <xf numFmtId="0" fontId="61" fillId="0" borderId="0" xfId="0" applyFont="1" applyAlignment="1">
      <alignment vertical="top" wrapText="1"/>
    </xf>
    <xf numFmtId="10" fontId="61" fillId="4" borderId="93" xfId="0" applyNumberFormat="1" applyFont="1" applyFill="1" applyBorder="1" applyAlignment="1">
      <alignment horizontal="center" vertical="center" wrapText="1"/>
    </xf>
    <xf numFmtId="0" fontId="61" fillId="4" borderId="96" xfId="0" applyFont="1" applyFill="1" applyBorder="1" applyAlignment="1">
      <alignment horizontal="center" vertical="center" wrapText="1"/>
    </xf>
    <xf numFmtId="0" fontId="61" fillId="4" borderId="94" xfId="0" applyFont="1" applyFill="1" applyBorder="1" applyAlignment="1">
      <alignment horizontal="center" vertical="center"/>
    </xf>
    <xf numFmtId="0" fontId="61" fillId="4" borderId="97" xfId="0" applyFont="1" applyFill="1" applyBorder="1" applyAlignment="1">
      <alignment horizontal="center" vertical="center" wrapText="1"/>
    </xf>
    <xf numFmtId="0" fontId="61" fillId="40" borderId="93" xfId="0" applyFont="1" applyFill="1" applyBorder="1" applyAlignment="1">
      <alignment horizontal="center" vertical="center" wrapText="1"/>
    </xf>
    <xf numFmtId="0" fontId="61" fillId="40" borderId="94" xfId="0" applyFont="1" applyFill="1" applyBorder="1" applyAlignment="1">
      <alignment horizontal="center" vertical="center" wrapText="1"/>
    </xf>
    <xf numFmtId="0" fontId="61" fillId="3" borderId="0" xfId="0" applyFont="1" applyFill="1" applyAlignment="1">
      <alignment horizontal="center" vertical="top" wrapText="1"/>
    </xf>
    <xf numFmtId="0" fontId="61" fillId="4" borderId="93" xfId="0" applyFont="1" applyFill="1" applyBorder="1" applyAlignment="1">
      <alignment horizontal="center" vertical="center" wrapText="1"/>
    </xf>
    <xf numFmtId="0" fontId="6" fillId="4" borderId="93" xfId="0" applyFont="1" applyFill="1" applyBorder="1" applyAlignment="1">
      <alignment horizontal="center" vertical="center"/>
    </xf>
    <xf numFmtId="0" fontId="6" fillId="4" borderId="95" xfId="0" applyFont="1" applyFill="1" applyBorder="1" applyAlignment="1">
      <alignment horizontal="center" vertical="center"/>
    </xf>
    <xf numFmtId="0" fontId="61" fillId="4" borderId="95" xfId="0" applyFont="1" applyFill="1" applyBorder="1" applyAlignment="1">
      <alignment horizontal="center" vertical="center"/>
    </xf>
    <xf numFmtId="0" fontId="0" fillId="39" borderId="98" xfId="0" applyFill="1" applyBorder="1"/>
    <xf numFmtId="0" fontId="0" fillId="39" borderId="99" xfId="0" applyFill="1" applyBorder="1"/>
    <xf numFmtId="0" fontId="0" fillId="39" borderId="100" xfId="0" applyFill="1" applyBorder="1"/>
    <xf numFmtId="0" fontId="0" fillId="0" borderId="101" xfId="0" applyBorder="1"/>
    <xf numFmtId="0" fontId="0" fillId="39" borderId="102" xfId="0" applyFill="1" applyBorder="1"/>
    <xf numFmtId="0" fontId="0" fillId="39" borderId="103" xfId="0" applyFill="1" applyBorder="1"/>
    <xf numFmtId="0" fontId="56" fillId="39" borderId="104" xfId="0" applyFont="1" applyFill="1" applyBorder="1"/>
    <xf numFmtId="0" fontId="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165" fontId="0" fillId="3" borderId="1" xfId="0" applyNumberFormat="1" applyFill="1" applyBorder="1"/>
    <xf numFmtId="1" fontId="0" fillId="3" borderId="1" xfId="0" applyNumberFormat="1" applyFill="1" applyBorder="1"/>
    <xf numFmtId="1" fontId="0" fillId="0" borderId="19" xfId="0" applyNumberFormat="1" applyBorder="1"/>
    <xf numFmtId="1" fontId="0" fillId="36" borderId="3" xfId="0" applyNumberFormat="1" applyFill="1" applyBorder="1"/>
    <xf numFmtId="0" fontId="0" fillId="3" borderId="1" xfId="0" applyFill="1" applyBorder="1" applyAlignment="1">
      <alignment horizontal="right"/>
    </xf>
    <xf numFmtId="0" fontId="0" fillId="3" borderId="3" xfId="0" applyFill="1" applyBorder="1"/>
    <xf numFmtId="0" fontId="0" fillId="3" borderId="3" xfId="0" applyFill="1" applyBorder="1" applyAlignment="1">
      <alignment horizontal="right"/>
    </xf>
    <xf numFmtId="0" fontId="0" fillId="3" borderId="19" xfId="0" applyFill="1" applyBorder="1"/>
    <xf numFmtId="0" fontId="0" fillId="3" borderId="19" xfId="0" applyFill="1" applyBorder="1" applyAlignment="1">
      <alignment horizontal="right"/>
    </xf>
    <xf numFmtId="0" fontId="54" fillId="0" borderId="42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1" fontId="0" fillId="36" borderId="19" xfId="0" applyNumberFormat="1" applyFill="1" applyBorder="1"/>
    <xf numFmtId="1" fontId="0" fillId="3" borderId="3" xfId="0" applyNumberFormat="1" applyFill="1" applyBorder="1"/>
    <xf numFmtId="1" fontId="0" fillId="3" borderId="19" xfId="0" applyNumberFormat="1" applyFill="1" applyBorder="1"/>
    <xf numFmtId="0" fontId="0" fillId="0" borderId="1" xfId="0" applyBorder="1" applyAlignment="1">
      <alignment horizontal="center" wrapText="1"/>
    </xf>
    <xf numFmtId="3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0" fontId="54" fillId="0" borderId="3" xfId="0" quotePrefix="1" applyFont="1" applyBorder="1" applyAlignment="1">
      <alignment horizontal="center" wrapText="1"/>
    </xf>
    <xf numFmtId="14" fontId="0" fillId="0" borderId="1" xfId="0" applyNumberFormat="1" applyBorder="1"/>
    <xf numFmtId="0" fontId="66" fillId="41" borderId="1" xfId="0" applyFont="1" applyFill="1" applyBorder="1" applyAlignment="1">
      <alignment horizontal="left" vertical="center"/>
    </xf>
    <xf numFmtId="0" fontId="66" fillId="0" borderId="1" xfId="0" applyFont="1" applyBorder="1" applyAlignment="1">
      <alignment horizontal="left" vertical="center"/>
    </xf>
    <xf numFmtId="0" fontId="0" fillId="36" borderId="1" xfId="0" applyFill="1" applyBorder="1" applyAlignment="1">
      <alignment wrapText="1"/>
    </xf>
    <xf numFmtId="1" fontId="0" fillId="36" borderId="1" xfId="0" applyNumberFormat="1" applyFill="1" applyBorder="1" applyAlignment="1">
      <alignment wrapText="1"/>
    </xf>
    <xf numFmtId="165" fontId="0" fillId="36" borderId="1" xfId="0" applyNumberFormat="1" applyFill="1" applyBorder="1" applyAlignment="1">
      <alignment wrapText="1"/>
    </xf>
    <xf numFmtId="2" fontId="0" fillId="36" borderId="1" xfId="0" applyNumberFormat="1" applyFill="1" applyBorder="1" applyAlignment="1">
      <alignment wrapText="1"/>
    </xf>
    <xf numFmtId="0" fontId="38" fillId="0" borderId="1" xfId="0" applyFont="1" applyBorder="1" applyAlignment="1">
      <alignment horizontal="center" wrapText="1"/>
    </xf>
    <xf numFmtId="0" fontId="66" fillId="36" borderId="1" xfId="0" applyFont="1" applyFill="1" applyBorder="1" applyAlignment="1">
      <alignment horizontal="center" vertical="center" wrapText="1"/>
    </xf>
    <xf numFmtId="0" fontId="67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68" fillId="0" borderId="1" xfId="0" applyFont="1" applyBorder="1"/>
    <xf numFmtId="0" fontId="66" fillId="36" borderId="1" xfId="0" applyFont="1" applyFill="1" applyBorder="1" applyAlignment="1">
      <alignment horizontal="left" vertical="center"/>
    </xf>
    <xf numFmtId="1" fontId="68" fillId="36" borderId="1" xfId="0" applyNumberFormat="1" applyFont="1" applyFill="1" applyBorder="1" applyAlignment="1">
      <alignment horizontal="center" wrapText="1"/>
    </xf>
    <xf numFmtId="0" fontId="69" fillId="36" borderId="1" xfId="0" applyFont="1" applyFill="1" applyBorder="1" applyAlignment="1">
      <alignment horizontal="left" vertical="center"/>
    </xf>
    <xf numFmtId="1" fontId="0" fillId="36" borderId="1" xfId="0" applyNumberForma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66" fillId="0" borderId="0" xfId="0" applyFont="1" applyAlignment="1">
      <alignment horizontal="left" vertical="center"/>
    </xf>
    <xf numFmtId="3" fontId="66" fillId="0" borderId="0" xfId="0" applyNumberFormat="1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top" wrapText="1"/>
    </xf>
    <xf numFmtId="0" fontId="70" fillId="58" borderId="0" xfId="0" applyFont="1" applyFill="1" applyAlignment="1">
      <alignment horizontal="center" vertical="center" wrapText="1"/>
    </xf>
    <xf numFmtId="0" fontId="71" fillId="0" borderId="105" xfId="0" applyFont="1" applyBorder="1" applyAlignment="1">
      <alignment horizontal="center" vertical="center"/>
    </xf>
    <xf numFmtId="0" fontId="71" fillId="0" borderId="105" xfId="0" applyFont="1" applyBorder="1" applyAlignment="1">
      <alignment horizontal="center" vertical="center" wrapText="1"/>
    </xf>
    <xf numFmtId="0" fontId="70" fillId="58" borderId="0" xfId="0" applyFont="1" applyFill="1" applyAlignment="1">
      <alignment vertical="center"/>
    </xf>
    <xf numFmtId="0" fontId="70" fillId="58" borderId="0" xfId="0" applyFont="1" applyFill="1" applyAlignment="1">
      <alignment vertical="center" wrapText="1"/>
    </xf>
    <xf numFmtId="0" fontId="0" fillId="0" borderId="3" xfId="0" applyBorder="1"/>
    <xf numFmtId="0" fontId="55" fillId="0" borderId="1" xfId="0" applyFont="1" applyBorder="1"/>
    <xf numFmtId="0" fontId="25" fillId="0" borderId="1" xfId="0" applyFont="1" applyBorder="1" applyAlignment="1">
      <alignment horizontal="center" vertical="center" wrapText="1"/>
    </xf>
    <xf numFmtId="0" fontId="29" fillId="0" borderId="0" xfId="0" applyFont="1"/>
    <xf numFmtId="0" fontId="25" fillId="0" borderId="0" xfId="0" applyFont="1" applyAlignment="1">
      <alignment vertical="center"/>
    </xf>
    <xf numFmtId="164" fontId="28" fillId="0" borderId="0" xfId="44" applyFont="1">
      <alignment vertical="center"/>
    </xf>
    <xf numFmtId="0" fontId="2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right"/>
    </xf>
    <xf numFmtId="0" fontId="30" fillId="0" borderId="0" xfId="0" applyFont="1"/>
    <xf numFmtId="0" fontId="0" fillId="52" borderId="40" xfId="0" applyFill="1" applyBorder="1"/>
    <xf numFmtId="0" fontId="0" fillId="52" borderId="1" xfId="0" applyFill="1" applyBorder="1"/>
    <xf numFmtId="0" fontId="0" fillId="52" borderId="2" xfId="0" applyFill="1" applyBorder="1"/>
    <xf numFmtId="0" fontId="31" fillId="0" borderId="0" xfId="0" applyFont="1" applyAlignment="1">
      <alignment horizontal="right" vertical="center" wrapText="1"/>
    </xf>
    <xf numFmtId="0" fontId="0" fillId="0" borderId="53" xfId="0" applyBorder="1"/>
    <xf numFmtId="0" fontId="0" fillId="0" borderId="22" xfId="0" applyBorder="1"/>
    <xf numFmtId="0" fontId="4" fillId="4" borderId="0" xfId="0" applyFont="1" applyFill="1" applyAlignment="1">
      <alignment horizontal="center" vertical="top" wrapText="1"/>
    </xf>
    <xf numFmtId="0" fontId="0" fillId="45" borderId="0" xfId="0" applyFill="1"/>
    <xf numFmtId="0" fontId="0" fillId="0" borderId="0" xfId="0" applyAlignment="1">
      <alignment horizontal="left"/>
    </xf>
    <xf numFmtId="0" fontId="0" fillId="0" borderId="50" xfId="0" applyBorder="1"/>
    <xf numFmtId="0" fontId="0" fillId="0" borderId="41" xfId="0" applyBorder="1"/>
    <xf numFmtId="0" fontId="0" fillId="0" borderId="49" xfId="0" applyBorder="1"/>
    <xf numFmtId="0" fontId="0" fillId="0" borderId="39" xfId="0" applyBorder="1"/>
    <xf numFmtId="0" fontId="0" fillId="0" borderId="5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2" borderId="0" xfId="0" applyFill="1"/>
    <xf numFmtId="0" fontId="29" fillId="53" borderId="43" xfId="0" applyFont="1" applyFill="1" applyBorder="1"/>
    <xf numFmtId="0" fontId="0" fillId="37" borderId="40" xfId="0" applyFill="1" applyBorder="1"/>
    <xf numFmtId="0" fontId="0" fillId="37" borderId="1" xfId="0" applyFill="1" applyBorder="1"/>
    <xf numFmtId="0" fontId="4" fillId="40" borderId="57" xfId="0" applyFont="1" applyFill="1" applyBorder="1" applyAlignment="1">
      <alignment horizontal="center" vertical="center" wrapText="1"/>
    </xf>
    <xf numFmtId="0" fontId="4" fillId="40" borderId="3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59" borderId="1" xfId="0" applyFill="1" applyBorder="1"/>
    <xf numFmtId="0" fontId="0" fillId="47" borderId="1" xfId="0" applyFill="1" applyBorder="1"/>
    <xf numFmtId="0" fontId="6" fillId="0" borderId="1" xfId="0" applyFont="1" applyBorder="1" applyAlignment="1">
      <alignment horizontal="left"/>
    </xf>
    <xf numFmtId="0" fontId="0" fillId="59" borderId="0" xfId="0" applyFill="1"/>
    <xf numFmtId="0" fontId="0" fillId="59" borderId="22" xfId="0" applyFill="1" applyBorder="1"/>
    <xf numFmtId="0" fontId="55" fillId="59" borderId="1" xfId="0" applyFont="1" applyFill="1" applyBorder="1"/>
    <xf numFmtId="0" fontId="55" fillId="0" borderId="0" xfId="0" applyFont="1"/>
    <xf numFmtId="0" fontId="0" fillId="4" borderId="0" xfId="0" applyFill="1" applyAlignment="1">
      <alignment horizontal="center"/>
    </xf>
    <xf numFmtId="0" fontId="29" fillId="2" borderId="0" xfId="0" applyFont="1" applyFill="1"/>
    <xf numFmtId="0" fontId="6" fillId="0" borderId="112" xfId="0" applyFont="1" applyBorder="1" applyAlignment="1">
      <alignment horizontal="left"/>
    </xf>
    <xf numFmtId="0" fontId="6" fillId="60" borderId="112" xfId="0" applyFont="1" applyFill="1" applyBorder="1" applyAlignment="1">
      <alignment horizontal="center"/>
    </xf>
    <xf numFmtId="0" fontId="0" fillId="52" borderId="0" xfId="0" applyFill="1"/>
    <xf numFmtId="0" fontId="35" fillId="52" borderId="113" xfId="0" applyFont="1" applyFill="1" applyBorder="1"/>
    <xf numFmtId="0" fontId="39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9" fillId="45" borderId="0" xfId="0" applyFont="1" applyFill="1"/>
    <xf numFmtId="0" fontId="6" fillId="6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37" borderId="57" xfId="0" applyFont="1" applyFill="1" applyBorder="1" applyAlignment="1">
      <alignment horizontal="center"/>
    </xf>
    <xf numFmtId="0" fontId="6" fillId="37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6" borderId="1" xfId="0" applyFont="1" applyFill="1" applyBorder="1" applyAlignment="1">
      <alignment vertical="center"/>
    </xf>
    <xf numFmtId="0" fontId="6" fillId="36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37" borderId="56" xfId="0" applyFont="1" applyFill="1" applyBorder="1" applyAlignment="1">
      <alignment horizontal="center"/>
    </xf>
    <xf numFmtId="0" fontId="43" fillId="45" borderId="0" xfId="0" applyFont="1" applyFill="1"/>
    <xf numFmtId="0" fontId="43" fillId="3" borderId="0" xfId="0" applyFont="1" applyFill="1"/>
    <xf numFmtId="0" fontId="39" fillId="3" borderId="0" xfId="0" applyFont="1" applyFill="1"/>
    <xf numFmtId="0" fontId="0" fillId="0" borderId="33" xfId="0" applyBorder="1" applyAlignment="1">
      <alignment horizontal="left"/>
    </xf>
    <xf numFmtId="0" fontId="0" fillId="0" borderId="32" xfId="0" applyBorder="1"/>
    <xf numFmtId="0" fontId="0" fillId="0" borderId="31" xfId="0" applyBorder="1"/>
    <xf numFmtId="0" fontId="0" fillId="61" borderId="1" xfId="0" applyFill="1" applyBorder="1"/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59" borderId="1" xfId="0" applyFill="1" applyBorder="1" applyAlignment="1">
      <alignment horizontal="left"/>
    </xf>
    <xf numFmtId="0" fontId="0" fillId="50" borderId="1" xfId="0" applyFill="1" applyBorder="1"/>
    <xf numFmtId="0" fontId="49" fillId="50" borderId="1" xfId="0" applyFont="1" applyFill="1" applyBorder="1" applyAlignment="1">
      <alignment horizontal="center" vertical="center" wrapText="1"/>
    </xf>
    <xf numFmtId="0" fontId="29" fillId="39" borderId="39" xfId="0" applyFont="1" applyFill="1" applyBorder="1" applyAlignment="1">
      <alignment vertical="center" wrapText="1"/>
    </xf>
    <xf numFmtId="0" fontId="29" fillId="39" borderId="42" xfId="0" applyFont="1" applyFill="1" applyBorder="1" applyAlignment="1">
      <alignment vertical="center" wrapText="1"/>
    </xf>
    <xf numFmtId="0" fontId="29" fillId="39" borderId="49" xfId="0" applyFont="1" applyFill="1" applyBorder="1" applyAlignment="1">
      <alignment vertical="center" wrapText="1"/>
    </xf>
    <xf numFmtId="0" fontId="29" fillId="52" borderId="39" xfId="0" applyFont="1" applyFill="1" applyBorder="1" applyAlignment="1">
      <alignment vertical="center" wrapText="1"/>
    </xf>
    <xf numFmtId="0" fontId="29" fillId="52" borderId="42" xfId="0" applyFont="1" applyFill="1" applyBorder="1" applyAlignment="1">
      <alignment vertical="center" wrapText="1"/>
    </xf>
    <xf numFmtId="0" fontId="29" fillId="39" borderId="2" xfId="0" applyFont="1" applyFill="1" applyBorder="1" applyAlignment="1">
      <alignment vertical="center" wrapText="1"/>
    </xf>
    <xf numFmtId="0" fontId="29" fillId="39" borderId="1" xfId="0" applyFont="1" applyFill="1" applyBorder="1" applyAlignment="1">
      <alignment vertical="center" wrapText="1"/>
    </xf>
    <xf numFmtId="0" fontId="29" fillId="52" borderId="2" xfId="0" applyFont="1" applyFill="1" applyBorder="1" applyAlignment="1">
      <alignment vertical="center" wrapText="1"/>
    </xf>
    <xf numFmtId="0" fontId="29" fillId="52" borderId="1" xfId="0" applyFont="1" applyFill="1" applyBorder="1" applyAlignment="1">
      <alignment vertical="center" wrapText="1"/>
    </xf>
    <xf numFmtId="0" fontId="29" fillId="52" borderId="40" xfId="0" applyFont="1" applyFill="1" applyBorder="1" applyAlignment="1">
      <alignment vertical="center" wrapText="1"/>
    </xf>
    <xf numFmtId="0" fontId="29" fillId="43" borderId="2" xfId="0" applyFont="1" applyFill="1" applyBorder="1" applyAlignment="1">
      <alignment vertical="center" wrapText="1"/>
    </xf>
    <xf numFmtId="0" fontId="29" fillId="43" borderId="1" xfId="0" applyFont="1" applyFill="1" applyBorder="1" applyAlignment="1">
      <alignment vertical="center" wrapText="1"/>
    </xf>
    <xf numFmtId="0" fontId="29" fillId="45" borderId="1" xfId="0" applyFont="1" applyFill="1" applyBorder="1" applyAlignment="1">
      <alignment vertical="center" wrapText="1"/>
    </xf>
    <xf numFmtId="0" fontId="0" fillId="0" borderId="42" xfId="0" applyBorder="1"/>
    <xf numFmtId="0" fontId="0" fillId="3" borderId="19" xfId="0" applyFill="1" applyBorder="1" applyAlignment="1">
      <alignment horizontal="center" vertical="center"/>
    </xf>
    <xf numFmtId="0" fontId="0" fillId="41" borderId="0" xfId="0" applyFill="1" applyAlignment="1">
      <alignment horizontal="center" wrapText="1"/>
    </xf>
    <xf numFmtId="0" fontId="6" fillId="0" borderId="1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35" fillId="0" borderId="31" xfId="0" applyFont="1" applyBorder="1" applyAlignment="1">
      <alignment horizontal="center" wrapText="1"/>
    </xf>
    <xf numFmtId="0" fontId="35" fillId="0" borderId="32" xfId="0" applyFont="1" applyBorder="1" applyAlignment="1">
      <alignment horizontal="center" wrapText="1"/>
    </xf>
    <xf numFmtId="0" fontId="35" fillId="0" borderId="33" xfId="0" applyFont="1" applyBorder="1" applyAlignment="1">
      <alignment horizontal="center" wrapText="1"/>
    </xf>
    <xf numFmtId="0" fontId="35" fillId="0" borderId="34" xfId="0" applyFont="1" applyBorder="1" applyAlignment="1">
      <alignment horizontal="center" wrapText="1"/>
    </xf>
    <xf numFmtId="0" fontId="35" fillId="0" borderId="0" xfId="0" applyFont="1" applyAlignment="1">
      <alignment horizontal="center" wrapText="1"/>
    </xf>
    <xf numFmtId="0" fontId="35" fillId="0" borderId="35" xfId="0" applyFont="1" applyBorder="1" applyAlignment="1">
      <alignment horizontal="center" wrapText="1"/>
    </xf>
    <xf numFmtId="0" fontId="38" fillId="0" borderId="14" xfId="0" applyFont="1" applyBorder="1" applyAlignment="1">
      <alignment horizontal="center" vertical="center" wrapText="1"/>
    </xf>
    <xf numFmtId="0" fontId="38" fillId="0" borderId="63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wrapText="1"/>
    </xf>
    <xf numFmtId="0" fontId="35" fillId="0" borderId="16" xfId="0" applyFont="1" applyBorder="1" applyAlignment="1">
      <alignment horizontal="center" wrapText="1"/>
    </xf>
    <xf numFmtId="0" fontId="35" fillId="0" borderId="55" xfId="0" applyFont="1" applyBorder="1" applyAlignment="1">
      <alignment horizont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8" fillId="0" borderId="61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64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9" fillId="56" borderId="0" xfId="0" applyFont="1" applyFill="1" applyAlignment="1">
      <alignment horizontal="center" vertical="center"/>
    </xf>
    <xf numFmtId="0" fontId="6" fillId="56" borderId="0" xfId="0" applyFont="1" applyFill="1" applyAlignment="1">
      <alignment horizontal="center"/>
    </xf>
    <xf numFmtId="0" fontId="38" fillId="55" borderId="13" xfId="0" applyFont="1" applyFill="1" applyBorder="1" applyAlignment="1">
      <alignment horizontal="center" vertical="center"/>
    </xf>
    <xf numFmtId="0" fontId="38" fillId="55" borderId="0" xfId="0" applyFont="1" applyFill="1" applyAlignment="1">
      <alignment horizontal="center" vertical="center"/>
    </xf>
    <xf numFmtId="0" fontId="0" fillId="0" borderId="0" xfId="0"/>
    <xf numFmtId="0" fontId="38" fillId="55" borderId="60" xfId="0" applyFont="1" applyFill="1" applyBorder="1" applyAlignment="1">
      <alignment horizontal="center" vertical="center"/>
    </xf>
    <xf numFmtId="0" fontId="38" fillId="55" borderId="37" xfId="0" applyFont="1" applyFill="1" applyBorder="1" applyAlignment="1">
      <alignment horizontal="center" vertical="center"/>
    </xf>
    <xf numFmtId="0" fontId="0" fillId="0" borderId="37" xfId="0" applyBorder="1"/>
    <xf numFmtId="0" fontId="6" fillId="0" borderId="6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  <xf numFmtId="0" fontId="38" fillId="0" borderId="75" xfId="0" applyFont="1" applyBorder="1" applyAlignment="1">
      <alignment horizontal="center" vertical="center" wrapText="1"/>
    </xf>
    <xf numFmtId="0" fontId="38" fillId="0" borderId="76" xfId="0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39" borderId="104" xfId="0" applyFill="1" applyBorder="1" applyAlignment="1">
      <alignment horizontal="center" vertical="center"/>
    </xf>
    <xf numFmtId="0" fontId="0" fillId="39" borderId="103" xfId="0" applyFill="1" applyBorder="1" applyAlignment="1">
      <alignment horizontal="center" vertical="center"/>
    </xf>
    <xf numFmtId="0" fontId="0" fillId="39" borderId="102" xfId="0" applyFill="1" applyBorder="1" applyAlignment="1">
      <alignment horizontal="center" vertical="center"/>
    </xf>
    <xf numFmtId="0" fontId="0" fillId="39" borderId="100" xfId="0" applyFill="1" applyBorder="1" applyAlignment="1">
      <alignment horizontal="center" vertical="center"/>
    </xf>
    <xf numFmtId="0" fontId="0" fillId="39" borderId="99" xfId="0" applyFill="1" applyBorder="1" applyAlignment="1">
      <alignment horizontal="center" vertical="center"/>
    </xf>
    <xf numFmtId="0" fontId="0" fillId="39" borderId="98" xfId="0" applyFill="1" applyBorder="1" applyAlignment="1">
      <alignment horizontal="center" vertical="center"/>
    </xf>
    <xf numFmtId="0" fontId="0" fillId="2" borderId="103" xfId="0" applyFill="1" applyBorder="1" applyAlignment="1">
      <alignment horizontal="left" vertical="top"/>
    </xf>
    <xf numFmtId="0" fontId="0" fillId="2" borderId="102" xfId="0" applyFill="1" applyBorder="1" applyAlignment="1">
      <alignment horizontal="left" vertical="top"/>
    </xf>
    <xf numFmtId="0" fontId="0" fillId="2" borderId="99" xfId="0" applyFill="1" applyBorder="1" applyAlignment="1">
      <alignment horizontal="left" vertical="top"/>
    </xf>
    <xf numFmtId="0" fontId="0" fillId="2" borderId="98" xfId="0" applyFill="1" applyBorder="1" applyAlignment="1">
      <alignment horizontal="left" vertical="top"/>
    </xf>
    <xf numFmtId="0" fontId="57" fillId="39" borderId="104" xfId="0" applyFont="1" applyFill="1" applyBorder="1" applyAlignment="1">
      <alignment horizontal="left" vertical="center"/>
    </xf>
    <xf numFmtId="0" fontId="57" fillId="39" borderId="103" xfId="0" applyFont="1" applyFill="1" applyBorder="1" applyAlignment="1">
      <alignment horizontal="left" vertical="center"/>
    </xf>
    <xf numFmtId="0" fontId="57" fillId="39" borderId="102" xfId="0" applyFont="1" applyFill="1" applyBorder="1" applyAlignment="1">
      <alignment horizontal="left" vertical="center"/>
    </xf>
    <xf numFmtId="0" fontId="57" fillId="39" borderId="100" xfId="0" applyFont="1" applyFill="1" applyBorder="1" applyAlignment="1">
      <alignment horizontal="left" vertical="center"/>
    </xf>
    <xf numFmtId="0" fontId="57" fillId="39" borderId="99" xfId="0" applyFont="1" applyFill="1" applyBorder="1" applyAlignment="1">
      <alignment horizontal="left" vertical="center"/>
    </xf>
    <xf numFmtId="0" fontId="57" fillId="39" borderId="98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45" borderId="31" xfId="0" applyFont="1" applyFill="1" applyBorder="1" applyAlignment="1">
      <alignment horizontal="center"/>
    </xf>
    <xf numFmtId="0" fontId="6" fillId="45" borderId="3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7" borderId="107" xfId="0" applyFont="1" applyFill="1" applyBorder="1" applyAlignment="1">
      <alignment horizontal="center"/>
    </xf>
    <xf numFmtId="0" fontId="6" fillId="37" borderId="106" xfId="0" applyFont="1" applyFill="1" applyBorder="1" applyAlignment="1">
      <alignment horizontal="center"/>
    </xf>
    <xf numFmtId="0" fontId="0" fillId="43" borderId="14" xfId="0" applyFill="1" applyBorder="1" applyAlignment="1">
      <alignment horizontal="center"/>
    </xf>
    <xf numFmtId="0" fontId="0" fillId="43" borderId="17" xfId="0" applyFill="1" applyBorder="1" applyAlignment="1">
      <alignment horizontal="center"/>
    </xf>
    <xf numFmtId="0" fontId="0" fillId="43" borderId="1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4" borderId="0" xfId="0" applyFont="1" applyFill="1" applyAlignment="1">
      <alignment horizontal="center" vertical="top" wrapText="1"/>
    </xf>
    <xf numFmtId="0" fontId="0" fillId="43" borderId="51" xfId="0" applyFill="1" applyBorder="1" applyAlignment="1">
      <alignment horizontal="center"/>
    </xf>
    <xf numFmtId="0" fontId="0" fillId="43" borderId="44" xfId="0" applyFill="1" applyBorder="1" applyAlignment="1">
      <alignment horizontal="center"/>
    </xf>
    <xf numFmtId="0" fontId="0" fillId="43" borderId="32" xfId="0" applyFill="1" applyBorder="1" applyAlignment="1">
      <alignment horizontal="center"/>
    </xf>
    <xf numFmtId="0" fontId="0" fillId="43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3" borderId="107" xfId="0" applyFill="1" applyBorder="1" applyAlignment="1">
      <alignment horizontal="center"/>
    </xf>
    <xf numFmtId="0" fontId="0" fillId="43" borderId="111" xfId="0" applyFill="1" applyBorder="1" applyAlignment="1">
      <alignment horizontal="center"/>
    </xf>
    <xf numFmtId="0" fontId="0" fillId="43" borderId="106" xfId="0" applyFill="1" applyBorder="1" applyAlignment="1">
      <alignment horizontal="center"/>
    </xf>
    <xf numFmtId="0" fontId="4" fillId="44" borderId="1" xfId="0" applyFont="1" applyFill="1" applyBorder="1" applyAlignment="1">
      <alignment horizontal="center" vertical="center" wrapText="1"/>
    </xf>
    <xf numFmtId="0" fontId="49" fillId="45" borderId="1" xfId="0" applyFont="1" applyFill="1" applyBorder="1" applyAlignment="1">
      <alignment horizontal="center" vertical="center" wrapText="1"/>
    </xf>
    <xf numFmtId="0" fontId="0" fillId="40" borderId="14" xfId="0" applyFill="1" applyBorder="1" applyAlignment="1">
      <alignment horizontal="center"/>
    </xf>
    <xf numFmtId="0" fontId="0" fillId="40" borderId="17" xfId="0" applyFill="1" applyBorder="1" applyAlignment="1">
      <alignment horizontal="center"/>
    </xf>
    <xf numFmtId="0" fontId="0" fillId="40" borderId="18" xfId="0" applyFill="1" applyBorder="1" applyAlignment="1">
      <alignment horizontal="center"/>
    </xf>
    <xf numFmtId="0" fontId="0" fillId="37" borderId="110" xfId="0" applyFill="1" applyBorder="1" applyAlignment="1">
      <alignment horizontal="center"/>
    </xf>
    <xf numFmtId="0" fontId="0" fillId="37" borderId="109" xfId="0" applyFill="1" applyBorder="1" applyAlignment="1">
      <alignment horizontal="center"/>
    </xf>
    <xf numFmtId="0" fontId="0" fillId="37" borderId="108" xfId="0" applyFill="1" applyBorder="1" applyAlignment="1">
      <alignment horizontal="center"/>
    </xf>
    <xf numFmtId="0" fontId="0" fillId="37" borderId="107" xfId="0" applyFill="1" applyBorder="1" applyAlignment="1">
      <alignment horizontal="center"/>
    </xf>
    <xf numFmtId="0" fontId="0" fillId="37" borderId="106" xfId="0" applyFill="1" applyBorder="1" applyAlignment="1">
      <alignment horizontal="center"/>
    </xf>
    <xf numFmtId="0" fontId="0" fillId="2" borderId="107" xfId="0" applyFill="1" applyBorder="1" applyAlignment="1">
      <alignment horizontal="center"/>
    </xf>
    <xf numFmtId="0" fontId="0" fillId="2" borderId="111" xfId="0" applyFill="1" applyBorder="1" applyAlignment="1">
      <alignment horizontal="center"/>
    </xf>
    <xf numFmtId="0" fontId="0" fillId="2" borderId="106" xfId="0" applyFill="1" applyBorder="1" applyAlignment="1">
      <alignment horizontal="center"/>
    </xf>
    <xf numFmtId="0" fontId="0" fillId="47" borderId="1" xfId="0" applyFill="1" applyBorder="1" applyAlignment="1">
      <alignment horizontal="center"/>
    </xf>
    <xf numFmtId="0" fontId="0" fillId="59" borderId="1" xfId="0" applyFill="1" applyBorder="1" applyAlignment="1">
      <alignment horizontal="left"/>
    </xf>
    <xf numFmtId="0" fontId="6" fillId="37" borderId="39" xfId="0" applyFont="1" applyFill="1" applyBorder="1" applyAlignment="1">
      <alignment horizontal="center"/>
    </xf>
    <xf numFmtId="0" fontId="6" fillId="37" borderId="42" xfId="0" applyFont="1" applyFill="1" applyBorder="1" applyAlignment="1">
      <alignment horizontal="center"/>
    </xf>
    <xf numFmtId="0" fontId="6" fillId="37" borderId="49" xfId="0" applyFont="1" applyFill="1" applyBorder="1" applyAlignment="1">
      <alignment horizontal="center"/>
    </xf>
    <xf numFmtId="0" fontId="0" fillId="45" borderId="31" xfId="0" applyFill="1" applyBorder="1" applyAlignment="1">
      <alignment horizontal="center"/>
    </xf>
    <xf numFmtId="0" fontId="0" fillId="45" borderId="33" xfId="0" applyFill="1" applyBorder="1" applyAlignment="1">
      <alignment horizontal="center"/>
    </xf>
    <xf numFmtId="0" fontId="6" fillId="41" borderId="31" xfId="0" applyFont="1" applyFill="1" applyBorder="1" applyAlignment="1">
      <alignment horizontal="center"/>
    </xf>
    <xf numFmtId="0" fontId="6" fillId="41" borderId="32" xfId="0" applyFont="1" applyFill="1" applyBorder="1" applyAlignment="1">
      <alignment horizontal="center"/>
    </xf>
    <xf numFmtId="0" fontId="6" fillId="41" borderId="3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5" xfId="0" applyBorder="1" applyAlignment="1">
      <alignment horizontal="center" wrapText="1"/>
    </xf>
    <xf numFmtId="0" fontId="6" fillId="39" borderId="2" xfId="0" applyFont="1" applyFill="1" applyBorder="1" applyAlignment="1">
      <alignment horizontal="center"/>
    </xf>
    <xf numFmtId="0" fontId="6" fillId="39" borderId="1" xfId="0" applyFont="1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6" fillId="4" borderId="31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1" borderId="1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46" borderId="1" xfId="0" applyFont="1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/>
    </xf>
    <xf numFmtId="0" fontId="6" fillId="48" borderId="14" xfId="0" applyFont="1" applyFill="1" applyBorder="1" applyAlignment="1">
      <alignment horizontal="center" vertical="center" wrapText="1"/>
    </xf>
    <xf numFmtId="0" fontId="6" fillId="48" borderId="17" xfId="0" applyFont="1" applyFill="1" applyBorder="1" applyAlignment="1">
      <alignment horizontal="center" vertical="center" wrapText="1"/>
    </xf>
    <xf numFmtId="0" fontId="6" fillId="48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9" borderId="14" xfId="0" applyFont="1" applyFill="1" applyBorder="1" applyAlignment="1">
      <alignment horizontal="center" vertical="center" wrapText="1"/>
    </xf>
    <xf numFmtId="0" fontId="6" fillId="49" borderId="17" xfId="0" applyFont="1" applyFill="1" applyBorder="1" applyAlignment="1">
      <alignment horizontal="center" vertical="center" wrapText="1"/>
    </xf>
    <xf numFmtId="0" fontId="6" fillId="49" borderId="18" xfId="0" applyFont="1" applyFill="1" applyBorder="1" applyAlignment="1">
      <alignment horizontal="center" vertical="center" wrapText="1"/>
    </xf>
    <xf numFmtId="0" fontId="6" fillId="39" borderId="14" xfId="0" applyFont="1" applyFill="1" applyBorder="1" applyAlignment="1">
      <alignment horizontal="center" vertical="center" wrapText="1"/>
    </xf>
    <xf numFmtId="0" fontId="6" fillId="39" borderId="18" xfId="0" applyFont="1" applyFill="1" applyBorder="1" applyAlignment="1">
      <alignment horizontal="center" vertical="center"/>
    </xf>
    <xf numFmtId="0" fontId="6" fillId="40" borderId="14" xfId="0" applyFont="1" applyFill="1" applyBorder="1" applyAlignment="1">
      <alignment horizontal="center" vertical="center" wrapText="1"/>
    </xf>
    <xf numFmtId="0" fontId="6" fillId="40" borderId="17" xfId="0" applyFont="1" applyFill="1" applyBorder="1" applyAlignment="1">
      <alignment horizontal="center" vertical="center" wrapText="1"/>
    </xf>
    <xf numFmtId="0" fontId="6" fillId="40" borderId="18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/>
    </xf>
    <xf numFmtId="0" fontId="75" fillId="0" borderId="33" xfId="0" applyFont="1" applyBorder="1" applyAlignment="1">
      <alignment horizontal="center" vertical="center" wrapText="1"/>
    </xf>
    <xf numFmtId="0" fontId="75" fillId="0" borderId="74" xfId="0" applyFont="1" applyBorder="1" applyAlignment="1">
      <alignment vertical="center" wrapText="1"/>
    </xf>
    <xf numFmtId="0" fontId="75" fillId="0" borderId="74" xfId="0" applyFont="1" applyBorder="1" applyAlignment="1">
      <alignment vertical="center"/>
    </xf>
  </cellXfs>
  <cellStyles count="202">
    <cellStyle name="20% - Accent1 2" xfId="20" xr:uid="{00000000-0005-0000-0000-000000000000}"/>
    <cellStyle name="20% - Accent1 2 2" xfId="131" xr:uid="{B47F11C7-8152-4136-B9F4-8AD0630EB405}"/>
    <cellStyle name="20% - Accent2 2" xfId="24" xr:uid="{00000000-0005-0000-0000-000001000000}"/>
    <cellStyle name="20% - Accent2 2 2" xfId="135" xr:uid="{CE92DE15-4A5F-4A3F-8171-0B76EB52A65F}"/>
    <cellStyle name="20% - Accent3 2" xfId="28" xr:uid="{00000000-0005-0000-0000-000002000000}"/>
    <cellStyle name="20% - Accent3 2 2" xfId="139" xr:uid="{00D43E0B-FBC1-4B3A-8AF0-CD99AA726A9A}"/>
    <cellStyle name="20% - Accent4 2" xfId="32" xr:uid="{00000000-0005-0000-0000-000003000000}"/>
    <cellStyle name="20% - Accent4 2 2" xfId="143" xr:uid="{95B5DF99-290D-4E09-B40C-6595345E97BF}"/>
    <cellStyle name="20% - Accent5 2" xfId="36" xr:uid="{00000000-0005-0000-0000-000004000000}"/>
    <cellStyle name="20% - Accent5 2 2" xfId="147" xr:uid="{E5D78C90-1B8D-4739-866F-48A6EDB09BF4}"/>
    <cellStyle name="20% - Accent6 2" xfId="40" xr:uid="{00000000-0005-0000-0000-000005000000}"/>
    <cellStyle name="20% - Accent6 2 2" xfId="151" xr:uid="{06CE287B-D6F8-458D-A650-05D8299DCB59}"/>
    <cellStyle name="20% - 着色 1 2" xfId="63" xr:uid="{00000000-0005-0000-0000-000006000000}"/>
    <cellStyle name="20% - 着色 1 2 2" xfId="172" xr:uid="{7CCCF4F1-5812-4B82-BAD1-58818E68E6E5}"/>
    <cellStyle name="20% - 着色 2 2" xfId="67" xr:uid="{00000000-0005-0000-0000-000007000000}"/>
    <cellStyle name="20% - 着色 2 2 2" xfId="176" xr:uid="{E1EADEB9-9738-4AF2-B64D-9A0C33846DCC}"/>
    <cellStyle name="20% - 着色 3 2" xfId="71" xr:uid="{00000000-0005-0000-0000-000008000000}"/>
    <cellStyle name="20% - 着色 3 2 2" xfId="180" xr:uid="{424028B8-C37A-4071-9E74-00D1750991F1}"/>
    <cellStyle name="20% - 着色 4 2" xfId="75" xr:uid="{00000000-0005-0000-0000-000009000000}"/>
    <cellStyle name="20% - 着色 4 2 2" xfId="184" xr:uid="{A60F9C39-DA1E-4470-B97E-6EF4CF8111E0}"/>
    <cellStyle name="20% - 着色 5 2" xfId="79" xr:uid="{00000000-0005-0000-0000-00000A000000}"/>
    <cellStyle name="20% - 着色 5 2 2" xfId="188" xr:uid="{BA2AF29B-C3C1-4F07-BD5F-372B9AC2D697}"/>
    <cellStyle name="20% - 着色 6 2" xfId="83" xr:uid="{00000000-0005-0000-0000-00000B000000}"/>
    <cellStyle name="20% - 着色 6 2 2" xfId="192" xr:uid="{70CD5EF3-1005-43DA-9F8C-0394511FF69C}"/>
    <cellStyle name="40% - Accent1 2" xfId="21" xr:uid="{00000000-0005-0000-0000-00000C000000}"/>
    <cellStyle name="40% - Accent1 2 2" xfId="132" xr:uid="{E1CD2CEA-B539-4952-9069-2B0C71DB8077}"/>
    <cellStyle name="40% - Accent2 2" xfId="25" xr:uid="{00000000-0005-0000-0000-00000D000000}"/>
    <cellStyle name="40% - Accent2 2 2" xfId="136" xr:uid="{E53E0654-35A6-4F48-AD26-361D33191FF9}"/>
    <cellStyle name="40% - Accent3 2" xfId="29" xr:uid="{00000000-0005-0000-0000-00000E000000}"/>
    <cellStyle name="40% - Accent3 2 2" xfId="140" xr:uid="{7A7B9692-1C87-4D27-AC01-62DBF2BB4B7D}"/>
    <cellStyle name="40% - Accent4 2" xfId="33" xr:uid="{00000000-0005-0000-0000-00000F000000}"/>
    <cellStyle name="40% - Accent4 2 2" xfId="144" xr:uid="{DA3A4686-3601-4634-8D00-8855F2A98C30}"/>
    <cellStyle name="40% - Accent5 2" xfId="37" xr:uid="{00000000-0005-0000-0000-000010000000}"/>
    <cellStyle name="40% - Accent5 2 2" xfId="148" xr:uid="{347375ED-22ED-4DCF-88DA-BD4DD1C9E11E}"/>
    <cellStyle name="40% - Accent6 2" xfId="41" xr:uid="{00000000-0005-0000-0000-000011000000}"/>
    <cellStyle name="40% - Accent6 2 2" xfId="152" xr:uid="{D64797A5-896B-4568-A80E-FD4A37C09DD8}"/>
    <cellStyle name="40% - 着色 1 2" xfId="64" xr:uid="{00000000-0005-0000-0000-000012000000}"/>
    <cellStyle name="40% - 着色 1 2 2" xfId="173" xr:uid="{E3342114-8168-4977-8651-2328F4794E32}"/>
    <cellStyle name="40% - 着色 2 2" xfId="68" xr:uid="{00000000-0005-0000-0000-000013000000}"/>
    <cellStyle name="40% - 着色 2 2 2" xfId="177" xr:uid="{F4400720-ECAE-4F27-9322-828D9DAB9079}"/>
    <cellStyle name="40% - 着色 3 2" xfId="72" xr:uid="{00000000-0005-0000-0000-000014000000}"/>
    <cellStyle name="40% - 着色 3 2 2" xfId="181" xr:uid="{EBA84BD7-492D-4B6E-9B96-24D8AD285511}"/>
    <cellStyle name="40% - 着色 4 2" xfId="76" xr:uid="{00000000-0005-0000-0000-000015000000}"/>
    <cellStyle name="40% - 着色 4 2 2" xfId="185" xr:uid="{9F44D4F0-B62D-42FF-B05D-743AC2532179}"/>
    <cellStyle name="40% - 着色 5 2" xfId="80" xr:uid="{00000000-0005-0000-0000-000016000000}"/>
    <cellStyle name="40% - 着色 5 2 2" xfId="189" xr:uid="{019A5E14-25AF-414D-B130-F412EDB668B0}"/>
    <cellStyle name="40% - 着色 6 2" xfId="84" xr:uid="{00000000-0005-0000-0000-000017000000}"/>
    <cellStyle name="40% - 着色 6 2 2" xfId="193" xr:uid="{88FAC489-ED1C-4569-97A0-545C35E4005A}"/>
    <cellStyle name="60% - Accent1 2" xfId="22" xr:uid="{00000000-0005-0000-0000-000018000000}"/>
    <cellStyle name="60% - Accent1 2 2" xfId="133" xr:uid="{F8DF95C0-7EB4-4470-808D-A72C93BC63AB}"/>
    <cellStyle name="60% - Accent2 2" xfId="26" xr:uid="{00000000-0005-0000-0000-000019000000}"/>
    <cellStyle name="60% - Accent2 2 2" xfId="137" xr:uid="{7AFDF242-45B9-4A67-82BC-17DAA4D19872}"/>
    <cellStyle name="60% - Accent3 2" xfId="30" xr:uid="{00000000-0005-0000-0000-00001A000000}"/>
    <cellStyle name="60% - Accent3 2 2" xfId="141" xr:uid="{9C80E010-CB82-477C-9754-E54FE08AABCF}"/>
    <cellStyle name="60% - Accent4 2" xfId="34" xr:uid="{00000000-0005-0000-0000-00001B000000}"/>
    <cellStyle name="60% - Accent4 2 2" xfId="145" xr:uid="{8C89BD43-C8AE-4C69-8567-ECA8BCC37FF3}"/>
    <cellStyle name="60% - Accent5 2" xfId="38" xr:uid="{00000000-0005-0000-0000-00001C000000}"/>
    <cellStyle name="60% - Accent5 2 2" xfId="149" xr:uid="{C103A0FA-FF10-406F-930C-F12BE54368F8}"/>
    <cellStyle name="60% - Accent6 2" xfId="42" xr:uid="{00000000-0005-0000-0000-00001D000000}"/>
    <cellStyle name="60% - Accent6 2 2" xfId="153" xr:uid="{57436724-99CD-4213-8A7F-53F30D0A8383}"/>
    <cellStyle name="60% - 着色 1 2" xfId="65" xr:uid="{00000000-0005-0000-0000-00001E000000}"/>
    <cellStyle name="60% - 着色 1 2 2" xfId="174" xr:uid="{D1535104-8E72-4ACF-A92C-BB9F56C57732}"/>
    <cellStyle name="60% - 着色 2 2" xfId="69" xr:uid="{00000000-0005-0000-0000-00001F000000}"/>
    <cellStyle name="60% - 着色 2 2 2" xfId="178" xr:uid="{7F885E7A-D6B2-428E-BFBF-0E511DDB6F5F}"/>
    <cellStyle name="60% - 着色 3 2" xfId="73" xr:uid="{00000000-0005-0000-0000-000020000000}"/>
    <cellStyle name="60% - 着色 3 2 2" xfId="182" xr:uid="{C8CAFDC3-BA5E-40B9-A0ED-110C4752CA59}"/>
    <cellStyle name="60% - 着色 4 2" xfId="77" xr:uid="{00000000-0005-0000-0000-000021000000}"/>
    <cellStyle name="60% - 着色 4 2 2" xfId="186" xr:uid="{9EF80071-CFB4-4831-B37D-80AFCB447D9B}"/>
    <cellStyle name="60% - 着色 5 2" xfId="81" xr:uid="{00000000-0005-0000-0000-000022000000}"/>
    <cellStyle name="60% - 着色 5 2 2" xfId="190" xr:uid="{D930E913-AD7B-4CF4-B88C-9412C5460581}"/>
    <cellStyle name="60% - 着色 6 2" xfId="85" xr:uid="{00000000-0005-0000-0000-000023000000}"/>
    <cellStyle name="60% - 着色 6 2 2" xfId="194" xr:uid="{538FD3F0-B794-422A-8CCA-A39EBCA4B609}"/>
    <cellStyle name="Accent1 2" xfId="19" xr:uid="{00000000-0005-0000-0000-000024000000}"/>
    <cellStyle name="Accent1 2 2" xfId="130" xr:uid="{40DA8D3D-4F81-45D7-9470-4B437B693D0E}"/>
    <cellStyle name="Accent2 2" xfId="23" xr:uid="{00000000-0005-0000-0000-000025000000}"/>
    <cellStyle name="Accent2 2 2" xfId="134" xr:uid="{DB276C55-2FDD-40AF-8B16-37658578941D}"/>
    <cellStyle name="Accent3 2" xfId="27" xr:uid="{00000000-0005-0000-0000-000026000000}"/>
    <cellStyle name="Accent3 2 2" xfId="138" xr:uid="{B720CA4E-E97D-45F4-BAF9-4D549E38463B}"/>
    <cellStyle name="Accent4 2" xfId="31" xr:uid="{00000000-0005-0000-0000-000027000000}"/>
    <cellStyle name="Accent4 2 2" xfId="142" xr:uid="{4AB939D0-308D-4227-87F8-A59F24008ACC}"/>
    <cellStyle name="Accent5 2" xfId="35" xr:uid="{00000000-0005-0000-0000-000028000000}"/>
    <cellStyle name="Accent5 2 2" xfId="146" xr:uid="{97D70CD8-FB56-45DC-BA38-B66E13979221}"/>
    <cellStyle name="Accent6 2" xfId="39" xr:uid="{00000000-0005-0000-0000-000029000000}"/>
    <cellStyle name="Accent6 2 2" xfId="150" xr:uid="{BCC94152-593E-4D8D-9775-B5A2A52951DB}"/>
    <cellStyle name="Bad" xfId="109" builtinId="27"/>
    <cellStyle name="Bad 2" xfId="9" xr:uid="{00000000-0005-0000-0000-00002B000000}"/>
    <cellStyle name="Bad 2 2" xfId="120" xr:uid="{4BDEE376-F8D0-4660-94BD-3C452FD926B8}"/>
    <cellStyle name="Bad 3" xfId="200" xr:uid="{CE223AB7-B79F-4779-9DD3-1A93AFD0F0AA}"/>
    <cellStyle name="Calculation 2" xfId="13" xr:uid="{00000000-0005-0000-0000-00002C000000}"/>
    <cellStyle name="Calculation 2 2" xfId="124" xr:uid="{1D2CA756-8A32-4818-9105-3BC8AAA9C810}"/>
    <cellStyle name="Check Cell 2" xfId="15" xr:uid="{00000000-0005-0000-0000-00002D000000}"/>
    <cellStyle name="Check Cell 2 2" xfId="126" xr:uid="{AFE791B8-AE4D-4F9D-83C1-43CB929BF8BD}"/>
    <cellStyle name="Explanatory Text 2" xfId="17" xr:uid="{00000000-0005-0000-0000-00002E000000}"/>
    <cellStyle name="Explanatory Text 2 2" xfId="128" xr:uid="{AE3E66A1-BCEA-441C-A91A-4F8ADEA459FD}"/>
    <cellStyle name="Good 2" xfId="8" xr:uid="{00000000-0005-0000-0000-00002F000000}"/>
    <cellStyle name="Good 2 2" xfId="119" xr:uid="{CCCD698D-F548-4983-A513-1D60CE9906F3}"/>
    <cellStyle name="Heading 1 2" xfId="4" xr:uid="{00000000-0005-0000-0000-000030000000}"/>
    <cellStyle name="Heading 1 2 2" xfId="115" xr:uid="{86A9F18D-8BA7-452A-B10F-D48ABABA2A64}"/>
    <cellStyle name="Heading 2 2" xfId="5" xr:uid="{00000000-0005-0000-0000-000031000000}"/>
    <cellStyle name="Heading 2 2 2" xfId="116" xr:uid="{A6E926FD-7E3A-4AA1-89CA-CCA1E59D53D0}"/>
    <cellStyle name="Heading 3 2" xfId="6" xr:uid="{00000000-0005-0000-0000-000032000000}"/>
    <cellStyle name="Heading 3 2 2" xfId="117" xr:uid="{65A23A99-DBE6-4799-ADE3-2D7182E17CA1}"/>
    <cellStyle name="Heading 4 2" xfId="7" xr:uid="{00000000-0005-0000-0000-000033000000}"/>
    <cellStyle name="Heading 4 2 2" xfId="118" xr:uid="{C21215AC-3E76-4E2A-8E55-B83946C7B5B6}"/>
    <cellStyle name="Input 2" xfId="11" xr:uid="{00000000-0005-0000-0000-000034000000}"/>
    <cellStyle name="Input 2 2" xfId="122" xr:uid="{1B5E1213-E33C-4D43-8D06-202C76BED835}"/>
    <cellStyle name="Input-AH" xfId="113" xr:uid="{13413E56-98BC-4BFE-BE58-C34BFD0ED56A}"/>
    <cellStyle name="Linked Cell 2" xfId="14" xr:uid="{00000000-0005-0000-0000-000035000000}"/>
    <cellStyle name="Linked Cell 2 2" xfId="125" xr:uid="{39F0C899-9BAF-492F-BD0D-0AAF442861E8}"/>
    <cellStyle name="Neutral 2" xfId="10" xr:uid="{00000000-0005-0000-0000-000036000000}"/>
    <cellStyle name="Neutral 2 2" xfId="121" xr:uid="{DB5A1AC2-2238-447E-9EA9-3567C9ADCDBC}"/>
    <cellStyle name="Normal" xfId="0" builtinId="0"/>
    <cellStyle name="Normal 10" xfId="97" xr:uid="{00000000-0005-0000-0000-000038000000}"/>
    <cellStyle name="Normal 11" xfId="100" xr:uid="{00000000-0005-0000-0000-000039000000}"/>
    <cellStyle name="Normal 12" xfId="101" xr:uid="{00000000-0005-0000-0000-00003A000000}"/>
    <cellStyle name="Normal 13" xfId="103" xr:uid="{00000000-0005-0000-0000-00003B000000}"/>
    <cellStyle name="Normal 14" xfId="106" xr:uid="{00000000-0005-0000-0000-00003C000000}"/>
    <cellStyle name="Normal 14 2" xfId="107" xr:uid="{00000000-0005-0000-0000-00003D000000}"/>
    <cellStyle name="Normal 15" xfId="108" xr:uid="{00000000-0005-0000-0000-00003E000000}"/>
    <cellStyle name="Normal 16" xfId="110" xr:uid="{00000000-0005-0000-0000-00003F000000}"/>
    <cellStyle name="Normal 16 2" xfId="112" xr:uid="{23AECE70-1DE9-495F-BFE6-83545FD928EF}"/>
    <cellStyle name="Normal 17" xfId="111" xr:uid="{00000000-0005-0000-0000-000040000000}"/>
    <cellStyle name="Normal 17 2" xfId="201" xr:uid="{9C36FF6C-8730-4F74-A018-5F0990B76976}"/>
    <cellStyle name="Normal 2" xfId="1" xr:uid="{00000000-0005-0000-0000-000041000000}"/>
    <cellStyle name="Normal 2 2" xfId="105" xr:uid="{00000000-0005-0000-0000-000042000000}"/>
    <cellStyle name="Normal 2 3" xfId="102" xr:uid="{00000000-0005-0000-0000-000043000000}"/>
    <cellStyle name="Normal 3" xfId="88" xr:uid="{00000000-0005-0000-0000-000044000000}"/>
    <cellStyle name="Normal 4" xfId="93" xr:uid="{00000000-0005-0000-0000-000045000000}"/>
    <cellStyle name="Normal 5" xfId="91" xr:uid="{00000000-0005-0000-0000-000046000000}"/>
    <cellStyle name="Normal 6" xfId="89" xr:uid="{00000000-0005-0000-0000-000047000000}"/>
    <cellStyle name="Normal 7" xfId="92" xr:uid="{00000000-0005-0000-0000-000048000000}"/>
    <cellStyle name="Normal 8" xfId="90" xr:uid="{00000000-0005-0000-0000-000049000000}"/>
    <cellStyle name="Normal 9" xfId="94" xr:uid="{00000000-0005-0000-0000-00004A000000}"/>
    <cellStyle name="Output 2" xfId="12" xr:uid="{00000000-0005-0000-0000-00004B000000}"/>
    <cellStyle name="Output 2 2" xfId="123" xr:uid="{55F84B9A-5251-415A-BA8E-CC3EF3595909}"/>
    <cellStyle name="Title 2" xfId="3" xr:uid="{00000000-0005-0000-0000-00004C000000}"/>
    <cellStyle name="Title 2 2" xfId="114" xr:uid="{E8B949BD-C700-47EF-B45A-31253CEAF2C1}"/>
    <cellStyle name="Total 2" xfId="18" xr:uid="{00000000-0005-0000-0000-00004D000000}"/>
    <cellStyle name="Total 2 2" xfId="129" xr:uid="{C81D6B4B-3155-4166-84B0-45B1D38565EB}"/>
    <cellStyle name="Warning Text 2" xfId="16" xr:uid="{00000000-0005-0000-0000-00004E000000}"/>
    <cellStyle name="Warning Text 2 2" xfId="127" xr:uid="{16680DA0-E257-4C40-9CD6-719591BD89D5}"/>
    <cellStyle name="好 2" xfId="46" xr:uid="{00000000-0005-0000-0000-00004F000000}"/>
    <cellStyle name="好 2 2" xfId="155" xr:uid="{3DEE2ED2-7F4D-4B07-87B5-59FAEDFC7590}"/>
    <cellStyle name="好_项目样品" xfId="96" xr:uid="{00000000-0005-0000-0000-000050000000}"/>
    <cellStyle name="好_项目样品 2" xfId="99" xr:uid="{00000000-0005-0000-0000-000051000000}"/>
    <cellStyle name="好_项目样品 2 2" xfId="199" xr:uid="{EE3BEC98-3F46-480C-865B-AD2065FA7025}"/>
    <cellStyle name="好_项目样品 3" xfId="197" xr:uid="{8250BAB0-FB5E-4CBA-9FA6-2B4E4864AA3D}"/>
    <cellStyle name="差 2" xfId="52" xr:uid="{00000000-0005-0000-0000-000052000000}"/>
    <cellStyle name="差 2 2" xfId="161" xr:uid="{1761A1B2-C6CF-4C72-A7DC-E69C9E94CF34}"/>
    <cellStyle name="差_项目样品" xfId="95" xr:uid="{00000000-0005-0000-0000-000053000000}"/>
    <cellStyle name="差_项目样品 2" xfId="98" xr:uid="{00000000-0005-0000-0000-000054000000}"/>
    <cellStyle name="差_项目样品 2 2" xfId="198" xr:uid="{AA4F36EB-4242-4539-84A4-7DE3D543C726}"/>
    <cellStyle name="差_项目样品 3" xfId="196" xr:uid="{11CAC4E3-FA59-49FC-A578-CCAA39F0D4C7}"/>
    <cellStyle name="常规 2" xfId="44" xr:uid="{00000000-0005-0000-0000-000055000000}"/>
    <cellStyle name="常规 2 2" xfId="86" xr:uid="{00000000-0005-0000-0000-000056000000}"/>
    <cellStyle name="常规 2 3" xfId="104" xr:uid="{00000000-0005-0000-0000-000057000000}"/>
    <cellStyle name="常规 23" xfId="2" xr:uid="{00000000-0005-0000-0000-000058000000}"/>
    <cellStyle name="常规 23 2" xfId="43" xr:uid="{00000000-0005-0000-0000-000059000000}"/>
    <cellStyle name="标题 1 2" xfId="50" xr:uid="{00000000-0005-0000-0000-00005A000000}"/>
    <cellStyle name="标题 1 2 2" xfId="159" xr:uid="{8B80B634-6CF3-4EA7-A5C0-3382A50EF570}"/>
    <cellStyle name="标题 2 2" xfId="49" xr:uid="{00000000-0005-0000-0000-00005B000000}"/>
    <cellStyle name="标题 2 2 2" xfId="158" xr:uid="{521FA6C6-59A5-478B-A7A8-A7928A1DB783}"/>
    <cellStyle name="标题 3 2" xfId="48" xr:uid="{00000000-0005-0000-0000-00005C000000}"/>
    <cellStyle name="标题 3 2 2" xfId="157" xr:uid="{0223ACBB-AC10-4437-9954-72432E8EC7A6}"/>
    <cellStyle name="标题 4 2" xfId="47" xr:uid="{00000000-0005-0000-0000-00005D000000}"/>
    <cellStyle name="标题 4 2 2" xfId="156" xr:uid="{809652F1-7203-487D-B772-86307E1A87F5}"/>
    <cellStyle name="标题 5" xfId="51" xr:uid="{00000000-0005-0000-0000-00005E000000}"/>
    <cellStyle name="标题 5 2" xfId="160" xr:uid="{8A45F418-C8EA-4703-B437-4F8355F87D6E}"/>
    <cellStyle name="检查单元格 2" xfId="58" xr:uid="{00000000-0005-0000-0000-00005F000000}"/>
    <cellStyle name="检查单元格 2 2" xfId="167" xr:uid="{ED8CCA30-283C-4843-A1A5-8E3E38DA71B8}"/>
    <cellStyle name="汇总 2" xfId="61" xr:uid="{00000000-0005-0000-0000-000060000000}"/>
    <cellStyle name="汇总 2 2" xfId="170" xr:uid="{D3EDF60B-1C34-48DE-BE38-8D1E28019C77}"/>
    <cellStyle name="注释 2" xfId="45" xr:uid="{00000000-0005-0000-0000-000061000000}"/>
    <cellStyle name="注释 2 2" xfId="87" xr:uid="{00000000-0005-0000-0000-000062000000}"/>
    <cellStyle name="注释 2 2 2" xfId="195" xr:uid="{F9CC040B-C21D-4E41-81C4-59DE40FADDF8}"/>
    <cellStyle name="注释 2 3" xfId="154" xr:uid="{4612F1B8-2323-4E9F-97E8-E9611E037679}"/>
    <cellStyle name="着色 1 2" xfId="62" xr:uid="{00000000-0005-0000-0000-000063000000}"/>
    <cellStyle name="着色 1 2 2" xfId="171" xr:uid="{F63C8DB9-8EAD-4442-BA73-134D1A056840}"/>
    <cellStyle name="着色 2 2" xfId="66" xr:uid="{00000000-0005-0000-0000-000064000000}"/>
    <cellStyle name="着色 2 2 2" xfId="175" xr:uid="{90433874-BCB0-4C8B-A664-AF4DD74E04EF}"/>
    <cellStyle name="着色 3 2" xfId="70" xr:uid="{00000000-0005-0000-0000-000065000000}"/>
    <cellStyle name="着色 3 2 2" xfId="179" xr:uid="{1CA79022-BD68-46A1-8CBC-153DD962B4B8}"/>
    <cellStyle name="着色 4 2" xfId="74" xr:uid="{00000000-0005-0000-0000-000066000000}"/>
    <cellStyle name="着色 4 2 2" xfId="183" xr:uid="{462BC46F-7C36-4E24-83F9-3D52FCC4D42A}"/>
    <cellStyle name="着色 5 2" xfId="78" xr:uid="{00000000-0005-0000-0000-000067000000}"/>
    <cellStyle name="着色 5 2 2" xfId="187" xr:uid="{324F9385-C82F-4481-B3A5-B3377A96A99D}"/>
    <cellStyle name="着色 6 2" xfId="82" xr:uid="{00000000-0005-0000-0000-000068000000}"/>
    <cellStyle name="着色 6 2 2" xfId="191" xr:uid="{BF91D666-1C87-4BF2-BAFF-F322BA27F7CE}"/>
    <cellStyle name="解释性文本 2" xfId="60" xr:uid="{00000000-0005-0000-0000-000069000000}"/>
    <cellStyle name="解释性文本 2 2" xfId="169" xr:uid="{F2F2DB78-B726-4A04-B0C4-D70E12BD4717}"/>
    <cellStyle name="警告文本 2" xfId="59" xr:uid="{00000000-0005-0000-0000-00006A000000}"/>
    <cellStyle name="警告文本 2 2" xfId="168" xr:uid="{93D7C16D-3FD9-4722-B346-141D482EC57A}"/>
    <cellStyle name="计算 2" xfId="56" xr:uid="{00000000-0005-0000-0000-00006B000000}"/>
    <cellStyle name="计算 2 2" xfId="165" xr:uid="{EC127026-C30A-400B-9DFB-0956045077F2}"/>
    <cellStyle name="输入 2" xfId="54" xr:uid="{00000000-0005-0000-0000-00006C000000}"/>
    <cellStyle name="输入 2 2" xfId="163" xr:uid="{6E28C0A1-0C26-4A27-B304-BEE4A6453CA6}"/>
    <cellStyle name="输出 2" xfId="55" xr:uid="{00000000-0005-0000-0000-00006D000000}"/>
    <cellStyle name="输出 2 2" xfId="164" xr:uid="{138E2369-ADBB-4FA9-AD4B-466EF1B8CD59}"/>
    <cellStyle name="适中 2" xfId="53" xr:uid="{00000000-0005-0000-0000-00006E000000}"/>
    <cellStyle name="适中 2 2" xfId="162" xr:uid="{F7D2BA9B-A887-4C9D-8FD9-87DD34ABA54D}"/>
    <cellStyle name="链接单元格 2" xfId="57" xr:uid="{00000000-0005-0000-0000-00006F000000}"/>
    <cellStyle name="链接单元格 2 2" xfId="166" xr:uid="{A39239E3-2CD3-4226-9C48-9DA7779447B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5B5B"/>
        </patternFill>
      </fill>
    </dxf>
  </dxfs>
  <tableStyles count="0" defaultTableStyle="TableStyleMedium2" defaultPivotStyle="PivotStyleLight16"/>
  <colors>
    <mruColors>
      <color rgb="FFACCBD8"/>
      <color rgb="FFFFFF99"/>
      <color rgb="FFFFFFBD"/>
      <color rgb="FFFFFFEB"/>
      <color rgb="FFE9C2C1"/>
      <color rgb="FF3F3F76"/>
      <color rgb="FF000000"/>
      <color rgb="FFFF99FF"/>
      <color rgb="FFFFFFCC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7"/>
  <sheetViews>
    <sheetView workbookViewId="0">
      <selection activeCell="E1" sqref="E1:E1048576"/>
    </sheetView>
  </sheetViews>
  <sheetFormatPr defaultRowHeight="15"/>
  <cols>
    <col min="1" max="1" width="18.42578125" bestFit="1" customWidth="1"/>
  </cols>
  <sheetData>
    <row r="1" spans="1:13">
      <c r="A1" t="s">
        <v>555</v>
      </c>
      <c r="C1" t="s">
        <v>1145</v>
      </c>
      <c r="E1" t="s">
        <v>1046</v>
      </c>
      <c r="F1" t="s">
        <v>1054</v>
      </c>
      <c r="H1" t="s">
        <v>1054</v>
      </c>
      <c r="I1" t="s">
        <v>1049</v>
      </c>
      <c r="J1" t="s">
        <v>1050</v>
      </c>
      <c r="K1" t="s">
        <v>1051</v>
      </c>
      <c r="L1" t="s">
        <v>1052</v>
      </c>
      <c r="M1" t="s">
        <v>1053</v>
      </c>
    </row>
    <row r="2" spans="1:13">
      <c r="A2" t="s">
        <v>191</v>
      </c>
      <c r="C2" t="s">
        <v>3794</v>
      </c>
      <c r="E2" t="s">
        <v>1047</v>
      </c>
      <c r="F2" t="s">
        <v>1049</v>
      </c>
    </row>
    <row r="3" spans="1:13">
      <c r="A3" t="s">
        <v>556</v>
      </c>
      <c r="C3" t="s">
        <v>3795</v>
      </c>
      <c r="E3" t="s">
        <v>1048</v>
      </c>
      <c r="F3" t="s">
        <v>1050</v>
      </c>
    </row>
    <row r="4" spans="1:13">
      <c r="A4" t="s">
        <v>557</v>
      </c>
      <c r="C4" t="s">
        <v>191</v>
      </c>
      <c r="E4" t="s">
        <v>553</v>
      </c>
      <c r="F4" t="s">
        <v>1051</v>
      </c>
    </row>
    <row r="5" spans="1:13">
      <c r="A5" t="s">
        <v>558</v>
      </c>
      <c r="F5" t="s">
        <v>1052</v>
      </c>
    </row>
    <row r="6" spans="1:13">
      <c r="A6" t="s">
        <v>559</v>
      </c>
      <c r="F6" t="s">
        <v>1053</v>
      </c>
    </row>
    <row r="7" spans="1:13">
      <c r="A7" t="s">
        <v>560</v>
      </c>
    </row>
  </sheetData>
  <customSheetViews>
    <customSheetView guid="{A4BD9991-0908-4EDC-898A-8A5DE615ED00}" state="hidden">
      <selection activeCell="K2" sqref="K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3F63-DB5B-4CA5-8D46-5F92F37EEB2F}">
  <sheetPr codeName="Sheet3">
    <tabColor theme="0"/>
  </sheetPr>
  <dimension ref="A2:N51"/>
  <sheetViews>
    <sheetView tabSelected="1" workbookViewId="0">
      <selection activeCell="L12" sqref="L12"/>
    </sheetView>
  </sheetViews>
  <sheetFormatPr defaultColWidth="9.140625" defaultRowHeight="15"/>
  <cols>
    <col min="1" max="1" width="13.85546875" customWidth="1"/>
    <col min="2" max="2" width="11.5703125" customWidth="1"/>
    <col min="3" max="3" width="12.7109375" customWidth="1"/>
    <col min="4" max="4" width="14.140625" customWidth="1"/>
    <col min="5" max="5" width="11.7109375" customWidth="1"/>
    <col min="6" max="6" width="11.140625" customWidth="1"/>
    <col min="7" max="7" width="13.140625" customWidth="1"/>
    <col min="9" max="9" width="13.28515625" customWidth="1"/>
    <col min="10" max="10" width="16.5703125" customWidth="1"/>
    <col min="11" max="11" width="13.5703125" customWidth="1"/>
    <col min="12" max="12" width="21.85546875" customWidth="1"/>
    <col min="13" max="13" width="16.28515625" customWidth="1"/>
  </cols>
  <sheetData>
    <row r="2" spans="1:13" ht="56.25">
      <c r="A2" s="313" t="s">
        <v>2310</v>
      </c>
      <c r="B2" s="313" t="s">
        <v>2311</v>
      </c>
      <c r="C2" s="312" t="s">
        <v>614</v>
      </c>
      <c r="D2" s="314" t="s">
        <v>594</v>
      </c>
      <c r="E2" s="314" t="s">
        <v>595</v>
      </c>
      <c r="F2" s="314" t="s">
        <v>956</v>
      </c>
      <c r="G2" s="314" t="s">
        <v>2312</v>
      </c>
      <c r="H2" s="314" t="s">
        <v>2313</v>
      </c>
      <c r="I2" s="313" t="s">
        <v>2314</v>
      </c>
      <c r="J2" s="313" t="s">
        <v>2315</v>
      </c>
      <c r="K2" s="313" t="s">
        <v>2316</v>
      </c>
      <c r="L2" s="315" t="s">
        <v>2317</v>
      </c>
      <c r="M2" s="313" t="s">
        <v>1045</v>
      </c>
    </row>
    <row r="3" spans="1:13">
      <c r="A3" s="8"/>
      <c r="B3" s="8" t="s">
        <v>736</v>
      </c>
      <c r="C3" s="10">
        <v>1</v>
      </c>
      <c r="D3" s="8"/>
      <c r="E3" s="8"/>
      <c r="F3" s="8"/>
      <c r="G3" s="8"/>
      <c r="H3" s="8"/>
      <c r="I3" s="8"/>
      <c r="J3" s="8"/>
      <c r="K3" s="15"/>
      <c r="L3" s="15"/>
      <c r="M3" s="15"/>
    </row>
    <row r="4" spans="1:13">
      <c r="A4" s="8"/>
      <c r="B4" s="8" t="s">
        <v>737</v>
      </c>
      <c r="C4" s="10">
        <v>2</v>
      </c>
      <c r="D4" s="8"/>
      <c r="E4" s="8"/>
      <c r="F4" s="8"/>
      <c r="G4" s="8"/>
      <c r="H4" s="8"/>
      <c r="I4" s="8"/>
      <c r="J4" s="8"/>
      <c r="K4" s="15"/>
      <c r="L4" s="15"/>
      <c r="M4" s="15"/>
    </row>
    <row r="5" spans="1:13">
      <c r="A5" s="8"/>
      <c r="B5" s="8" t="s">
        <v>738</v>
      </c>
      <c r="C5" s="10">
        <v>3</v>
      </c>
      <c r="D5" s="8"/>
      <c r="E5" s="8"/>
      <c r="F5" s="8"/>
      <c r="G5" s="8"/>
      <c r="H5" s="8"/>
      <c r="I5" s="8"/>
      <c r="J5" s="8"/>
      <c r="K5" s="15"/>
      <c r="L5" s="15"/>
      <c r="M5" s="14"/>
    </row>
    <row r="6" spans="1:13">
      <c r="A6" s="8"/>
      <c r="B6" s="8" t="s">
        <v>739</v>
      </c>
      <c r="C6" s="10">
        <v>4</v>
      </c>
      <c r="D6" s="8"/>
      <c r="E6" s="8"/>
      <c r="F6" s="8"/>
      <c r="G6" s="8"/>
      <c r="H6" s="8"/>
      <c r="I6" s="8"/>
      <c r="J6" s="8"/>
      <c r="K6" s="15"/>
      <c r="L6" s="15"/>
      <c r="M6" s="14"/>
    </row>
    <row r="7" spans="1:13">
      <c r="A7" s="8"/>
      <c r="B7" s="8" t="s">
        <v>740</v>
      </c>
      <c r="C7" s="10">
        <v>5</v>
      </c>
      <c r="D7" s="8"/>
      <c r="E7" s="8"/>
      <c r="F7" s="8"/>
      <c r="G7" s="8"/>
      <c r="H7" s="8"/>
      <c r="I7" s="8"/>
      <c r="J7" s="8"/>
      <c r="K7" s="15"/>
      <c r="L7" s="15"/>
      <c r="M7" s="14"/>
    </row>
    <row r="8" spans="1:13">
      <c r="A8" s="8"/>
      <c r="B8" s="8" t="s">
        <v>741</v>
      </c>
      <c r="C8" s="10">
        <v>6</v>
      </c>
      <c r="D8" s="8"/>
      <c r="E8" s="8"/>
      <c r="F8" s="8"/>
      <c r="G8" s="8"/>
      <c r="H8" s="8"/>
      <c r="I8" s="8"/>
      <c r="J8" s="8"/>
      <c r="K8" s="15"/>
      <c r="L8" s="15"/>
      <c r="M8" s="8"/>
    </row>
    <row r="9" spans="1:13">
      <c r="A9" s="8"/>
      <c r="B9" s="8" t="s">
        <v>742</v>
      </c>
      <c r="C9" s="10">
        <v>7</v>
      </c>
      <c r="D9" s="8"/>
      <c r="E9" s="8"/>
      <c r="F9" s="8"/>
      <c r="G9" s="8"/>
      <c r="H9" s="8"/>
      <c r="I9" s="8"/>
      <c r="J9" s="8"/>
      <c r="K9" s="15"/>
      <c r="L9" s="15"/>
      <c r="M9" s="8"/>
    </row>
    <row r="10" spans="1:13">
      <c r="A10" s="8"/>
      <c r="B10" s="8" t="s">
        <v>743</v>
      </c>
      <c r="C10" s="10">
        <v>8</v>
      </c>
      <c r="D10" s="8"/>
      <c r="E10" s="8"/>
      <c r="F10" s="8"/>
      <c r="G10" s="8"/>
      <c r="H10" s="8"/>
      <c r="I10" s="8"/>
      <c r="J10" s="8"/>
      <c r="K10" s="15"/>
      <c r="L10" s="15"/>
      <c r="M10" s="8"/>
    </row>
    <row r="11" spans="1:13">
      <c r="A11" s="1"/>
      <c r="B11" s="1" t="s">
        <v>744</v>
      </c>
      <c r="C11" s="10">
        <v>9</v>
      </c>
      <c r="D11" s="1"/>
      <c r="E11" s="1"/>
      <c r="F11" s="1"/>
      <c r="G11" s="1"/>
      <c r="H11" s="1"/>
      <c r="I11" s="1"/>
      <c r="J11" s="1"/>
      <c r="K11" s="6"/>
      <c r="L11" s="6"/>
      <c r="M11" s="1"/>
    </row>
    <row r="12" spans="1:13">
      <c r="A12" s="1"/>
      <c r="B12" s="1" t="s">
        <v>745</v>
      </c>
      <c r="C12" s="10">
        <v>10</v>
      </c>
      <c r="D12" s="1"/>
      <c r="E12" s="1"/>
      <c r="F12" s="1"/>
      <c r="G12" s="1"/>
      <c r="H12" s="1"/>
      <c r="I12" s="1"/>
      <c r="J12" s="1"/>
      <c r="K12" s="6"/>
      <c r="L12" s="6"/>
      <c r="M12" s="1"/>
    </row>
    <row r="13" spans="1:13">
      <c r="A13" s="1"/>
      <c r="B13" s="1" t="s">
        <v>746</v>
      </c>
      <c r="C13" s="10">
        <v>11</v>
      </c>
      <c r="D13" s="1"/>
      <c r="E13" s="1"/>
      <c r="F13" s="1"/>
      <c r="G13" s="1"/>
      <c r="H13" s="1"/>
      <c r="I13" s="1"/>
      <c r="J13" s="1"/>
      <c r="K13" s="6"/>
      <c r="L13" s="6"/>
      <c r="M13" s="1"/>
    </row>
    <row r="14" spans="1:13">
      <c r="A14" s="1"/>
      <c r="B14" s="1" t="s">
        <v>747</v>
      </c>
      <c r="C14" s="10">
        <v>12</v>
      </c>
      <c r="D14" s="1"/>
      <c r="E14" s="1"/>
      <c r="F14" s="1"/>
      <c r="G14" s="1"/>
      <c r="H14" s="1"/>
      <c r="I14" s="1"/>
      <c r="J14" s="1"/>
      <c r="K14" s="6"/>
      <c r="L14" s="6"/>
      <c r="M14" s="1"/>
    </row>
    <row r="15" spans="1:13">
      <c r="A15" s="1"/>
      <c r="B15" s="1" t="s">
        <v>748</v>
      </c>
      <c r="C15" s="10">
        <v>13</v>
      </c>
      <c r="D15" s="1"/>
      <c r="E15" s="1"/>
      <c r="F15" s="1"/>
      <c r="G15" s="1"/>
      <c r="H15" s="1"/>
      <c r="I15" s="1"/>
      <c r="J15" s="1"/>
      <c r="K15" s="6"/>
      <c r="L15" s="6"/>
      <c r="M15" s="1"/>
    </row>
    <row r="16" spans="1:13">
      <c r="A16" s="1"/>
      <c r="B16" s="1" t="s">
        <v>749</v>
      </c>
      <c r="C16" s="10">
        <v>14</v>
      </c>
      <c r="D16" s="1"/>
      <c r="E16" s="1"/>
      <c r="F16" s="1"/>
      <c r="G16" s="1"/>
      <c r="H16" s="1"/>
      <c r="I16" s="1"/>
      <c r="J16" s="1"/>
      <c r="K16" s="6"/>
      <c r="L16" s="6"/>
      <c r="M16" s="1"/>
    </row>
    <row r="17" spans="1:13">
      <c r="A17" s="17"/>
      <c r="B17" s="17" t="s">
        <v>750</v>
      </c>
      <c r="C17" s="16">
        <v>15</v>
      </c>
      <c r="D17" s="17"/>
      <c r="E17" s="17"/>
      <c r="F17" s="17"/>
      <c r="G17" s="17"/>
      <c r="H17" s="17"/>
      <c r="I17" s="17"/>
      <c r="J17" s="17"/>
      <c r="K17" s="65"/>
      <c r="L17" s="6"/>
      <c r="M17" s="17"/>
    </row>
    <row r="18" spans="1:13">
      <c r="A18" s="1"/>
      <c r="B18" s="1" t="s">
        <v>751</v>
      </c>
      <c r="C18" s="10">
        <v>16</v>
      </c>
      <c r="D18" s="1"/>
      <c r="E18" s="1"/>
      <c r="F18" s="1"/>
      <c r="G18" s="1"/>
      <c r="H18" s="1"/>
      <c r="I18" s="1"/>
      <c r="J18" s="1"/>
      <c r="K18" s="6"/>
      <c r="L18" s="6"/>
      <c r="M18" s="1"/>
    </row>
    <row r="19" spans="1:13">
      <c r="A19" s="19"/>
      <c r="B19" s="19" t="s">
        <v>752</v>
      </c>
      <c r="C19" s="234">
        <v>17</v>
      </c>
      <c r="D19" s="19"/>
      <c r="E19" s="19"/>
      <c r="F19" s="19"/>
      <c r="G19" s="19"/>
      <c r="H19" s="19"/>
      <c r="I19" s="19"/>
      <c r="J19" s="19"/>
      <c r="K19" s="66"/>
      <c r="L19" s="15"/>
      <c r="M19" s="19"/>
    </row>
    <row r="20" spans="1:13">
      <c r="A20" s="8"/>
      <c r="B20" s="8" t="s">
        <v>753</v>
      </c>
      <c r="C20" s="10">
        <v>18</v>
      </c>
      <c r="D20" s="8"/>
      <c r="E20" s="8"/>
      <c r="F20" s="8"/>
      <c r="G20" s="8"/>
      <c r="H20" s="8"/>
      <c r="I20" s="8"/>
      <c r="J20" s="8"/>
      <c r="K20" s="15"/>
      <c r="L20" s="15"/>
      <c r="M20" s="8"/>
    </row>
    <row r="21" spans="1:13">
      <c r="A21" s="8"/>
      <c r="B21" s="8" t="s">
        <v>754</v>
      </c>
      <c r="C21" s="10">
        <v>19</v>
      </c>
      <c r="D21" s="8"/>
      <c r="E21" s="8"/>
      <c r="F21" s="8"/>
      <c r="G21" s="8"/>
      <c r="H21" s="8"/>
      <c r="I21" s="8"/>
      <c r="J21" s="8"/>
      <c r="K21" s="15"/>
      <c r="L21" s="15"/>
      <c r="M21" s="8"/>
    </row>
    <row r="22" spans="1:13">
      <c r="A22" s="8"/>
      <c r="B22" s="8" t="s">
        <v>755</v>
      </c>
      <c r="C22" s="10">
        <v>20</v>
      </c>
      <c r="D22" s="8"/>
      <c r="E22" s="8"/>
      <c r="F22" s="8"/>
      <c r="G22" s="8"/>
      <c r="H22" s="8"/>
      <c r="I22" s="8"/>
      <c r="J22" s="8"/>
      <c r="K22" s="15"/>
      <c r="L22" s="15"/>
      <c r="M22" s="8"/>
    </row>
    <row r="23" spans="1:13">
      <c r="A23" s="8"/>
      <c r="B23" s="8" t="s">
        <v>756</v>
      </c>
      <c r="C23" s="10">
        <v>21</v>
      </c>
      <c r="D23" s="8"/>
      <c r="E23" s="8"/>
      <c r="F23" s="8"/>
      <c r="G23" s="8"/>
      <c r="H23" s="8"/>
      <c r="I23" s="8"/>
      <c r="J23" s="8"/>
      <c r="K23" s="15"/>
      <c r="L23" s="15"/>
      <c r="M23" s="8"/>
    </row>
    <row r="24" spans="1:13">
      <c r="A24" s="8"/>
      <c r="B24" s="8" t="s">
        <v>757</v>
      </c>
      <c r="C24" s="10">
        <v>22</v>
      </c>
      <c r="D24" s="8"/>
      <c r="E24" s="8"/>
      <c r="F24" s="8"/>
      <c r="G24" s="8"/>
      <c r="H24" s="8"/>
      <c r="I24" s="8"/>
      <c r="J24" s="8"/>
      <c r="K24" s="15"/>
      <c r="L24" s="15"/>
      <c r="M24" s="8"/>
    </row>
    <row r="25" spans="1:13">
      <c r="A25" s="8"/>
      <c r="B25" s="8" t="s">
        <v>758</v>
      </c>
      <c r="C25" s="10">
        <v>23</v>
      </c>
      <c r="D25" s="8"/>
      <c r="E25" s="8"/>
      <c r="F25" s="8"/>
      <c r="G25" s="8"/>
      <c r="H25" s="8"/>
      <c r="I25" s="8"/>
      <c r="J25" s="8"/>
      <c r="K25" s="15"/>
      <c r="L25" s="15"/>
      <c r="M25" s="8"/>
    </row>
    <row r="26" spans="1:13">
      <c r="A26" s="8"/>
      <c r="B26" s="8" t="s">
        <v>759</v>
      </c>
      <c r="C26" s="10">
        <v>24</v>
      </c>
      <c r="D26" s="8"/>
      <c r="E26" s="8"/>
      <c r="F26" s="8"/>
      <c r="G26" s="8"/>
      <c r="H26" s="8"/>
      <c r="I26" s="8"/>
      <c r="J26" s="8"/>
      <c r="K26" s="15"/>
      <c r="L26" s="15"/>
      <c r="M26" s="8"/>
    </row>
    <row r="27" spans="1:13">
      <c r="A27" s="1"/>
      <c r="B27" s="1" t="s">
        <v>760</v>
      </c>
      <c r="C27" s="10">
        <v>25</v>
      </c>
      <c r="D27" s="1"/>
      <c r="E27" s="1"/>
      <c r="F27" s="1"/>
      <c r="G27" s="1"/>
      <c r="H27" s="1"/>
      <c r="I27" s="1"/>
      <c r="J27" s="1"/>
      <c r="K27" s="6"/>
      <c r="L27" s="6"/>
      <c r="M27" s="1"/>
    </row>
    <row r="28" spans="1:13">
      <c r="A28" s="1"/>
      <c r="B28" s="1" t="s">
        <v>761</v>
      </c>
      <c r="C28" s="10">
        <v>26</v>
      </c>
      <c r="D28" s="1"/>
      <c r="E28" s="1"/>
      <c r="F28" s="1"/>
      <c r="G28" s="1"/>
      <c r="H28" s="1"/>
      <c r="I28" s="1"/>
      <c r="J28" s="1"/>
      <c r="K28" s="6"/>
      <c r="L28" s="6"/>
      <c r="M28" s="1"/>
    </row>
    <row r="29" spans="1:13">
      <c r="A29" s="1"/>
      <c r="B29" s="1" t="s">
        <v>762</v>
      </c>
      <c r="C29" s="10">
        <v>27</v>
      </c>
      <c r="D29" s="1"/>
      <c r="E29" s="1"/>
      <c r="F29" s="1"/>
      <c r="G29" s="1"/>
      <c r="H29" s="1"/>
      <c r="I29" s="1"/>
      <c r="J29" s="1"/>
      <c r="K29" s="6"/>
      <c r="L29" s="6"/>
      <c r="M29" s="1"/>
    </row>
    <row r="30" spans="1:13">
      <c r="A30" s="1"/>
      <c r="B30" s="1" t="s">
        <v>763</v>
      </c>
      <c r="C30" s="10">
        <v>28</v>
      </c>
      <c r="D30" s="1"/>
      <c r="E30" s="1"/>
      <c r="F30" s="1"/>
      <c r="G30" s="1"/>
      <c r="H30" s="1"/>
      <c r="I30" s="1"/>
      <c r="J30" s="1"/>
      <c r="K30" s="6"/>
      <c r="L30" s="6"/>
      <c r="M30" s="1"/>
    </row>
    <row r="31" spans="1:13">
      <c r="A31" s="1"/>
      <c r="B31" s="1" t="s">
        <v>764</v>
      </c>
      <c r="C31" s="10">
        <v>29</v>
      </c>
      <c r="D31" s="1"/>
      <c r="E31" s="1"/>
      <c r="F31" s="1"/>
      <c r="G31" s="1"/>
      <c r="H31" s="1"/>
      <c r="I31" s="1"/>
      <c r="J31" s="1"/>
      <c r="K31" s="6"/>
      <c r="L31" s="6"/>
      <c r="M31" s="1"/>
    </row>
    <row r="32" spans="1:13">
      <c r="A32" s="1"/>
      <c r="B32" s="1" t="s">
        <v>765</v>
      </c>
      <c r="C32" s="10">
        <v>30</v>
      </c>
      <c r="D32" s="1"/>
      <c r="E32" s="1"/>
      <c r="F32" s="1"/>
      <c r="G32" s="1"/>
      <c r="H32" s="1"/>
      <c r="I32" s="1"/>
      <c r="J32" s="1"/>
      <c r="K32" s="6"/>
      <c r="L32" s="6"/>
      <c r="M32" s="1"/>
    </row>
    <row r="33" spans="1:14">
      <c r="A33" s="1"/>
      <c r="B33" s="1" t="s">
        <v>766</v>
      </c>
      <c r="C33" s="10">
        <v>31</v>
      </c>
      <c r="D33" s="1"/>
      <c r="E33" s="1"/>
      <c r="F33" s="1"/>
      <c r="G33" s="1"/>
      <c r="H33" s="1"/>
      <c r="I33" s="1"/>
      <c r="J33" s="1"/>
      <c r="K33" s="6"/>
      <c r="L33" s="6"/>
      <c r="M33" s="1"/>
    </row>
    <row r="34" spans="1:14">
      <c r="A34" s="1"/>
      <c r="B34" s="1" t="s">
        <v>767</v>
      </c>
      <c r="C34" s="10">
        <v>32</v>
      </c>
      <c r="D34" s="1"/>
      <c r="E34" s="1"/>
      <c r="F34" s="1"/>
      <c r="G34" s="1"/>
      <c r="H34" s="1"/>
      <c r="I34" s="1"/>
      <c r="J34" s="1"/>
      <c r="K34" s="6"/>
      <c r="L34" s="6"/>
      <c r="M34" s="1"/>
    </row>
    <row r="35" spans="1:14">
      <c r="A35" s="8"/>
      <c r="B35" s="8" t="s">
        <v>768</v>
      </c>
      <c r="C35" s="10">
        <v>33</v>
      </c>
      <c r="D35" s="8"/>
      <c r="E35" s="8"/>
      <c r="F35" s="8"/>
      <c r="G35" s="8"/>
      <c r="H35" s="8"/>
      <c r="I35" s="8"/>
      <c r="J35" s="8"/>
      <c r="K35" s="15"/>
      <c r="L35" s="15"/>
      <c r="M35" s="8"/>
    </row>
    <row r="36" spans="1:14">
      <c r="A36" s="8"/>
      <c r="B36" s="8" t="s">
        <v>769</v>
      </c>
      <c r="C36" s="10">
        <v>34</v>
      </c>
      <c r="D36" s="8"/>
      <c r="E36" s="8"/>
      <c r="F36" s="8"/>
      <c r="G36" s="8"/>
      <c r="H36" s="8"/>
      <c r="I36" s="8"/>
      <c r="J36" s="8"/>
      <c r="K36" s="15"/>
      <c r="L36" s="15"/>
      <c r="M36" s="8"/>
    </row>
    <row r="37" spans="1:14">
      <c r="A37" s="8"/>
      <c r="B37" s="8" t="s">
        <v>770</v>
      </c>
      <c r="C37" s="10">
        <v>35</v>
      </c>
      <c r="D37" s="8"/>
      <c r="E37" s="8"/>
      <c r="F37" s="8"/>
      <c r="G37" s="8"/>
      <c r="H37" s="8"/>
      <c r="I37" s="8"/>
      <c r="J37" s="8"/>
      <c r="K37" s="15"/>
      <c r="L37" s="15"/>
      <c r="M37" s="8"/>
      <c r="N37" t="s">
        <v>2318</v>
      </c>
    </row>
    <row r="38" spans="1:14">
      <c r="A38" s="8"/>
      <c r="B38" s="8" t="s">
        <v>771</v>
      </c>
      <c r="C38" s="10">
        <v>36</v>
      </c>
      <c r="D38" s="8"/>
      <c r="E38" s="8"/>
      <c r="F38" s="8"/>
      <c r="G38" s="8"/>
      <c r="H38" s="8"/>
      <c r="I38" s="8"/>
      <c r="J38" s="8"/>
      <c r="K38" s="15"/>
      <c r="L38" s="15"/>
      <c r="M38" s="8"/>
    </row>
    <row r="39" spans="1:14">
      <c r="A39" s="8"/>
      <c r="B39" s="8" t="s">
        <v>772</v>
      </c>
      <c r="C39" s="10">
        <v>37</v>
      </c>
      <c r="D39" s="8"/>
      <c r="E39" s="8"/>
      <c r="F39" s="8"/>
      <c r="G39" s="8"/>
      <c r="H39" s="8"/>
      <c r="I39" s="8"/>
      <c r="J39" s="8"/>
      <c r="K39" s="15"/>
      <c r="L39" s="15"/>
      <c r="M39" s="8"/>
    </row>
    <row r="40" spans="1:14">
      <c r="A40" s="8"/>
      <c r="B40" s="8" t="s">
        <v>773</v>
      </c>
      <c r="C40" s="10">
        <v>38</v>
      </c>
      <c r="D40" s="8"/>
      <c r="E40" s="8"/>
      <c r="F40" s="8"/>
      <c r="G40" s="8"/>
      <c r="H40" s="8"/>
      <c r="I40" s="8"/>
      <c r="J40" s="8"/>
      <c r="K40" s="15"/>
      <c r="L40" s="15"/>
      <c r="M40" s="8"/>
    </row>
    <row r="41" spans="1:14">
      <c r="A41" s="8"/>
      <c r="B41" s="8" t="s">
        <v>774</v>
      </c>
      <c r="C41" s="10">
        <v>39</v>
      </c>
      <c r="D41" s="8"/>
      <c r="E41" s="8"/>
      <c r="F41" s="8"/>
      <c r="G41" s="8"/>
      <c r="H41" s="8"/>
      <c r="I41" s="8"/>
      <c r="J41" s="8"/>
      <c r="K41" s="15"/>
      <c r="L41" s="15"/>
      <c r="M41" s="8"/>
    </row>
    <row r="42" spans="1:14">
      <c r="A42" s="8"/>
      <c r="B42" s="8" t="s">
        <v>775</v>
      </c>
      <c r="C42" s="10">
        <v>40</v>
      </c>
      <c r="D42" s="8"/>
      <c r="E42" s="8"/>
      <c r="F42" s="8"/>
      <c r="G42" s="8"/>
      <c r="H42" s="8"/>
      <c r="I42" s="8"/>
      <c r="J42" s="8"/>
      <c r="K42" s="15"/>
      <c r="L42" s="15"/>
      <c r="M42" s="8"/>
    </row>
    <row r="43" spans="1:14">
      <c r="A43" s="1"/>
      <c r="B43" s="1" t="s">
        <v>776</v>
      </c>
      <c r="C43" s="10">
        <v>41</v>
      </c>
      <c r="D43" s="1"/>
      <c r="E43" s="1"/>
      <c r="F43" s="1"/>
      <c r="G43" s="1"/>
      <c r="H43" s="1"/>
      <c r="I43" s="1"/>
      <c r="J43" s="1"/>
      <c r="K43" s="6"/>
      <c r="L43" s="6"/>
      <c r="M43" s="1"/>
    </row>
    <row r="44" spans="1:14">
      <c r="A44" s="1"/>
      <c r="B44" s="1" t="s">
        <v>777</v>
      </c>
      <c r="C44" s="10">
        <v>42</v>
      </c>
      <c r="D44" s="1"/>
      <c r="E44" s="1"/>
      <c r="F44" s="1"/>
      <c r="G44" s="1"/>
      <c r="H44" s="1"/>
      <c r="I44" s="1"/>
      <c r="J44" s="1"/>
      <c r="K44" s="6">
        <f t="shared" ref="K44:K51" si="0">I44*J44</f>
        <v>0</v>
      </c>
      <c r="L44" s="6"/>
      <c r="M44" s="1"/>
    </row>
    <row r="45" spans="1:14">
      <c r="A45" s="1"/>
      <c r="B45" s="1" t="s">
        <v>778</v>
      </c>
      <c r="C45" s="10">
        <v>43</v>
      </c>
      <c r="D45" s="1"/>
      <c r="E45" s="1"/>
      <c r="F45" s="1"/>
      <c r="G45" s="1"/>
      <c r="H45" s="1"/>
      <c r="I45" s="1"/>
      <c r="J45" s="1"/>
      <c r="K45" s="6">
        <f t="shared" si="0"/>
        <v>0</v>
      </c>
      <c r="L45" s="6"/>
      <c r="M45" s="1"/>
    </row>
    <row r="46" spans="1:14">
      <c r="A46" s="1"/>
      <c r="B46" s="1" t="s">
        <v>779</v>
      </c>
      <c r="C46" s="10">
        <v>44</v>
      </c>
      <c r="D46" s="1"/>
      <c r="E46" s="1"/>
      <c r="F46" s="1"/>
      <c r="G46" s="1"/>
      <c r="H46" s="1"/>
      <c r="I46" s="1"/>
      <c r="J46" s="1"/>
      <c r="K46" s="6">
        <f t="shared" si="0"/>
        <v>0</v>
      </c>
      <c r="L46" s="6"/>
      <c r="M46" s="1"/>
    </row>
    <row r="47" spans="1:14">
      <c r="A47" s="1"/>
      <c r="B47" s="1" t="s">
        <v>780</v>
      </c>
      <c r="C47" s="10">
        <v>45</v>
      </c>
      <c r="D47" s="1"/>
      <c r="E47" s="1"/>
      <c r="F47" s="1"/>
      <c r="G47" s="1"/>
      <c r="H47" s="1"/>
      <c r="I47" s="1"/>
      <c r="J47" s="1"/>
      <c r="K47" s="6">
        <f t="shared" si="0"/>
        <v>0</v>
      </c>
      <c r="L47" s="6"/>
      <c r="M47" s="1"/>
    </row>
    <row r="48" spans="1:14">
      <c r="A48" s="1"/>
      <c r="B48" s="1" t="s">
        <v>781</v>
      </c>
      <c r="C48" s="10">
        <v>46</v>
      </c>
      <c r="D48" s="1"/>
      <c r="E48" s="1"/>
      <c r="F48" s="1"/>
      <c r="G48" s="1"/>
      <c r="H48" s="1"/>
      <c r="I48" s="1"/>
      <c r="J48" s="1"/>
      <c r="K48" s="6">
        <f t="shared" si="0"/>
        <v>0</v>
      </c>
      <c r="L48" s="6"/>
      <c r="M48" s="1"/>
    </row>
    <row r="49" spans="1:13">
      <c r="A49" s="1"/>
      <c r="B49" s="1" t="s">
        <v>782</v>
      </c>
      <c r="C49" s="10">
        <v>47</v>
      </c>
      <c r="D49" s="1"/>
      <c r="E49" s="1"/>
      <c r="F49" s="1"/>
      <c r="G49" s="1"/>
      <c r="H49" s="1"/>
      <c r="I49" s="1"/>
      <c r="J49" s="1"/>
      <c r="K49" s="6">
        <f t="shared" si="0"/>
        <v>0</v>
      </c>
      <c r="L49" s="6"/>
      <c r="M49" s="1"/>
    </row>
    <row r="50" spans="1:13">
      <c r="A50" s="1"/>
      <c r="B50" s="1" t="s">
        <v>783</v>
      </c>
      <c r="C50" s="10">
        <v>48</v>
      </c>
      <c r="D50" s="1"/>
      <c r="E50" s="1"/>
      <c r="F50" s="1"/>
      <c r="G50" s="1"/>
      <c r="H50" s="1"/>
      <c r="I50" s="1"/>
      <c r="J50" s="1"/>
      <c r="K50" s="6">
        <f t="shared" si="0"/>
        <v>0</v>
      </c>
      <c r="L50" s="6"/>
      <c r="M50" s="1"/>
    </row>
    <row r="51" spans="1:13">
      <c r="A51" s="8"/>
      <c r="B51" s="60" t="s">
        <v>784</v>
      </c>
      <c r="C51" s="10">
        <v>49</v>
      </c>
      <c r="D51" s="8"/>
      <c r="E51" s="8"/>
      <c r="F51" s="8"/>
      <c r="G51" s="8"/>
      <c r="H51" s="8"/>
      <c r="I51" s="8"/>
      <c r="J51" s="8"/>
      <c r="K51" s="15">
        <f t="shared" si="0"/>
        <v>0</v>
      </c>
      <c r="L51" s="15"/>
      <c r="M5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1">
    <tabColor theme="2" tint="-0.499984740745262"/>
  </sheetPr>
  <dimension ref="A1:V104"/>
  <sheetViews>
    <sheetView showGridLines="0" view="pageBreakPreview" topLeftCell="A4" zoomScale="70" zoomScaleNormal="90" zoomScaleSheetLayoutView="70" workbookViewId="0">
      <selection activeCell="G11" sqref="G11"/>
    </sheetView>
  </sheetViews>
  <sheetFormatPr defaultRowHeight="15"/>
  <cols>
    <col min="1" max="1" width="11.28515625" customWidth="1"/>
    <col min="2" max="2" width="13.85546875" customWidth="1"/>
    <col min="3" max="3" width="9" customWidth="1"/>
    <col min="4" max="4" width="8.85546875" bestFit="1" customWidth="1"/>
    <col min="5" max="5" width="20.5703125" customWidth="1"/>
    <col min="6" max="6" width="21.85546875" bestFit="1" customWidth="1"/>
    <col min="7" max="8" width="10.85546875" customWidth="1"/>
    <col min="9" max="9" width="13.28515625" customWidth="1"/>
    <col min="10" max="10" width="12.28515625" customWidth="1"/>
    <col min="11" max="11" width="10.7109375" customWidth="1"/>
    <col min="12" max="12" width="16.5703125" customWidth="1"/>
    <col min="13" max="13" width="17" customWidth="1"/>
    <col min="14" max="14" width="11" customWidth="1"/>
    <col min="15" max="15" width="19" customWidth="1"/>
    <col min="16" max="16" width="16.28515625" customWidth="1"/>
    <col min="17" max="18" width="12.5703125" customWidth="1"/>
    <col min="19" max="19" width="14.42578125" bestFit="1" customWidth="1"/>
    <col min="20" max="20" width="13" customWidth="1"/>
    <col min="21" max="21" width="12.140625" customWidth="1"/>
  </cols>
  <sheetData>
    <row r="1" spans="1:22" ht="21" customHeight="1">
      <c r="C1" s="730" t="s">
        <v>264</v>
      </c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237"/>
      <c r="Q1" s="238"/>
      <c r="R1" s="238"/>
      <c r="S1" s="238"/>
      <c r="T1" s="238"/>
      <c r="U1" s="238"/>
      <c r="V1" s="238"/>
    </row>
    <row r="2" spans="1:22" ht="15.75" customHeight="1" thickBot="1"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7"/>
      <c r="Q2" s="238"/>
      <c r="R2" s="238"/>
      <c r="S2" s="238"/>
      <c r="T2" s="238"/>
      <c r="U2" s="238"/>
      <c r="V2" s="238"/>
    </row>
    <row r="3" spans="1:22" ht="12.75" hidden="1" customHeight="1" thickBot="1"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7"/>
      <c r="Q3" s="238"/>
      <c r="R3" s="238"/>
      <c r="S3" s="238"/>
      <c r="T3" s="238"/>
      <c r="U3" s="238"/>
      <c r="V3" s="238"/>
    </row>
    <row r="4" spans="1:22" ht="36.75" customHeight="1">
      <c r="E4" s="239" t="s">
        <v>957</v>
      </c>
      <c r="F4" s="240"/>
      <c r="G4" s="731" t="s">
        <v>1056</v>
      </c>
      <c r="H4" s="732"/>
      <c r="I4" s="732"/>
      <c r="J4" s="732"/>
      <c r="K4" s="732"/>
      <c r="L4" s="732"/>
      <c r="M4" s="732"/>
      <c r="N4" s="732"/>
      <c r="O4" s="732"/>
    </row>
    <row r="5" spans="1:22" ht="33.75" customHeight="1" thickBot="1">
      <c r="E5" s="241" t="s">
        <v>958</v>
      </c>
      <c r="F5" s="242"/>
      <c r="G5" s="731"/>
      <c r="H5" s="732"/>
      <c r="I5" s="732"/>
      <c r="J5" s="732"/>
      <c r="K5" s="732"/>
      <c r="L5" s="732"/>
      <c r="M5" s="732"/>
      <c r="N5" s="732"/>
      <c r="O5" s="732"/>
    </row>
    <row r="6" spans="1:22" ht="21" customHeight="1">
      <c r="C6" s="730" t="s">
        <v>264</v>
      </c>
      <c r="D6" s="730"/>
      <c r="E6" s="730"/>
      <c r="F6" s="730"/>
      <c r="G6" s="730"/>
      <c r="H6" s="730"/>
      <c r="I6" s="730"/>
      <c r="J6" s="730"/>
      <c r="K6" s="730"/>
      <c r="L6" s="730"/>
      <c r="M6" s="730"/>
      <c r="N6" s="730"/>
      <c r="O6" s="730"/>
      <c r="P6" s="235"/>
    </row>
    <row r="7" spans="1:22" ht="6.75" customHeight="1"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</row>
    <row r="8" spans="1:22" s="316" customFormat="1" ht="60">
      <c r="A8" s="313" t="s">
        <v>572</v>
      </c>
      <c r="B8" s="313" t="s">
        <v>597</v>
      </c>
      <c r="C8" s="313" t="s">
        <v>275</v>
      </c>
      <c r="D8" s="312" t="s">
        <v>614</v>
      </c>
      <c r="E8" s="314" t="s">
        <v>594</v>
      </c>
      <c r="F8" s="314" t="s">
        <v>595</v>
      </c>
      <c r="G8" s="314" t="s">
        <v>956</v>
      </c>
      <c r="H8" s="314" t="s">
        <v>564</v>
      </c>
      <c r="I8" s="314" t="s">
        <v>596</v>
      </c>
      <c r="J8" s="313" t="s">
        <v>563</v>
      </c>
      <c r="K8" s="313" t="s">
        <v>562</v>
      </c>
      <c r="L8" s="313" t="s">
        <v>592</v>
      </c>
      <c r="M8" s="313" t="s">
        <v>593</v>
      </c>
      <c r="N8" s="313" t="s">
        <v>573</v>
      </c>
      <c r="O8" s="315" t="s">
        <v>565</v>
      </c>
      <c r="P8" s="315" t="s">
        <v>566</v>
      </c>
      <c r="Q8" s="313" t="s">
        <v>1045</v>
      </c>
    </row>
    <row r="9" spans="1:22" ht="18.75">
      <c r="A9" s="8"/>
      <c r="B9" s="8"/>
      <c r="C9" s="8" t="s">
        <v>736</v>
      </c>
      <c r="D9" s="10">
        <v>1</v>
      </c>
      <c r="E9" s="8"/>
      <c r="F9" s="8"/>
      <c r="G9" s="8"/>
      <c r="H9" s="8"/>
      <c r="I9" s="8"/>
      <c r="J9" s="8"/>
      <c r="K9" s="8"/>
      <c r="L9" s="15">
        <f>J9*K9</f>
        <v>0</v>
      </c>
      <c r="M9" s="64">
        <f>L9*H9</f>
        <v>0</v>
      </c>
      <c r="N9" s="8"/>
      <c r="O9" s="15"/>
      <c r="P9" s="15"/>
      <c r="Q9" s="15"/>
      <c r="R9" s="58"/>
    </row>
    <row r="10" spans="1:22" ht="18.75">
      <c r="A10" s="8"/>
      <c r="B10" s="8"/>
      <c r="C10" s="8" t="s">
        <v>737</v>
      </c>
      <c r="D10" s="10">
        <v>2</v>
      </c>
      <c r="E10" s="8"/>
      <c r="F10" s="8"/>
      <c r="G10" s="8"/>
      <c r="H10" s="8"/>
      <c r="I10" s="8"/>
      <c r="J10" s="8"/>
      <c r="K10" s="8"/>
      <c r="L10" s="15">
        <f t="shared" ref="L10:L73" si="0">J10*K10</f>
        <v>0</v>
      </c>
      <c r="M10" s="64">
        <f t="shared" ref="M10:M16" si="1">L10*H10</f>
        <v>0</v>
      </c>
      <c r="N10" s="8"/>
      <c r="O10" s="15"/>
      <c r="P10" s="15"/>
      <c r="Q10" s="15"/>
      <c r="R10" s="58"/>
    </row>
    <row r="11" spans="1:22" ht="18.75">
      <c r="A11" s="8"/>
      <c r="B11" s="8"/>
      <c r="C11" s="8" t="s">
        <v>738</v>
      </c>
      <c r="D11" s="10">
        <v>3</v>
      </c>
      <c r="E11" s="8"/>
      <c r="F11" s="8"/>
      <c r="G11" s="8"/>
      <c r="H11" s="8"/>
      <c r="I11" s="8"/>
      <c r="J11" s="8"/>
      <c r="K11" s="8"/>
      <c r="L11" s="15">
        <f t="shared" si="0"/>
        <v>0</v>
      </c>
      <c r="M11" s="64">
        <f t="shared" si="1"/>
        <v>0</v>
      </c>
      <c r="N11" s="8"/>
      <c r="O11" s="15"/>
      <c r="P11" s="14"/>
      <c r="Q11" s="14"/>
      <c r="R11" s="58"/>
    </row>
    <row r="12" spans="1:22" ht="18.75">
      <c r="A12" s="8"/>
      <c r="B12" s="8"/>
      <c r="C12" s="8" t="s">
        <v>739</v>
      </c>
      <c r="D12" s="10">
        <v>4</v>
      </c>
      <c r="E12" s="8"/>
      <c r="F12" s="8"/>
      <c r="G12" s="8"/>
      <c r="H12" s="8"/>
      <c r="I12" s="8"/>
      <c r="J12" s="8"/>
      <c r="K12" s="8"/>
      <c r="L12" s="15">
        <f t="shared" si="0"/>
        <v>0</v>
      </c>
      <c r="M12" s="64">
        <f t="shared" si="1"/>
        <v>0</v>
      </c>
      <c r="N12" s="8"/>
      <c r="O12" s="15"/>
      <c r="P12" s="14"/>
      <c r="Q12" s="14"/>
      <c r="R12" s="58"/>
    </row>
    <row r="13" spans="1:22" ht="18.75">
      <c r="A13" s="8"/>
      <c r="B13" s="8"/>
      <c r="C13" s="8" t="s">
        <v>740</v>
      </c>
      <c r="D13" s="10">
        <v>5</v>
      </c>
      <c r="E13" s="8"/>
      <c r="F13" s="8"/>
      <c r="G13" s="8"/>
      <c r="H13" s="8"/>
      <c r="I13" s="8"/>
      <c r="J13" s="8"/>
      <c r="K13" s="8"/>
      <c r="L13" s="15">
        <f t="shared" si="0"/>
        <v>0</v>
      </c>
      <c r="M13" s="64">
        <f t="shared" si="1"/>
        <v>0</v>
      </c>
      <c r="N13" s="8"/>
      <c r="O13" s="15"/>
      <c r="P13" s="14"/>
      <c r="Q13" s="14"/>
      <c r="R13" s="58"/>
    </row>
    <row r="14" spans="1:22">
      <c r="A14" s="8"/>
      <c r="B14" s="8"/>
      <c r="C14" s="8" t="s">
        <v>741</v>
      </c>
      <c r="D14" s="10">
        <v>6</v>
      </c>
      <c r="E14" s="8"/>
      <c r="F14" s="8"/>
      <c r="G14" s="8"/>
      <c r="H14" s="8"/>
      <c r="I14" s="8"/>
      <c r="J14" s="8"/>
      <c r="K14" s="8"/>
      <c r="L14" s="15">
        <f t="shared" si="0"/>
        <v>0</v>
      </c>
      <c r="M14" s="64">
        <f t="shared" si="1"/>
        <v>0</v>
      </c>
      <c r="N14" s="8"/>
      <c r="O14" s="15"/>
      <c r="P14" s="8"/>
      <c r="Q14" s="8"/>
    </row>
    <row r="15" spans="1:22">
      <c r="A15" s="8"/>
      <c r="B15" s="8"/>
      <c r="C15" s="8" t="s">
        <v>742</v>
      </c>
      <c r="D15" s="10">
        <v>7</v>
      </c>
      <c r="E15" s="8"/>
      <c r="F15" s="8"/>
      <c r="G15" s="8"/>
      <c r="H15" s="8"/>
      <c r="I15" s="8"/>
      <c r="J15" s="8"/>
      <c r="K15" s="8"/>
      <c r="L15" s="15">
        <f t="shared" si="0"/>
        <v>0</v>
      </c>
      <c r="M15" s="64">
        <f t="shared" si="1"/>
        <v>0</v>
      </c>
      <c r="N15" s="8"/>
      <c r="O15" s="15"/>
      <c r="P15" s="8"/>
      <c r="Q15" s="8"/>
    </row>
    <row r="16" spans="1:22">
      <c r="A16" s="8"/>
      <c r="B16" s="8"/>
      <c r="C16" s="8" t="s">
        <v>743</v>
      </c>
      <c r="D16" s="10">
        <v>8</v>
      </c>
      <c r="E16" s="8"/>
      <c r="F16" s="8"/>
      <c r="G16" s="8"/>
      <c r="H16" s="8"/>
      <c r="I16" s="8"/>
      <c r="J16" s="8"/>
      <c r="K16" s="8"/>
      <c r="L16" s="15">
        <f t="shared" si="0"/>
        <v>0</v>
      </c>
      <c r="M16" s="64">
        <f t="shared" si="1"/>
        <v>0</v>
      </c>
      <c r="N16" s="8"/>
      <c r="O16" s="15"/>
      <c r="P16" s="8"/>
      <c r="Q16" s="8"/>
    </row>
    <row r="17" spans="1:17">
      <c r="A17" s="1"/>
      <c r="B17" s="1"/>
      <c r="C17" s="1" t="s">
        <v>744</v>
      </c>
      <c r="D17" s="10">
        <v>9</v>
      </c>
      <c r="E17" s="1"/>
      <c r="F17" s="1"/>
      <c r="G17" s="1"/>
      <c r="H17" s="1"/>
      <c r="I17" s="1"/>
      <c r="J17" s="1"/>
      <c r="K17" s="1"/>
      <c r="L17" s="6">
        <f t="shared" si="0"/>
        <v>0</v>
      </c>
      <c r="M17" s="22">
        <f>L17*H17</f>
        <v>0</v>
      </c>
      <c r="N17" s="1"/>
      <c r="O17" s="6"/>
      <c r="P17" s="1"/>
      <c r="Q17" s="1"/>
    </row>
    <row r="18" spans="1:17">
      <c r="A18" s="1"/>
      <c r="B18" s="1"/>
      <c r="C18" s="1" t="s">
        <v>745</v>
      </c>
      <c r="D18" s="10">
        <v>10</v>
      </c>
      <c r="E18" s="1"/>
      <c r="F18" s="1"/>
      <c r="G18" s="1"/>
      <c r="H18" s="1"/>
      <c r="I18" s="1"/>
      <c r="J18" s="1"/>
      <c r="K18" s="1"/>
      <c r="L18" s="6">
        <f t="shared" si="0"/>
        <v>0</v>
      </c>
      <c r="M18" s="22">
        <f t="shared" ref="M18:M24" si="2">L18*H18</f>
        <v>0</v>
      </c>
      <c r="N18" s="1"/>
      <c r="O18" s="6"/>
      <c r="P18" s="1"/>
      <c r="Q18" s="1"/>
    </row>
    <row r="19" spans="1:17">
      <c r="A19" s="1"/>
      <c r="B19" s="1"/>
      <c r="C19" s="1" t="s">
        <v>746</v>
      </c>
      <c r="D19" s="10">
        <v>11</v>
      </c>
      <c r="E19" s="1"/>
      <c r="F19" s="1"/>
      <c r="G19" s="1"/>
      <c r="H19" s="1"/>
      <c r="I19" s="1"/>
      <c r="J19" s="1"/>
      <c r="K19" s="1"/>
      <c r="L19" s="6">
        <f t="shared" si="0"/>
        <v>0</v>
      </c>
      <c r="M19" s="22">
        <f t="shared" si="2"/>
        <v>0</v>
      </c>
      <c r="N19" s="1"/>
      <c r="O19" s="6"/>
      <c r="P19" s="1"/>
      <c r="Q19" s="1"/>
    </row>
    <row r="20" spans="1:17">
      <c r="A20" s="1"/>
      <c r="B20" s="1"/>
      <c r="C20" s="1" t="s">
        <v>747</v>
      </c>
      <c r="D20" s="10">
        <v>12</v>
      </c>
      <c r="E20" s="1"/>
      <c r="F20" s="1"/>
      <c r="G20" s="1"/>
      <c r="H20" s="1"/>
      <c r="I20" s="1"/>
      <c r="J20" s="1"/>
      <c r="K20" s="1"/>
      <c r="L20" s="6">
        <f t="shared" si="0"/>
        <v>0</v>
      </c>
      <c r="M20" s="22">
        <f t="shared" si="2"/>
        <v>0</v>
      </c>
      <c r="N20" s="1"/>
      <c r="O20" s="6"/>
      <c r="P20" s="1"/>
      <c r="Q20" s="1"/>
    </row>
    <row r="21" spans="1:17">
      <c r="A21" s="1"/>
      <c r="B21" s="1"/>
      <c r="C21" s="1" t="s">
        <v>748</v>
      </c>
      <c r="D21" s="10">
        <v>13</v>
      </c>
      <c r="E21" s="1"/>
      <c r="F21" s="1"/>
      <c r="G21" s="1"/>
      <c r="H21" s="1"/>
      <c r="I21" s="1"/>
      <c r="J21" s="1"/>
      <c r="K21" s="1"/>
      <c r="L21" s="6">
        <f t="shared" si="0"/>
        <v>0</v>
      </c>
      <c r="M21" s="22">
        <f t="shared" si="2"/>
        <v>0</v>
      </c>
      <c r="N21" s="1"/>
      <c r="O21" s="6"/>
      <c r="P21" s="1"/>
      <c r="Q21" s="1"/>
    </row>
    <row r="22" spans="1:17">
      <c r="A22" s="1"/>
      <c r="B22" s="1"/>
      <c r="C22" s="1" t="s">
        <v>749</v>
      </c>
      <c r="D22" s="10">
        <v>14</v>
      </c>
      <c r="E22" s="1"/>
      <c r="F22" s="1"/>
      <c r="G22" s="1"/>
      <c r="H22" s="1"/>
      <c r="I22" s="1"/>
      <c r="J22" s="1"/>
      <c r="K22" s="1"/>
      <c r="L22" s="6">
        <f t="shared" si="0"/>
        <v>0</v>
      </c>
      <c r="M22" s="22">
        <f t="shared" si="2"/>
        <v>0</v>
      </c>
      <c r="N22" s="1"/>
      <c r="O22" s="6"/>
      <c r="P22" s="1"/>
      <c r="Q22" s="1"/>
    </row>
    <row r="23" spans="1:17">
      <c r="A23" s="1"/>
      <c r="B23" s="17"/>
      <c r="C23" s="17" t="s">
        <v>750</v>
      </c>
      <c r="D23" s="16">
        <v>15</v>
      </c>
      <c r="E23" s="17"/>
      <c r="F23" s="17"/>
      <c r="G23" s="17"/>
      <c r="H23" s="17"/>
      <c r="I23" s="17"/>
      <c r="J23" s="17"/>
      <c r="K23" s="17"/>
      <c r="L23" s="65">
        <f t="shared" si="0"/>
        <v>0</v>
      </c>
      <c r="M23" s="22">
        <f t="shared" si="2"/>
        <v>0</v>
      </c>
      <c r="N23" s="17"/>
      <c r="O23" s="6"/>
      <c r="P23" s="17"/>
      <c r="Q23" s="17"/>
    </row>
    <row r="24" spans="1:17">
      <c r="A24" s="1"/>
      <c r="B24" s="1"/>
      <c r="C24" s="1" t="s">
        <v>751</v>
      </c>
      <c r="D24" s="10">
        <v>16</v>
      </c>
      <c r="E24" s="1"/>
      <c r="F24" s="1"/>
      <c r="G24" s="1"/>
      <c r="H24" s="1"/>
      <c r="I24" s="1"/>
      <c r="J24" s="1"/>
      <c r="K24" s="1"/>
      <c r="L24" s="6">
        <f t="shared" si="0"/>
        <v>0</v>
      </c>
      <c r="M24" s="22">
        <f t="shared" si="2"/>
        <v>0</v>
      </c>
      <c r="N24" s="1"/>
      <c r="O24" s="6"/>
      <c r="P24" s="1"/>
      <c r="Q24" s="1"/>
    </row>
    <row r="25" spans="1:17">
      <c r="A25" s="8"/>
      <c r="B25" s="19"/>
      <c r="C25" s="19" t="s">
        <v>752</v>
      </c>
      <c r="D25" s="234">
        <v>17</v>
      </c>
      <c r="E25" s="19"/>
      <c r="F25" s="19"/>
      <c r="G25" s="19"/>
      <c r="H25" s="19"/>
      <c r="I25" s="19"/>
      <c r="J25" s="19"/>
      <c r="K25" s="19"/>
      <c r="L25" s="66">
        <f t="shared" si="0"/>
        <v>0</v>
      </c>
      <c r="M25" s="64">
        <f>L25*H25</f>
        <v>0</v>
      </c>
      <c r="N25" s="19"/>
      <c r="O25" s="15"/>
      <c r="P25" s="19"/>
      <c r="Q25" s="19"/>
    </row>
    <row r="26" spans="1:17">
      <c r="A26" s="8"/>
      <c r="B26" s="8"/>
      <c r="C26" s="8" t="s">
        <v>753</v>
      </c>
      <c r="D26" s="10">
        <v>18</v>
      </c>
      <c r="E26" s="8"/>
      <c r="F26" s="8"/>
      <c r="G26" s="8"/>
      <c r="H26" s="8"/>
      <c r="I26" s="8"/>
      <c r="J26" s="8"/>
      <c r="K26" s="8"/>
      <c r="L26" s="15">
        <f t="shared" si="0"/>
        <v>0</v>
      </c>
      <c r="M26" s="64">
        <f t="shared" ref="M26:M40" si="3">L26*H26</f>
        <v>0</v>
      </c>
      <c r="N26" s="8"/>
      <c r="O26" s="15"/>
      <c r="P26" s="8"/>
      <c r="Q26" s="8"/>
    </row>
    <row r="27" spans="1:17">
      <c r="A27" s="8"/>
      <c r="B27" s="8"/>
      <c r="C27" s="8" t="s">
        <v>754</v>
      </c>
      <c r="D27" s="10">
        <v>19</v>
      </c>
      <c r="E27" s="8"/>
      <c r="F27" s="8"/>
      <c r="G27" s="8"/>
      <c r="H27" s="8"/>
      <c r="I27" s="8"/>
      <c r="J27" s="8"/>
      <c r="K27" s="8"/>
      <c r="L27" s="15">
        <f t="shared" si="0"/>
        <v>0</v>
      </c>
      <c r="M27" s="64">
        <f t="shared" si="3"/>
        <v>0</v>
      </c>
      <c r="N27" s="8"/>
      <c r="O27" s="15"/>
      <c r="P27" s="8"/>
      <c r="Q27" s="8"/>
    </row>
    <row r="28" spans="1:17">
      <c r="A28" s="8"/>
      <c r="B28" s="8"/>
      <c r="C28" s="8" t="s">
        <v>755</v>
      </c>
      <c r="D28" s="10">
        <v>20</v>
      </c>
      <c r="E28" s="8"/>
      <c r="F28" s="8"/>
      <c r="G28" s="8"/>
      <c r="H28" s="8"/>
      <c r="I28" s="8"/>
      <c r="J28" s="8"/>
      <c r="K28" s="8"/>
      <c r="L28" s="15">
        <f t="shared" si="0"/>
        <v>0</v>
      </c>
      <c r="M28" s="64">
        <f t="shared" si="3"/>
        <v>0</v>
      </c>
      <c r="N28" s="8"/>
      <c r="O28" s="15"/>
      <c r="P28" s="8"/>
      <c r="Q28" s="8"/>
    </row>
    <row r="29" spans="1:17">
      <c r="A29" s="8"/>
      <c r="B29" s="8"/>
      <c r="C29" s="8" t="s">
        <v>756</v>
      </c>
      <c r="D29" s="10">
        <v>21</v>
      </c>
      <c r="E29" s="8"/>
      <c r="F29" s="8"/>
      <c r="G29" s="8"/>
      <c r="H29" s="8"/>
      <c r="I29" s="8"/>
      <c r="J29" s="8"/>
      <c r="K29" s="8"/>
      <c r="L29" s="15">
        <f t="shared" si="0"/>
        <v>0</v>
      </c>
      <c r="M29" s="64">
        <f t="shared" si="3"/>
        <v>0</v>
      </c>
      <c r="N29" s="8"/>
      <c r="O29" s="15"/>
      <c r="P29" s="8"/>
      <c r="Q29" s="8"/>
    </row>
    <row r="30" spans="1:17">
      <c r="A30" s="8"/>
      <c r="B30" s="8"/>
      <c r="C30" s="8" t="s">
        <v>757</v>
      </c>
      <c r="D30" s="10">
        <v>22</v>
      </c>
      <c r="E30" s="8"/>
      <c r="F30" s="8"/>
      <c r="G30" s="8"/>
      <c r="H30" s="8"/>
      <c r="I30" s="8"/>
      <c r="J30" s="8"/>
      <c r="K30" s="8"/>
      <c r="L30" s="15">
        <f t="shared" si="0"/>
        <v>0</v>
      </c>
      <c r="M30" s="64">
        <f t="shared" si="3"/>
        <v>0</v>
      </c>
      <c r="N30" s="8"/>
      <c r="O30" s="15"/>
      <c r="P30" s="8"/>
      <c r="Q30" s="8"/>
    </row>
    <row r="31" spans="1:17">
      <c r="A31" s="8"/>
      <c r="B31" s="8"/>
      <c r="C31" s="8" t="s">
        <v>758</v>
      </c>
      <c r="D31" s="10">
        <v>23</v>
      </c>
      <c r="E31" s="8"/>
      <c r="F31" s="8"/>
      <c r="G31" s="8"/>
      <c r="H31" s="8"/>
      <c r="I31" s="8"/>
      <c r="J31" s="8"/>
      <c r="K31" s="8"/>
      <c r="L31" s="15">
        <f t="shared" si="0"/>
        <v>0</v>
      </c>
      <c r="M31" s="64">
        <f t="shared" si="3"/>
        <v>0</v>
      </c>
      <c r="N31" s="8"/>
      <c r="O31" s="15"/>
      <c r="P31" s="8"/>
      <c r="Q31" s="8"/>
    </row>
    <row r="32" spans="1:17">
      <c r="A32" s="8"/>
      <c r="B32" s="8"/>
      <c r="C32" s="8" t="s">
        <v>759</v>
      </c>
      <c r="D32" s="10">
        <v>24</v>
      </c>
      <c r="E32" s="8"/>
      <c r="F32" s="8"/>
      <c r="G32" s="8"/>
      <c r="H32" s="8"/>
      <c r="I32" s="8"/>
      <c r="J32" s="8"/>
      <c r="K32" s="8"/>
      <c r="L32" s="15">
        <f t="shared" si="0"/>
        <v>0</v>
      </c>
      <c r="M32" s="64">
        <f t="shared" si="3"/>
        <v>0</v>
      </c>
      <c r="N32" s="8"/>
      <c r="O32" s="15"/>
      <c r="P32" s="8"/>
      <c r="Q32" s="8"/>
    </row>
    <row r="33" spans="1:17">
      <c r="A33" s="1"/>
      <c r="B33" s="1"/>
      <c r="C33" s="1" t="s">
        <v>760</v>
      </c>
      <c r="D33" s="10">
        <v>25</v>
      </c>
      <c r="E33" s="1"/>
      <c r="F33" s="1"/>
      <c r="G33" s="1"/>
      <c r="H33" s="1"/>
      <c r="I33" s="1"/>
      <c r="J33" s="1"/>
      <c r="K33" s="1"/>
      <c r="L33" s="6">
        <f t="shared" si="0"/>
        <v>0</v>
      </c>
      <c r="M33" s="22">
        <f t="shared" si="3"/>
        <v>0</v>
      </c>
      <c r="N33" s="1"/>
      <c r="O33" s="6"/>
      <c r="P33" s="1"/>
      <c r="Q33" s="1"/>
    </row>
    <row r="34" spans="1:17">
      <c r="A34" s="1"/>
      <c r="B34" s="1"/>
      <c r="C34" s="1" t="s">
        <v>761</v>
      </c>
      <c r="D34" s="10">
        <v>26</v>
      </c>
      <c r="E34" s="1"/>
      <c r="F34" s="1"/>
      <c r="G34" s="1"/>
      <c r="H34" s="1"/>
      <c r="I34" s="1"/>
      <c r="J34" s="1"/>
      <c r="K34" s="1"/>
      <c r="L34" s="6">
        <f t="shared" si="0"/>
        <v>0</v>
      </c>
      <c r="M34" s="22">
        <f t="shared" si="3"/>
        <v>0</v>
      </c>
      <c r="N34" s="1"/>
      <c r="O34" s="6"/>
      <c r="P34" s="1"/>
      <c r="Q34" s="1"/>
    </row>
    <row r="35" spans="1:17">
      <c r="A35" s="1"/>
      <c r="B35" s="1"/>
      <c r="C35" s="1" t="s">
        <v>762</v>
      </c>
      <c r="D35" s="10">
        <v>27</v>
      </c>
      <c r="E35" s="1"/>
      <c r="F35" s="1"/>
      <c r="G35" s="1"/>
      <c r="H35" s="1"/>
      <c r="I35" s="1"/>
      <c r="J35" s="1"/>
      <c r="K35" s="1"/>
      <c r="L35" s="6">
        <f t="shared" si="0"/>
        <v>0</v>
      </c>
      <c r="M35" s="22">
        <f t="shared" si="3"/>
        <v>0</v>
      </c>
      <c r="N35" s="1"/>
      <c r="O35" s="6"/>
      <c r="P35" s="1"/>
      <c r="Q35" s="1"/>
    </row>
    <row r="36" spans="1:17">
      <c r="A36" s="1"/>
      <c r="B36" s="1"/>
      <c r="C36" s="1" t="s">
        <v>763</v>
      </c>
      <c r="D36" s="10">
        <v>28</v>
      </c>
      <c r="E36" s="1"/>
      <c r="F36" s="1"/>
      <c r="G36" s="1"/>
      <c r="H36" s="1"/>
      <c r="I36" s="1"/>
      <c r="J36" s="1"/>
      <c r="K36" s="1"/>
      <c r="L36" s="6">
        <f t="shared" si="0"/>
        <v>0</v>
      </c>
      <c r="M36" s="22">
        <f t="shared" si="3"/>
        <v>0</v>
      </c>
      <c r="N36" s="1"/>
      <c r="O36" s="6"/>
      <c r="P36" s="1"/>
      <c r="Q36" s="1"/>
    </row>
    <row r="37" spans="1:17">
      <c r="A37" s="1"/>
      <c r="B37" s="1"/>
      <c r="C37" s="1" t="s">
        <v>764</v>
      </c>
      <c r="D37" s="10">
        <v>29</v>
      </c>
      <c r="E37" s="1"/>
      <c r="F37" s="1"/>
      <c r="G37" s="1"/>
      <c r="H37" s="1"/>
      <c r="I37" s="1"/>
      <c r="J37" s="1"/>
      <c r="K37" s="1"/>
      <c r="L37" s="6">
        <f t="shared" si="0"/>
        <v>0</v>
      </c>
      <c r="M37" s="22">
        <f t="shared" si="3"/>
        <v>0</v>
      </c>
      <c r="N37" s="1"/>
      <c r="O37" s="6"/>
      <c r="P37" s="1"/>
      <c r="Q37" s="1"/>
    </row>
    <row r="38" spans="1:17">
      <c r="A38" s="1"/>
      <c r="B38" s="1"/>
      <c r="C38" s="1" t="s">
        <v>765</v>
      </c>
      <c r="D38" s="10">
        <v>30</v>
      </c>
      <c r="E38" s="1"/>
      <c r="F38" s="1"/>
      <c r="G38" s="1"/>
      <c r="H38" s="1"/>
      <c r="I38" s="1"/>
      <c r="J38" s="1"/>
      <c r="K38" s="1"/>
      <c r="L38" s="6">
        <f t="shared" si="0"/>
        <v>0</v>
      </c>
      <c r="M38" s="22">
        <f t="shared" si="3"/>
        <v>0</v>
      </c>
      <c r="N38" s="1"/>
      <c r="O38" s="6"/>
      <c r="P38" s="1"/>
      <c r="Q38" s="1"/>
    </row>
    <row r="39" spans="1:17">
      <c r="A39" s="1"/>
      <c r="B39" s="1"/>
      <c r="C39" s="1" t="s">
        <v>766</v>
      </c>
      <c r="D39" s="10">
        <v>31</v>
      </c>
      <c r="E39" s="1"/>
      <c r="F39" s="1"/>
      <c r="G39" s="1"/>
      <c r="H39" s="1"/>
      <c r="I39" s="1"/>
      <c r="J39" s="1"/>
      <c r="K39" s="1"/>
      <c r="L39" s="6">
        <f t="shared" si="0"/>
        <v>0</v>
      </c>
      <c r="M39" s="22">
        <f t="shared" si="3"/>
        <v>0</v>
      </c>
      <c r="N39" s="1"/>
      <c r="O39" s="6"/>
      <c r="P39" s="1"/>
      <c r="Q39" s="1"/>
    </row>
    <row r="40" spans="1:17">
      <c r="A40" s="1"/>
      <c r="B40" s="1"/>
      <c r="C40" s="1" t="s">
        <v>767</v>
      </c>
      <c r="D40" s="10">
        <v>32</v>
      </c>
      <c r="E40" s="1"/>
      <c r="F40" s="1"/>
      <c r="G40" s="1"/>
      <c r="H40" s="1"/>
      <c r="I40" s="1"/>
      <c r="J40" s="1"/>
      <c r="K40" s="1"/>
      <c r="L40" s="6">
        <f t="shared" si="0"/>
        <v>0</v>
      </c>
      <c r="M40" s="22">
        <f t="shared" si="3"/>
        <v>0</v>
      </c>
      <c r="N40" s="1"/>
      <c r="O40" s="6"/>
      <c r="P40" s="1"/>
      <c r="Q40" s="1"/>
    </row>
    <row r="41" spans="1:17">
      <c r="A41" s="8"/>
      <c r="B41" s="8"/>
      <c r="C41" s="8" t="s">
        <v>768</v>
      </c>
      <c r="D41" s="10">
        <v>33</v>
      </c>
      <c r="E41" s="8"/>
      <c r="F41" s="8"/>
      <c r="G41" s="8"/>
      <c r="H41" s="8"/>
      <c r="I41" s="8"/>
      <c r="J41" s="8"/>
      <c r="K41" s="8"/>
      <c r="L41" s="15">
        <f t="shared" si="0"/>
        <v>0</v>
      </c>
      <c r="M41" s="64">
        <f>L41*H41</f>
        <v>0</v>
      </c>
      <c r="N41" s="8"/>
      <c r="O41" s="15"/>
      <c r="P41" s="8"/>
      <c r="Q41" s="8"/>
    </row>
    <row r="42" spans="1:17">
      <c r="A42" s="8"/>
      <c r="B42" s="8"/>
      <c r="C42" s="8" t="s">
        <v>769</v>
      </c>
      <c r="D42" s="10">
        <v>34</v>
      </c>
      <c r="E42" s="8"/>
      <c r="F42" s="8"/>
      <c r="G42" s="8"/>
      <c r="H42" s="8"/>
      <c r="I42" s="8"/>
      <c r="J42" s="8"/>
      <c r="K42" s="8"/>
      <c r="L42" s="15">
        <f t="shared" si="0"/>
        <v>0</v>
      </c>
      <c r="M42" s="64">
        <f t="shared" ref="M42:M56" si="4">L42*H42</f>
        <v>0</v>
      </c>
      <c r="N42" s="8"/>
      <c r="O42" s="15"/>
      <c r="P42" s="8"/>
      <c r="Q42" s="8"/>
    </row>
    <row r="43" spans="1:17">
      <c r="A43" s="8"/>
      <c r="B43" s="8"/>
      <c r="C43" s="8" t="s">
        <v>770</v>
      </c>
      <c r="D43" s="10">
        <v>35</v>
      </c>
      <c r="E43" s="8"/>
      <c r="F43" s="8"/>
      <c r="G43" s="8"/>
      <c r="H43" s="8"/>
      <c r="I43" s="8"/>
      <c r="J43" s="8"/>
      <c r="K43" s="8"/>
      <c r="L43" s="15">
        <f t="shared" si="0"/>
        <v>0</v>
      </c>
      <c r="M43" s="64">
        <f t="shared" si="4"/>
        <v>0</v>
      </c>
      <c r="N43" s="8"/>
      <c r="O43" s="15"/>
      <c r="P43" s="8"/>
      <c r="Q43" s="8"/>
    </row>
    <row r="44" spans="1:17">
      <c r="A44" s="8"/>
      <c r="B44" s="8"/>
      <c r="C44" s="8" t="s">
        <v>771</v>
      </c>
      <c r="D44" s="10">
        <v>36</v>
      </c>
      <c r="E44" s="8"/>
      <c r="F44" s="8"/>
      <c r="G44" s="8"/>
      <c r="H44" s="8"/>
      <c r="I44" s="8"/>
      <c r="J44" s="8"/>
      <c r="K44" s="8"/>
      <c r="L44" s="15">
        <f t="shared" si="0"/>
        <v>0</v>
      </c>
      <c r="M44" s="64">
        <f t="shared" si="4"/>
        <v>0</v>
      </c>
      <c r="N44" s="8"/>
      <c r="O44" s="15"/>
      <c r="P44" s="8"/>
      <c r="Q44" s="8"/>
    </row>
    <row r="45" spans="1:17">
      <c r="A45" s="8"/>
      <c r="B45" s="8"/>
      <c r="C45" s="8" t="s">
        <v>772</v>
      </c>
      <c r="D45" s="10">
        <v>37</v>
      </c>
      <c r="E45" s="8"/>
      <c r="F45" s="8"/>
      <c r="G45" s="8"/>
      <c r="H45" s="8"/>
      <c r="I45" s="8"/>
      <c r="J45" s="8"/>
      <c r="K45" s="8"/>
      <c r="L45" s="15">
        <f t="shared" si="0"/>
        <v>0</v>
      </c>
      <c r="M45" s="64">
        <f t="shared" si="4"/>
        <v>0</v>
      </c>
      <c r="N45" s="8"/>
      <c r="O45" s="15"/>
      <c r="P45" s="8"/>
      <c r="Q45" s="8"/>
    </row>
    <row r="46" spans="1:17">
      <c r="A46" s="8"/>
      <c r="B46" s="8"/>
      <c r="C46" s="8" t="s">
        <v>773</v>
      </c>
      <c r="D46" s="10">
        <v>38</v>
      </c>
      <c r="E46" s="8"/>
      <c r="F46" s="8"/>
      <c r="G46" s="8"/>
      <c r="H46" s="8"/>
      <c r="I46" s="8"/>
      <c r="J46" s="8"/>
      <c r="K46" s="8"/>
      <c r="L46" s="15">
        <f t="shared" si="0"/>
        <v>0</v>
      </c>
      <c r="M46" s="64">
        <f t="shared" si="4"/>
        <v>0</v>
      </c>
      <c r="N46" s="8"/>
      <c r="O46" s="15"/>
      <c r="P46" s="8"/>
      <c r="Q46" s="8"/>
    </row>
    <row r="47" spans="1:17">
      <c r="A47" s="8"/>
      <c r="B47" s="8"/>
      <c r="C47" s="8" t="s">
        <v>774</v>
      </c>
      <c r="D47" s="10">
        <v>39</v>
      </c>
      <c r="E47" s="8"/>
      <c r="F47" s="8"/>
      <c r="G47" s="8"/>
      <c r="H47" s="8"/>
      <c r="I47" s="8"/>
      <c r="J47" s="8"/>
      <c r="K47" s="8"/>
      <c r="L47" s="15">
        <f t="shared" si="0"/>
        <v>0</v>
      </c>
      <c r="M47" s="64">
        <f t="shared" si="4"/>
        <v>0</v>
      </c>
      <c r="N47" s="8"/>
      <c r="O47" s="15"/>
      <c r="P47" s="8"/>
      <c r="Q47" s="8"/>
    </row>
    <row r="48" spans="1:17">
      <c r="A48" s="8"/>
      <c r="B48" s="8"/>
      <c r="C48" s="8" t="s">
        <v>775</v>
      </c>
      <c r="D48" s="10">
        <v>40</v>
      </c>
      <c r="E48" s="8"/>
      <c r="F48" s="8"/>
      <c r="G48" s="8"/>
      <c r="H48" s="8"/>
      <c r="I48" s="8"/>
      <c r="J48" s="8"/>
      <c r="K48" s="8"/>
      <c r="L48" s="15">
        <f t="shared" si="0"/>
        <v>0</v>
      </c>
      <c r="M48" s="64">
        <f t="shared" si="4"/>
        <v>0</v>
      </c>
      <c r="N48" s="8"/>
      <c r="O48" s="15"/>
      <c r="P48" s="8"/>
      <c r="Q48" s="8"/>
    </row>
    <row r="49" spans="1:17">
      <c r="A49" s="1"/>
      <c r="B49" s="1"/>
      <c r="C49" s="1" t="s">
        <v>776</v>
      </c>
      <c r="D49" s="10">
        <v>41</v>
      </c>
      <c r="E49" s="1"/>
      <c r="F49" s="1"/>
      <c r="G49" s="1"/>
      <c r="H49" s="1"/>
      <c r="I49" s="1"/>
      <c r="J49" s="1"/>
      <c r="K49" s="1"/>
      <c r="L49" s="6">
        <f t="shared" si="0"/>
        <v>0</v>
      </c>
      <c r="M49" s="22">
        <f t="shared" si="4"/>
        <v>0</v>
      </c>
      <c r="N49" s="1"/>
      <c r="O49" s="6"/>
      <c r="P49" s="1"/>
      <c r="Q49" s="1"/>
    </row>
    <row r="50" spans="1:17">
      <c r="A50" s="1"/>
      <c r="B50" s="1"/>
      <c r="C50" s="1" t="s">
        <v>777</v>
      </c>
      <c r="D50" s="10">
        <v>42</v>
      </c>
      <c r="E50" s="1"/>
      <c r="F50" s="1"/>
      <c r="G50" s="1"/>
      <c r="H50" s="1"/>
      <c r="I50" s="1"/>
      <c r="J50" s="1"/>
      <c r="K50" s="1"/>
      <c r="L50" s="6">
        <f t="shared" si="0"/>
        <v>0</v>
      </c>
      <c r="M50" s="22">
        <f t="shared" si="4"/>
        <v>0</v>
      </c>
      <c r="N50" s="1"/>
      <c r="O50" s="6"/>
      <c r="P50" s="1"/>
      <c r="Q50" s="1"/>
    </row>
    <row r="51" spans="1:17">
      <c r="A51" s="1"/>
      <c r="B51" s="1"/>
      <c r="C51" s="1" t="s">
        <v>778</v>
      </c>
      <c r="D51" s="10">
        <v>43</v>
      </c>
      <c r="E51" s="1"/>
      <c r="F51" s="1"/>
      <c r="G51" s="1"/>
      <c r="H51" s="1"/>
      <c r="I51" s="1"/>
      <c r="J51" s="1"/>
      <c r="K51" s="1"/>
      <c r="L51" s="6">
        <f t="shared" si="0"/>
        <v>0</v>
      </c>
      <c r="M51" s="22">
        <f t="shared" si="4"/>
        <v>0</v>
      </c>
      <c r="N51" s="1"/>
      <c r="O51" s="6"/>
      <c r="P51" s="1"/>
      <c r="Q51" s="1"/>
    </row>
    <row r="52" spans="1:17">
      <c r="A52" s="1"/>
      <c r="B52" s="1"/>
      <c r="C52" s="1" t="s">
        <v>779</v>
      </c>
      <c r="D52" s="10">
        <v>44</v>
      </c>
      <c r="E52" s="1"/>
      <c r="F52" s="1"/>
      <c r="G52" s="1"/>
      <c r="H52" s="1"/>
      <c r="I52" s="1"/>
      <c r="J52" s="1"/>
      <c r="K52" s="1"/>
      <c r="L52" s="6">
        <f t="shared" si="0"/>
        <v>0</v>
      </c>
      <c r="M52" s="22">
        <f t="shared" si="4"/>
        <v>0</v>
      </c>
      <c r="N52" s="1"/>
      <c r="O52" s="6"/>
      <c r="P52" s="1"/>
      <c r="Q52" s="1"/>
    </row>
    <row r="53" spans="1:17">
      <c r="A53" s="1"/>
      <c r="B53" s="1"/>
      <c r="C53" s="1" t="s">
        <v>780</v>
      </c>
      <c r="D53" s="10">
        <v>45</v>
      </c>
      <c r="E53" s="1"/>
      <c r="F53" s="1"/>
      <c r="G53" s="1"/>
      <c r="H53" s="1"/>
      <c r="I53" s="1"/>
      <c r="J53" s="1"/>
      <c r="K53" s="1"/>
      <c r="L53" s="6">
        <f t="shared" si="0"/>
        <v>0</v>
      </c>
      <c r="M53" s="22">
        <f t="shared" si="4"/>
        <v>0</v>
      </c>
      <c r="N53" s="1"/>
      <c r="O53" s="6"/>
      <c r="P53" s="1"/>
      <c r="Q53" s="1"/>
    </row>
    <row r="54" spans="1:17">
      <c r="A54" s="1"/>
      <c r="B54" s="1"/>
      <c r="C54" s="1" t="s">
        <v>781</v>
      </c>
      <c r="D54" s="10">
        <v>46</v>
      </c>
      <c r="E54" s="1"/>
      <c r="F54" s="1"/>
      <c r="G54" s="1"/>
      <c r="H54" s="1"/>
      <c r="I54" s="1"/>
      <c r="J54" s="1"/>
      <c r="K54" s="1"/>
      <c r="L54" s="6">
        <f t="shared" si="0"/>
        <v>0</v>
      </c>
      <c r="M54" s="22">
        <f t="shared" si="4"/>
        <v>0</v>
      </c>
      <c r="N54" s="1"/>
      <c r="O54" s="6"/>
      <c r="P54" s="1"/>
      <c r="Q54" s="1"/>
    </row>
    <row r="55" spans="1:17">
      <c r="A55" s="1"/>
      <c r="B55" s="1"/>
      <c r="C55" s="1" t="s">
        <v>782</v>
      </c>
      <c r="D55" s="10">
        <v>47</v>
      </c>
      <c r="E55" s="1"/>
      <c r="F55" s="1"/>
      <c r="G55" s="1"/>
      <c r="H55" s="1"/>
      <c r="I55" s="1"/>
      <c r="J55" s="1"/>
      <c r="K55" s="1"/>
      <c r="L55" s="6">
        <f t="shared" si="0"/>
        <v>0</v>
      </c>
      <c r="M55" s="22">
        <f t="shared" si="4"/>
        <v>0</v>
      </c>
      <c r="N55" s="1"/>
      <c r="O55" s="6"/>
      <c r="P55" s="1"/>
      <c r="Q55" s="1"/>
    </row>
    <row r="56" spans="1:17">
      <c r="A56" s="1"/>
      <c r="B56" s="1"/>
      <c r="C56" s="1" t="s">
        <v>783</v>
      </c>
      <c r="D56" s="10">
        <v>48</v>
      </c>
      <c r="E56" s="1"/>
      <c r="F56" s="1"/>
      <c r="G56" s="1"/>
      <c r="H56" s="1"/>
      <c r="I56" s="1"/>
      <c r="J56" s="1"/>
      <c r="K56" s="1"/>
      <c r="L56" s="6">
        <f t="shared" si="0"/>
        <v>0</v>
      </c>
      <c r="M56" s="22">
        <f t="shared" si="4"/>
        <v>0</v>
      </c>
      <c r="N56" s="1"/>
      <c r="O56" s="6"/>
      <c r="P56" s="1"/>
      <c r="Q56" s="1"/>
    </row>
    <row r="57" spans="1:17">
      <c r="A57" s="8"/>
      <c r="B57" s="8"/>
      <c r="C57" s="60" t="s">
        <v>784</v>
      </c>
      <c r="D57" s="10">
        <v>49</v>
      </c>
      <c r="E57" s="8"/>
      <c r="F57" s="8"/>
      <c r="G57" s="8"/>
      <c r="H57" s="8"/>
      <c r="I57" s="8"/>
      <c r="J57" s="8"/>
      <c r="K57" s="8"/>
      <c r="L57" s="15">
        <f t="shared" si="0"/>
        <v>0</v>
      </c>
      <c r="M57" s="64">
        <f>L57*H57</f>
        <v>0</v>
      </c>
      <c r="N57" s="8"/>
      <c r="O57" s="15"/>
      <c r="P57" s="15"/>
      <c r="Q57" s="15"/>
    </row>
    <row r="58" spans="1:17">
      <c r="A58" s="8"/>
      <c r="B58" s="8"/>
      <c r="C58" s="60" t="s">
        <v>785</v>
      </c>
      <c r="D58" s="10">
        <v>50</v>
      </c>
      <c r="E58" s="8"/>
      <c r="F58" s="8"/>
      <c r="G58" s="8"/>
      <c r="H58" s="8"/>
      <c r="I58" s="8"/>
      <c r="J58" s="8"/>
      <c r="K58" s="8"/>
      <c r="L58" s="15">
        <f t="shared" si="0"/>
        <v>0</v>
      </c>
      <c r="M58" s="64">
        <f t="shared" ref="M58:M72" si="5">L58*H58</f>
        <v>0</v>
      </c>
      <c r="N58" s="8"/>
      <c r="O58" s="15"/>
      <c r="P58" s="15"/>
      <c r="Q58" s="15"/>
    </row>
    <row r="59" spans="1:17">
      <c r="A59" s="8"/>
      <c r="B59" s="8"/>
      <c r="C59" s="60" t="s">
        <v>786</v>
      </c>
      <c r="D59" s="10">
        <v>51</v>
      </c>
      <c r="E59" s="8"/>
      <c r="F59" s="8"/>
      <c r="G59" s="8"/>
      <c r="H59" s="8"/>
      <c r="I59" s="8"/>
      <c r="J59" s="8"/>
      <c r="K59" s="8"/>
      <c r="L59" s="15">
        <f t="shared" si="0"/>
        <v>0</v>
      </c>
      <c r="M59" s="64">
        <f t="shared" si="5"/>
        <v>0</v>
      </c>
      <c r="N59" s="8"/>
      <c r="O59" s="15"/>
      <c r="P59" s="14"/>
      <c r="Q59" s="14"/>
    </row>
    <row r="60" spans="1:17">
      <c r="A60" s="8"/>
      <c r="B60" s="8"/>
      <c r="C60" s="60" t="s">
        <v>787</v>
      </c>
      <c r="D60" s="10">
        <v>52</v>
      </c>
      <c r="E60" s="8"/>
      <c r="F60" s="8"/>
      <c r="G60" s="8"/>
      <c r="H60" s="8"/>
      <c r="I60" s="8"/>
      <c r="J60" s="8"/>
      <c r="K60" s="8"/>
      <c r="L60" s="15">
        <f t="shared" si="0"/>
        <v>0</v>
      </c>
      <c r="M60" s="64">
        <f t="shared" si="5"/>
        <v>0</v>
      </c>
      <c r="N60" s="8"/>
      <c r="O60" s="15"/>
      <c r="P60" s="14"/>
      <c r="Q60" s="14"/>
    </row>
    <row r="61" spans="1:17">
      <c r="A61" s="8"/>
      <c r="B61" s="8"/>
      <c r="C61" s="60" t="s">
        <v>788</v>
      </c>
      <c r="D61" s="10">
        <v>53</v>
      </c>
      <c r="E61" s="8"/>
      <c r="F61" s="8"/>
      <c r="G61" s="8"/>
      <c r="H61" s="8"/>
      <c r="I61" s="8"/>
      <c r="J61" s="8"/>
      <c r="K61" s="8"/>
      <c r="L61" s="15">
        <f t="shared" si="0"/>
        <v>0</v>
      </c>
      <c r="M61" s="64">
        <f t="shared" si="5"/>
        <v>0</v>
      </c>
      <c r="N61" s="8"/>
      <c r="O61" s="15"/>
      <c r="P61" s="14"/>
      <c r="Q61" s="14"/>
    </row>
    <row r="62" spans="1:17">
      <c r="A62" s="8"/>
      <c r="B62" s="8"/>
      <c r="C62" s="60" t="s">
        <v>789</v>
      </c>
      <c r="D62" s="10">
        <v>54</v>
      </c>
      <c r="E62" s="8"/>
      <c r="F62" s="8"/>
      <c r="G62" s="8"/>
      <c r="H62" s="8"/>
      <c r="I62" s="8"/>
      <c r="J62" s="8"/>
      <c r="K62" s="8"/>
      <c r="L62" s="15">
        <f t="shared" si="0"/>
        <v>0</v>
      </c>
      <c r="M62" s="64">
        <f t="shared" si="5"/>
        <v>0</v>
      </c>
      <c r="N62" s="8"/>
      <c r="O62" s="15"/>
      <c r="P62" s="8"/>
      <c r="Q62" s="8"/>
    </row>
    <row r="63" spans="1:17">
      <c r="A63" s="8"/>
      <c r="B63" s="8"/>
      <c r="C63" s="60" t="s">
        <v>790</v>
      </c>
      <c r="D63" s="10">
        <v>55</v>
      </c>
      <c r="E63" s="8"/>
      <c r="F63" s="8"/>
      <c r="G63" s="8"/>
      <c r="H63" s="8"/>
      <c r="I63" s="8"/>
      <c r="J63" s="8"/>
      <c r="K63" s="8"/>
      <c r="L63" s="15">
        <f t="shared" si="0"/>
        <v>0</v>
      </c>
      <c r="M63" s="64">
        <f t="shared" si="5"/>
        <v>0</v>
      </c>
      <c r="N63" s="8"/>
      <c r="O63" s="15"/>
      <c r="P63" s="8"/>
      <c r="Q63" s="8"/>
    </row>
    <row r="64" spans="1:17">
      <c r="A64" s="8"/>
      <c r="B64" s="8"/>
      <c r="C64" s="60" t="s">
        <v>791</v>
      </c>
      <c r="D64" s="10">
        <v>56</v>
      </c>
      <c r="E64" s="8"/>
      <c r="F64" s="8"/>
      <c r="G64" s="8"/>
      <c r="H64" s="8"/>
      <c r="I64" s="8"/>
      <c r="J64" s="8"/>
      <c r="K64" s="8"/>
      <c r="L64" s="15">
        <f t="shared" si="0"/>
        <v>0</v>
      </c>
      <c r="M64" s="64">
        <f t="shared" si="5"/>
        <v>0</v>
      </c>
      <c r="N64" s="8"/>
      <c r="O64" s="15"/>
      <c r="P64" s="8"/>
      <c r="Q64" s="8"/>
    </row>
    <row r="65" spans="1:17">
      <c r="A65" s="1"/>
      <c r="B65" s="1"/>
      <c r="C65" s="51" t="s">
        <v>792</v>
      </c>
      <c r="D65" s="10">
        <v>57</v>
      </c>
      <c r="E65" s="1"/>
      <c r="F65" s="1"/>
      <c r="G65" s="1"/>
      <c r="H65" s="1"/>
      <c r="I65" s="1"/>
      <c r="J65" s="1"/>
      <c r="K65" s="1"/>
      <c r="L65" s="6">
        <f t="shared" si="0"/>
        <v>0</v>
      </c>
      <c r="M65" s="22">
        <f t="shared" si="5"/>
        <v>0</v>
      </c>
      <c r="N65" s="1"/>
      <c r="O65" s="6"/>
      <c r="P65" s="1"/>
      <c r="Q65" s="1"/>
    </row>
    <row r="66" spans="1:17">
      <c r="A66" s="1"/>
      <c r="B66" s="1"/>
      <c r="C66" s="51" t="s">
        <v>793</v>
      </c>
      <c r="D66" s="10">
        <v>58</v>
      </c>
      <c r="E66" s="1"/>
      <c r="F66" s="1"/>
      <c r="G66" s="1"/>
      <c r="H66" s="1"/>
      <c r="I66" s="1"/>
      <c r="J66" s="1"/>
      <c r="K66" s="1"/>
      <c r="L66" s="6">
        <f t="shared" si="0"/>
        <v>0</v>
      </c>
      <c r="M66" s="22">
        <f t="shared" si="5"/>
        <v>0</v>
      </c>
      <c r="N66" s="1"/>
      <c r="O66" s="6"/>
      <c r="P66" s="1"/>
      <c r="Q66" s="1"/>
    </row>
    <row r="67" spans="1:17">
      <c r="A67" s="1"/>
      <c r="B67" s="1"/>
      <c r="C67" s="51" t="s">
        <v>794</v>
      </c>
      <c r="D67" s="10">
        <v>59</v>
      </c>
      <c r="E67" s="1"/>
      <c r="F67" s="1"/>
      <c r="G67" s="1"/>
      <c r="H67" s="1"/>
      <c r="I67" s="1"/>
      <c r="J67" s="1"/>
      <c r="K67" s="1"/>
      <c r="L67" s="6">
        <f t="shared" si="0"/>
        <v>0</v>
      </c>
      <c r="M67" s="22">
        <f t="shared" si="5"/>
        <v>0</v>
      </c>
      <c r="N67" s="1"/>
      <c r="O67" s="6"/>
      <c r="P67" s="1"/>
      <c r="Q67" s="1"/>
    </row>
    <row r="68" spans="1:17">
      <c r="A68" s="1"/>
      <c r="B68" s="1"/>
      <c r="C68" s="51" t="s">
        <v>795</v>
      </c>
      <c r="D68" s="10">
        <v>60</v>
      </c>
      <c r="E68" s="1"/>
      <c r="F68" s="1"/>
      <c r="G68" s="1"/>
      <c r="H68" s="1"/>
      <c r="I68" s="1"/>
      <c r="J68" s="1"/>
      <c r="K68" s="1"/>
      <c r="L68" s="6">
        <f t="shared" si="0"/>
        <v>0</v>
      </c>
      <c r="M68" s="22">
        <f t="shared" si="5"/>
        <v>0</v>
      </c>
      <c r="N68" s="1"/>
      <c r="O68" s="6"/>
      <c r="P68" s="1"/>
      <c r="Q68" s="1"/>
    </row>
    <row r="69" spans="1:17">
      <c r="A69" s="1"/>
      <c r="B69" s="1"/>
      <c r="C69" s="51" t="s">
        <v>796</v>
      </c>
      <c r="D69" s="10">
        <v>61</v>
      </c>
      <c r="E69" s="1"/>
      <c r="F69" s="1"/>
      <c r="G69" s="1"/>
      <c r="H69" s="1"/>
      <c r="I69" s="1"/>
      <c r="J69" s="1"/>
      <c r="K69" s="1"/>
      <c r="L69" s="6">
        <f t="shared" si="0"/>
        <v>0</v>
      </c>
      <c r="M69" s="22">
        <f t="shared" si="5"/>
        <v>0</v>
      </c>
      <c r="N69" s="1"/>
      <c r="O69" s="6"/>
      <c r="P69" s="1"/>
      <c r="Q69" s="1"/>
    </row>
    <row r="70" spans="1:17">
      <c r="A70" s="1"/>
      <c r="B70" s="1"/>
      <c r="C70" s="51" t="s">
        <v>797</v>
      </c>
      <c r="D70" s="10">
        <v>62</v>
      </c>
      <c r="E70" s="1"/>
      <c r="F70" s="1"/>
      <c r="G70" s="1"/>
      <c r="H70" s="1"/>
      <c r="I70" s="1"/>
      <c r="J70" s="1"/>
      <c r="K70" s="1"/>
      <c r="L70" s="6">
        <f t="shared" si="0"/>
        <v>0</v>
      </c>
      <c r="M70" s="22">
        <f t="shared" si="5"/>
        <v>0</v>
      </c>
      <c r="N70" s="1"/>
      <c r="O70" s="6"/>
      <c r="P70" s="1"/>
      <c r="Q70" s="1"/>
    </row>
    <row r="71" spans="1:17">
      <c r="A71" s="1"/>
      <c r="B71" s="1"/>
      <c r="C71" s="51" t="s">
        <v>798</v>
      </c>
      <c r="D71" s="10">
        <v>63</v>
      </c>
      <c r="E71" s="17"/>
      <c r="F71" s="17"/>
      <c r="G71" s="17"/>
      <c r="H71" s="17"/>
      <c r="I71" s="17"/>
      <c r="J71" s="17"/>
      <c r="K71" s="17"/>
      <c r="L71" s="65">
        <f t="shared" si="0"/>
        <v>0</v>
      </c>
      <c r="M71" s="22">
        <f t="shared" si="5"/>
        <v>0</v>
      </c>
      <c r="N71" s="17"/>
      <c r="O71" s="6"/>
      <c r="P71" s="17"/>
      <c r="Q71" s="17"/>
    </row>
    <row r="72" spans="1:17">
      <c r="A72" s="1"/>
      <c r="B72" s="1"/>
      <c r="C72" s="51" t="s">
        <v>799</v>
      </c>
      <c r="D72" s="10">
        <v>64</v>
      </c>
      <c r="E72" s="1"/>
      <c r="F72" s="1"/>
      <c r="G72" s="1"/>
      <c r="H72" s="1"/>
      <c r="I72" s="1"/>
      <c r="J72" s="1"/>
      <c r="K72" s="1"/>
      <c r="L72" s="6">
        <f t="shared" si="0"/>
        <v>0</v>
      </c>
      <c r="M72" s="22">
        <f t="shared" si="5"/>
        <v>0</v>
      </c>
      <c r="N72" s="1"/>
      <c r="O72" s="6"/>
      <c r="P72" s="1"/>
      <c r="Q72" s="1"/>
    </row>
    <row r="73" spans="1:17">
      <c r="A73" s="8"/>
      <c r="B73" s="19"/>
      <c r="C73" s="61" t="s">
        <v>800</v>
      </c>
      <c r="D73" s="10">
        <v>65</v>
      </c>
      <c r="E73" s="19"/>
      <c r="F73" s="19"/>
      <c r="G73" s="19"/>
      <c r="H73" s="19"/>
      <c r="I73" s="19"/>
      <c r="J73" s="19"/>
      <c r="K73" s="19"/>
      <c r="L73" s="66">
        <f t="shared" si="0"/>
        <v>0</v>
      </c>
      <c r="M73" s="64">
        <f>L73*H73</f>
        <v>0</v>
      </c>
      <c r="N73" s="19"/>
      <c r="O73" s="15"/>
      <c r="P73" s="19"/>
      <c r="Q73" s="19"/>
    </row>
    <row r="74" spans="1:17">
      <c r="A74" s="8"/>
      <c r="B74" s="19"/>
      <c r="C74" s="61" t="s">
        <v>801</v>
      </c>
      <c r="D74" s="10">
        <v>66</v>
      </c>
      <c r="E74" s="8"/>
      <c r="F74" s="8"/>
      <c r="G74" s="8"/>
      <c r="H74" s="8"/>
      <c r="I74" s="8"/>
      <c r="J74" s="8"/>
      <c r="K74" s="8"/>
      <c r="L74" s="15">
        <f t="shared" ref="L74:L104" si="6">J74*K74</f>
        <v>0</v>
      </c>
      <c r="M74" s="64">
        <f t="shared" ref="M74:M88" si="7">L74*H74</f>
        <v>0</v>
      </c>
      <c r="N74" s="8"/>
      <c r="O74" s="15"/>
      <c r="P74" s="8"/>
      <c r="Q74" s="8"/>
    </row>
    <row r="75" spans="1:17">
      <c r="A75" s="8"/>
      <c r="B75" s="19"/>
      <c r="C75" s="61" t="s">
        <v>802</v>
      </c>
      <c r="D75" s="10">
        <v>67</v>
      </c>
      <c r="E75" s="8"/>
      <c r="F75" s="8"/>
      <c r="G75" s="8"/>
      <c r="H75" s="8"/>
      <c r="I75" s="8"/>
      <c r="J75" s="8"/>
      <c r="K75" s="8"/>
      <c r="L75" s="15">
        <f t="shared" si="6"/>
        <v>0</v>
      </c>
      <c r="M75" s="64">
        <f t="shared" si="7"/>
        <v>0</v>
      </c>
      <c r="N75" s="8"/>
      <c r="O75" s="15"/>
      <c r="P75" s="8"/>
      <c r="Q75" s="8"/>
    </row>
    <row r="76" spans="1:17">
      <c r="A76" s="8"/>
      <c r="B76" s="19"/>
      <c r="C76" s="61" t="s">
        <v>803</v>
      </c>
      <c r="D76" s="10">
        <v>68</v>
      </c>
      <c r="E76" s="8"/>
      <c r="F76" s="8"/>
      <c r="G76" s="8"/>
      <c r="H76" s="8"/>
      <c r="I76" s="8"/>
      <c r="J76" s="8"/>
      <c r="K76" s="8"/>
      <c r="L76" s="15">
        <f t="shared" si="6"/>
        <v>0</v>
      </c>
      <c r="M76" s="64">
        <f t="shared" si="7"/>
        <v>0</v>
      </c>
      <c r="N76" s="8"/>
      <c r="O76" s="15"/>
      <c r="P76" s="8"/>
      <c r="Q76" s="8"/>
    </row>
    <row r="77" spans="1:17">
      <c r="A77" s="8"/>
      <c r="B77" s="19"/>
      <c r="C77" s="61" t="s">
        <v>804</v>
      </c>
      <c r="D77" s="10">
        <v>69</v>
      </c>
      <c r="E77" s="8"/>
      <c r="F77" s="8"/>
      <c r="G77" s="8"/>
      <c r="H77" s="8"/>
      <c r="I77" s="8"/>
      <c r="J77" s="8"/>
      <c r="K77" s="8"/>
      <c r="L77" s="15">
        <f t="shared" si="6"/>
        <v>0</v>
      </c>
      <c r="M77" s="64">
        <f t="shared" si="7"/>
        <v>0</v>
      </c>
      <c r="N77" s="8"/>
      <c r="O77" s="15"/>
      <c r="P77" s="8"/>
      <c r="Q77" s="8"/>
    </row>
    <row r="78" spans="1:17">
      <c r="A78" s="8"/>
      <c r="B78" s="19"/>
      <c r="C78" s="61" t="s">
        <v>805</v>
      </c>
      <c r="D78" s="10">
        <v>70</v>
      </c>
      <c r="E78" s="8"/>
      <c r="F78" s="8"/>
      <c r="G78" s="8"/>
      <c r="H78" s="8"/>
      <c r="I78" s="8"/>
      <c r="J78" s="8"/>
      <c r="K78" s="8"/>
      <c r="L78" s="15">
        <f t="shared" si="6"/>
        <v>0</v>
      </c>
      <c r="M78" s="64">
        <f t="shared" si="7"/>
        <v>0</v>
      </c>
      <c r="N78" s="8"/>
      <c r="O78" s="15"/>
      <c r="P78" s="8"/>
      <c r="Q78" s="8"/>
    </row>
    <row r="79" spans="1:17">
      <c r="A79" s="8"/>
      <c r="B79" s="19"/>
      <c r="C79" s="61" t="s">
        <v>806</v>
      </c>
      <c r="D79" s="10">
        <v>71</v>
      </c>
      <c r="E79" s="8"/>
      <c r="F79" s="8"/>
      <c r="G79" s="8"/>
      <c r="H79" s="8"/>
      <c r="I79" s="8"/>
      <c r="J79" s="8"/>
      <c r="K79" s="8"/>
      <c r="L79" s="15">
        <f t="shared" si="6"/>
        <v>0</v>
      </c>
      <c r="M79" s="64">
        <f t="shared" si="7"/>
        <v>0</v>
      </c>
      <c r="N79" s="8"/>
      <c r="O79" s="15"/>
      <c r="P79" s="8"/>
      <c r="Q79" s="8"/>
    </row>
    <row r="80" spans="1:17">
      <c r="A80" s="8"/>
      <c r="B80" s="19"/>
      <c r="C80" s="61" t="s">
        <v>807</v>
      </c>
      <c r="D80" s="10">
        <v>72</v>
      </c>
      <c r="E80" s="8"/>
      <c r="F80" s="8"/>
      <c r="G80" s="8"/>
      <c r="H80" s="8"/>
      <c r="I80" s="8"/>
      <c r="J80" s="8"/>
      <c r="K80" s="8"/>
      <c r="L80" s="15">
        <f t="shared" si="6"/>
        <v>0</v>
      </c>
      <c r="M80" s="64">
        <f t="shared" si="7"/>
        <v>0</v>
      </c>
      <c r="N80" s="8"/>
      <c r="O80" s="15"/>
      <c r="P80" s="8"/>
      <c r="Q80" s="8"/>
    </row>
    <row r="81" spans="1:17">
      <c r="A81" s="1"/>
      <c r="B81" s="1"/>
      <c r="C81" s="51" t="s">
        <v>233</v>
      </c>
      <c r="D81" s="10">
        <v>73</v>
      </c>
      <c r="E81" s="1"/>
      <c r="F81" s="1"/>
      <c r="G81" s="1"/>
      <c r="H81" s="1"/>
      <c r="I81" s="1"/>
      <c r="J81" s="1"/>
      <c r="K81" s="1"/>
      <c r="L81" s="6">
        <f t="shared" si="6"/>
        <v>0</v>
      </c>
      <c r="M81" s="22">
        <f t="shared" si="7"/>
        <v>0</v>
      </c>
      <c r="N81" s="1"/>
      <c r="O81" s="6"/>
      <c r="P81" s="1"/>
      <c r="Q81" s="1"/>
    </row>
    <row r="82" spans="1:17">
      <c r="A82" s="1"/>
      <c r="B82" s="1"/>
      <c r="C82" s="51" t="s">
        <v>234</v>
      </c>
      <c r="D82" s="10">
        <v>74</v>
      </c>
      <c r="E82" s="1"/>
      <c r="F82" s="1"/>
      <c r="G82" s="1"/>
      <c r="H82" s="1"/>
      <c r="I82" s="1"/>
      <c r="J82" s="1"/>
      <c r="K82" s="1"/>
      <c r="L82" s="6">
        <f t="shared" si="6"/>
        <v>0</v>
      </c>
      <c r="M82" s="22">
        <f t="shared" si="7"/>
        <v>0</v>
      </c>
      <c r="N82" s="1"/>
      <c r="O82" s="6"/>
      <c r="P82" s="1"/>
      <c r="Q82" s="1"/>
    </row>
    <row r="83" spans="1:17">
      <c r="A83" s="1"/>
      <c r="B83" s="1"/>
      <c r="C83" s="51" t="s">
        <v>235</v>
      </c>
      <c r="D83" s="10">
        <v>75</v>
      </c>
      <c r="E83" s="1"/>
      <c r="F83" s="1"/>
      <c r="G83" s="1"/>
      <c r="H83" s="1"/>
      <c r="I83" s="1"/>
      <c r="J83" s="1"/>
      <c r="K83" s="1"/>
      <c r="L83" s="6">
        <f t="shared" si="6"/>
        <v>0</v>
      </c>
      <c r="M83" s="22">
        <f t="shared" si="7"/>
        <v>0</v>
      </c>
      <c r="N83" s="1"/>
      <c r="O83" s="6"/>
      <c r="P83" s="1"/>
      <c r="Q83" s="1"/>
    </row>
    <row r="84" spans="1:17">
      <c r="A84" s="1"/>
      <c r="B84" s="1"/>
      <c r="C84" s="51" t="s">
        <v>236</v>
      </c>
      <c r="D84" s="10">
        <v>76</v>
      </c>
      <c r="E84" s="1"/>
      <c r="F84" s="1"/>
      <c r="G84" s="1"/>
      <c r="H84" s="1"/>
      <c r="I84" s="1"/>
      <c r="J84" s="1"/>
      <c r="K84" s="1"/>
      <c r="L84" s="6">
        <f t="shared" si="6"/>
        <v>0</v>
      </c>
      <c r="M84" s="22">
        <f t="shared" si="7"/>
        <v>0</v>
      </c>
      <c r="N84" s="1"/>
      <c r="O84" s="6"/>
      <c r="P84" s="1"/>
      <c r="Q84" s="1"/>
    </row>
    <row r="85" spans="1:17">
      <c r="A85" s="1"/>
      <c r="B85" s="1"/>
      <c r="C85" s="51" t="s">
        <v>237</v>
      </c>
      <c r="D85" s="10">
        <v>77</v>
      </c>
      <c r="E85" s="1"/>
      <c r="F85" s="1"/>
      <c r="G85" s="1"/>
      <c r="H85" s="1"/>
      <c r="I85" s="1"/>
      <c r="J85" s="1"/>
      <c r="K85" s="1"/>
      <c r="L85" s="6">
        <f t="shared" si="6"/>
        <v>0</v>
      </c>
      <c r="M85" s="22">
        <f t="shared" si="7"/>
        <v>0</v>
      </c>
      <c r="N85" s="1"/>
      <c r="O85" s="6"/>
      <c r="P85" s="1"/>
      <c r="Q85" s="1"/>
    </row>
    <row r="86" spans="1:17">
      <c r="A86" s="1"/>
      <c r="B86" s="1"/>
      <c r="C86" s="51" t="s">
        <v>238</v>
      </c>
      <c r="D86" s="10">
        <v>78</v>
      </c>
      <c r="E86" s="1"/>
      <c r="F86" s="1"/>
      <c r="G86" s="1"/>
      <c r="H86" s="1"/>
      <c r="I86" s="1"/>
      <c r="J86" s="1"/>
      <c r="K86" s="1"/>
      <c r="L86" s="6">
        <f t="shared" si="6"/>
        <v>0</v>
      </c>
      <c r="M86" s="22">
        <f t="shared" si="7"/>
        <v>0</v>
      </c>
      <c r="N86" s="1"/>
      <c r="O86" s="6"/>
      <c r="P86" s="1"/>
      <c r="Q86" s="1"/>
    </row>
    <row r="87" spans="1:17">
      <c r="A87" s="1"/>
      <c r="B87" s="1"/>
      <c r="C87" s="51" t="s">
        <v>239</v>
      </c>
      <c r="D87" s="10">
        <v>79</v>
      </c>
      <c r="E87" s="1"/>
      <c r="F87" s="1"/>
      <c r="G87" s="1"/>
      <c r="H87" s="1"/>
      <c r="I87" s="1"/>
      <c r="J87" s="1"/>
      <c r="K87" s="1"/>
      <c r="L87" s="6">
        <f t="shared" si="6"/>
        <v>0</v>
      </c>
      <c r="M87" s="22">
        <f t="shared" si="7"/>
        <v>0</v>
      </c>
      <c r="N87" s="1"/>
      <c r="O87" s="6"/>
      <c r="P87" s="1"/>
      <c r="Q87" s="1"/>
    </row>
    <row r="88" spans="1:17">
      <c r="A88" s="1"/>
      <c r="B88" s="1"/>
      <c r="C88" s="51" t="s">
        <v>240</v>
      </c>
      <c r="D88" s="10">
        <v>80</v>
      </c>
      <c r="E88" s="1"/>
      <c r="F88" s="1"/>
      <c r="G88" s="1"/>
      <c r="H88" s="1"/>
      <c r="I88" s="1"/>
      <c r="J88" s="1"/>
      <c r="K88" s="1"/>
      <c r="L88" s="6">
        <f t="shared" si="6"/>
        <v>0</v>
      </c>
      <c r="M88" s="22">
        <f t="shared" si="7"/>
        <v>0</v>
      </c>
      <c r="N88" s="1"/>
      <c r="O88" s="6"/>
      <c r="P88" s="1"/>
      <c r="Q88" s="1"/>
    </row>
    <row r="89" spans="1:17">
      <c r="A89" s="8"/>
      <c r="B89" s="8"/>
      <c r="C89" s="60" t="s">
        <v>241</v>
      </c>
      <c r="D89" s="10">
        <v>81</v>
      </c>
      <c r="E89" s="8"/>
      <c r="F89" s="8"/>
      <c r="G89" s="8"/>
      <c r="H89" s="8"/>
      <c r="I89" s="8"/>
      <c r="J89" s="8"/>
      <c r="K89" s="8"/>
      <c r="L89" s="15">
        <f t="shared" si="6"/>
        <v>0</v>
      </c>
      <c r="M89" s="64">
        <f>L89*H89</f>
        <v>0</v>
      </c>
      <c r="N89" s="8"/>
      <c r="O89" s="15"/>
      <c r="P89" s="8"/>
      <c r="Q89" s="8"/>
    </row>
    <row r="90" spans="1:17">
      <c r="A90" s="8"/>
      <c r="B90" s="8"/>
      <c r="C90" s="60" t="s">
        <v>242</v>
      </c>
      <c r="D90" s="10">
        <v>82</v>
      </c>
      <c r="E90" s="8"/>
      <c r="F90" s="8"/>
      <c r="G90" s="8"/>
      <c r="H90" s="8"/>
      <c r="I90" s="8"/>
      <c r="J90" s="8"/>
      <c r="K90" s="8"/>
      <c r="L90" s="15">
        <f t="shared" si="6"/>
        <v>0</v>
      </c>
      <c r="M90" s="64">
        <f t="shared" ref="M90:M104" si="8">L90*H90</f>
        <v>0</v>
      </c>
      <c r="N90" s="8"/>
      <c r="O90" s="15"/>
      <c r="P90" s="8"/>
      <c r="Q90" s="8"/>
    </row>
    <row r="91" spans="1:17">
      <c r="A91" s="8"/>
      <c r="B91" s="8"/>
      <c r="C91" s="60" t="s">
        <v>243</v>
      </c>
      <c r="D91" s="10">
        <v>83</v>
      </c>
      <c r="E91" s="8"/>
      <c r="F91" s="8"/>
      <c r="G91" s="8"/>
      <c r="H91" s="8"/>
      <c r="I91" s="8"/>
      <c r="J91" s="8"/>
      <c r="K91" s="8"/>
      <c r="L91" s="15">
        <f t="shared" si="6"/>
        <v>0</v>
      </c>
      <c r="M91" s="64">
        <f t="shared" si="8"/>
        <v>0</v>
      </c>
      <c r="N91" s="8"/>
      <c r="O91" s="15"/>
      <c r="P91" s="8"/>
      <c r="Q91" s="8"/>
    </row>
    <row r="92" spans="1:17">
      <c r="A92" s="8"/>
      <c r="B92" s="8"/>
      <c r="C92" s="60" t="s">
        <v>244</v>
      </c>
      <c r="D92" s="10">
        <v>84</v>
      </c>
      <c r="E92" s="8"/>
      <c r="F92" s="8"/>
      <c r="G92" s="8"/>
      <c r="H92" s="8"/>
      <c r="I92" s="8"/>
      <c r="J92" s="8"/>
      <c r="K92" s="8"/>
      <c r="L92" s="15">
        <f t="shared" si="6"/>
        <v>0</v>
      </c>
      <c r="M92" s="64">
        <f t="shared" si="8"/>
        <v>0</v>
      </c>
      <c r="N92" s="8"/>
      <c r="O92" s="15"/>
      <c r="P92" s="8"/>
      <c r="Q92" s="8"/>
    </row>
    <row r="93" spans="1:17">
      <c r="A93" s="8"/>
      <c r="B93" s="8"/>
      <c r="C93" s="60" t="s">
        <v>245</v>
      </c>
      <c r="D93" s="10">
        <v>85</v>
      </c>
      <c r="E93" s="8"/>
      <c r="F93" s="8"/>
      <c r="G93" s="8"/>
      <c r="H93" s="8"/>
      <c r="I93" s="8"/>
      <c r="J93" s="8"/>
      <c r="K93" s="8"/>
      <c r="L93" s="15">
        <f t="shared" si="6"/>
        <v>0</v>
      </c>
      <c r="M93" s="64">
        <f t="shared" si="8"/>
        <v>0</v>
      </c>
      <c r="N93" s="8"/>
      <c r="O93" s="15"/>
      <c r="P93" s="8"/>
      <c r="Q93" s="8"/>
    </row>
    <row r="94" spans="1:17">
      <c r="A94" s="8"/>
      <c r="B94" s="8"/>
      <c r="C94" s="60" t="s">
        <v>246</v>
      </c>
      <c r="D94" s="10">
        <v>86</v>
      </c>
      <c r="E94" s="8"/>
      <c r="F94" s="8"/>
      <c r="G94" s="8"/>
      <c r="H94" s="8"/>
      <c r="I94" s="8"/>
      <c r="J94" s="8"/>
      <c r="K94" s="8"/>
      <c r="L94" s="15">
        <f t="shared" si="6"/>
        <v>0</v>
      </c>
      <c r="M94" s="64">
        <f t="shared" si="8"/>
        <v>0</v>
      </c>
      <c r="N94" s="8"/>
      <c r="O94" s="15"/>
      <c r="P94" s="8"/>
      <c r="Q94" s="8"/>
    </row>
    <row r="95" spans="1:17">
      <c r="A95" s="8"/>
      <c r="B95" s="8"/>
      <c r="C95" s="60" t="s">
        <v>247</v>
      </c>
      <c r="D95" s="10">
        <v>87</v>
      </c>
      <c r="E95" s="8"/>
      <c r="F95" s="8"/>
      <c r="G95" s="8"/>
      <c r="H95" s="8"/>
      <c r="I95" s="8"/>
      <c r="J95" s="8"/>
      <c r="K95" s="8"/>
      <c r="L95" s="15">
        <f t="shared" si="6"/>
        <v>0</v>
      </c>
      <c r="M95" s="64">
        <f t="shared" si="8"/>
        <v>0</v>
      </c>
      <c r="N95" s="8"/>
      <c r="O95" s="15"/>
      <c r="P95" s="8"/>
      <c r="Q95" s="8"/>
    </row>
    <row r="96" spans="1:17">
      <c r="A96" s="8"/>
      <c r="B96" s="8"/>
      <c r="C96" s="60" t="s">
        <v>248</v>
      </c>
      <c r="D96" s="10">
        <v>88</v>
      </c>
      <c r="E96" s="8"/>
      <c r="F96" s="8"/>
      <c r="G96" s="8"/>
      <c r="H96" s="8"/>
      <c r="I96" s="8"/>
      <c r="J96" s="8"/>
      <c r="K96" s="8"/>
      <c r="L96" s="15">
        <f t="shared" si="6"/>
        <v>0</v>
      </c>
      <c r="M96" s="64">
        <f t="shared" si="8"/>
        <v>0</v>
      </c>
      <c r="N96" s="8"/>
      <c r="O96" s="15"/>
      <c r="P96" s="8"/>
      <c r="Q96" s="8"/>
    </row>
    <row r="97" spans="1:17">
      <c r="A97" s="1"/>
      <c r="B97" s="1"/>
      <c r="C97" s="51" t="s">
        <v>249</v>
      </c>
      <c r="D97" s="10">
        <v>89</v>
      </c>
      <c r="E97" s="1"/>
      <c r="F97" s="1"/>
      <c r="G97" s="1"/>
      <c r="H97" s="1"/>
      <c r="I97" s="1"/>
      <c r="J97" s="1"/>
      <c r="K97" s="1"/>
      <c r="L97" s="6">
        <f t="shared" si="6"/>
        <v>0</v>
      </c>
      <c r="M97" s="22">
        <f t="shared" si="8"/>
        <v>0</v>
      </c>
      <c r="N97" s="1"/>
      <c r="O97" s="6"/>
      <c r="P97" s="1"/>
      <c r="Q97" s="1"/>
    </row>
    <row r="98" spans="1:17">
      <c r="A98" s="1"/>
      <c r="B98" s="1"/>
      <c r="C98" s="51" t="s">
        <v>250</v>
      </c>
      <c r="D98" s="10">
        <v>90</v>
      </c>
      <c r="E98" s="1"/>
      <c r="F98" s="1"/>
      <c r="G98" s="1"/>
      <c r="H98" s="1"/>
      <c r="I98" s="1"/>
      <c r="J98" s="1"/>
      <c r="K98" s="1"/>
      <c r="L98" s="6">
        <f t="shared" si="6"/>
        <v>0</v>
      </c>
      <c r="M98" s="22">
        <f t="shared" si="8"/>
        <v>0</v>
      </c>
      <c r="N98" s="1"/>
      <c r="O98" s="6"/>
      <c r="P98" s="1"/>
      <c r="Q98" s="1"/>
    </row>
    <row r="99" spans="1:17">
      <c r="A99" s="1"/>
      <c r="B99" s="1"/>
      <c r="C99" s="51" t="s">
        <v>251</v>
      </c>
      <c r="D99" s="10">
        <v>91</v>
      </c>
      <c r="E99" s="1"/>
      <c r="F99" s="1"/>
      <c r="G99" s="1"/>
      <c r="H99" s="1"/>
      <c r="I99" s="1"/>
      <c r="J99" s="1"/>
      <c r="K99" s="1"/>
      <c r="L99" s="6">
        <f t="shared" si="6"/>
        <v>0</v>
      </c>
      <c r="M99" s="22">
        <f t="shared" si="8"/>
        <v>0</v>
      </c>
      <c r="N99" s="1"/>
      <c r="O99" s="6"/>
      <c r="P99" s="1"/>
      <c r="Q99" s="1"/>
    </row>
    <row r="100" spans="1:17">
      <c r="A100" s="1"/>
      <c r="B100" s="1"/>
      <c r="C100" s="51" t="s">
        <v>252</v>
      </c>
      <c r="D100" s="10">
        <v>92</v>
      </c>
      <c r="E100" s="1"/>
      <c r="F100" s="1"/>
      <c r="G100" s="1"/>
      <c r="H100" s="1"/>
      <c r="I100" s="1"/>
      <c r="J100" s="1"/>
      <c r="K100" s="1"/>
      <c r="L100" s="6">
        <f t="shared" si="6"/>
        <v>0</v>
      </c>
      <c r="M100" s="22">
        <f t="shared" si="8"/>
        <v>0</v>
      </c>
      <c r="N100" s="1"/>
      <c r="O100" s="6"/>
      <c r="P100" s="1"/>
      <c r="Q100" s="1"/>
    </row>
    <row r="101" spans="1:17">
      <c r="A101" s="1"/>
      <c r="B101" s="1"/>
      <c r="C101" s="51" t="s">
        <v>253</v>
      </c>
      <c r="D101" s="10">
        <v>93</v>
      </c>
      <c r="E101" s="1"/>
      <c r="F101" s="1"/>
      <c r="G101" s="1"/>
      <c r="H101" s="1"/>
      <c r="I101" s="1"/>
      <c r="J101" s="1"/>
      <c r="K101" s="1"/>
      <c r="L101" s="6">
        <f t="shared" si="6"/>
        <v>0</v>
      </c>
      <c r="M101" s="22">
        <f t="shared" si="8"/>
        <v>0</v>
      </c>
      <c r="N101" s="1"/>
      <c r="O101" s="6"/>
      <c r="P101" s="1"/>
      <c r="Q101" s="1"/>
    </row>
    <row r="102" spans="1:17">
      <c r="A102" s="1"/>
      <c r="B102" s="1"/>
      <c r="C102" s="51" t="s">
        <v>254</v>
      </c>
      <c r="D102" s="10">
        <v>94</v>
      </c>
      <c r="E102" s="1"/>
      <c r="F102" s="1"/>
      <c r="G102" s="1"/>
      <c r="H102" s="1"/>
      <c r="I102" s="1"/>
      <c r="J102" s="1"/>
      <c r="K102" s="1"/>
      <c r="L102" s="6">
        <f t="shared" si="6"/>
        <v>0</v>
      </c>
      <c r="M102" s="22">
        <f t="shared" si="8"/>
        <v>0</v>
      </c>
      <c r="N102" s="1"/>
      <c r="O102" s="6"/>
      <c r="P102" s="1"/>
      <c r="Q102" s="1"/>
    </row>
    <row r="103" spans="1:17">
      <c r="A103" s="1"/>
      <c r="B103" s="1"/>
      <c r="C103" s="51" t="s">
        <v>255</v>
      </c>
      <c r="D103" s="10">
        <v>95</v>
      </c>
      <c r="E103" s="1"/>
      <c r="F103" s="1"/>
      <c r="G103" s="1"/>
      <c r="H103" s="1"/>
      <c r="I103" s="1"/>
      <c r="J103" s="1"/>
      <c r="K103" s="1"/>
      <c r="L103" s="6">
        <f t="shared" si="6"/>
        <v>0</v>
      </c>
      <c r="M103" s="22">
        <f t="shared" si="8"/>
        <v>0</v>
      </c>
      <c r="N103" s="1"/>
      <c r="O103" s="6"/>
      <c r="P103" s="1"/>
      <c r="Q103" s="1"/>
    </row>
    <row r="104" spans="1:17">
      <c r="A104" s="1"/>
      <c r="B104" s="1"/>
      <c r="C104" s="51" t="s">
        <v>256</v>
      </c>
      <c r="D104" s="10">
        <v>96</v>
      </c>
      <c r="E104" s="1"/>
      <c r="F104" s="1"/>
      <c r="G104" s="1"/>
      <c r="H104" s="1"/>
      <c r="I104" s="1"/>
      <c r="J104" s="1"/>
      <c r="K104" s="1"/>
      <c r="L104" s="6">
        <f t="shared" si="6"/>
        <v>0</v>
      </c>
      <c r="M104" s="22">
        <f t="shared" si="8"/>
        <v>0</v>
      </c>
      <c r="N104" s="1"/>
      <c r="O104" s="6"/>
      <c r="P104" s="1"/>
      <c r="Q104" s="1"/>
    </row>
  </sheetData>
  <customSheetViews>
    <customSheetView guid="{A4BD9991-0908-4EDC-898A-8A5DE615ED00}" scale="70" showPageBreaks="1" showGridLines="0" hiddenRows="1" view="pageBreakPreview">
      <selection activeCell="G11" sqref="G11"/>
      <rowBreaks count="1" manualBreakCount="1">
        <brk id="56" max="16" man="1"/>
      </rowBreaks>
      <colBreaks count="1" manualBreakCount="1">
        <brk id="17" max="1048575" man="1"/>
      </colBreaks>
      <pageMargins left="0.25" right="0.25" top="0.75" bottom="0.75" header="0.3" footer="0.3"/>
      <pageSetup scale="55" orientation="landscape" r:id="rId1"/>
      <headerFooter>
        <oddFooter>&amp;L&amp;D</oddFooter>
      </headerFooter>
    </customSheetView>
  </customSheetViews>
  <mergeCells count="3">
    <mergeCell ref="C1:O1"/>
    <mergeCell ref="C6:O6"/>
    <mergeCell ref="G4:O5"/>
  </mergeCells>
  <conditionalFormatting sqref="E4:E5">
    <cfRule type="containsBlanks" dxfId="9" priority="3">
      <formula>LEN(TRIM(E4))=0</formula>
    </cfRule>
  </conditionalFormatting>
  <pageMargins left="0.25" right="0.25" top="0.75" bottom="0.75" header="0.3" footer="0.3"/>
  <pageSetup scale="55" orientation="landscape" r:id="rId2"/>
  <headerFooter>
    <oddFooter>&amp;L&amp;D</oddFooter>
  </headerFooter>
  <rowBreaks count="1" manualBreakCount="1">
    <brk id="56" max="16" man="1"/>
  </rowBreaks>
  <colBreaks count="1" manualBreakCount="1">
    <brk id="17" max="1048575" man="1"/>
  </col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Sheet1!$A$1:$A$5</xm:f>
          </x14:formula1>
          <xm:sqref>O9:O104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pageSetUpPr fitToPage="1"/>
  </sheetPr>
  <dimension ref="A1:AD101"/>
  <sheetViews>
    <sheetView showWhiteSpace="0" view="pageLayout" zoomScale="70" zoomScaleNormal="85" zoomScalePageLayoutView="70" workbookViewId="0">
      <selection activeCell="H25" sqref="H25"/>
    </sheetView>
  </sheetViews>
  <sheetFormatPr defaultColWidth="9.140625" defaultRowHeight="15"/>
  <cols>
    <col min="1" max="1" width="12.7109375" style="3" customWidth="1"/>
    <col min="2" max="2" width="9.140625" style="3"/>
    <col min="3" max="3" width="9.85546875" style="3" customWidth="1"/>
    <col min="4" max="4" width="10" style="3" customWidth="1"/>
    <col min="5" max="5" width="9.140625" style="3"/>
    <col min="6" max="6" width="16.7109375" style="3" customWidth="1"/>
    <col min="7" max="7" width="12.85546875" style="3" customWidth="1"/>
    <col min="8" max="8" width="15.42578125" style="3" customWidth="1"/>
    <col min="9" max="9" width="13" style="3" customWidth="1"/>
    <col min="10" max="10" width="12.140625" style="3" customWidth="1"/>
    <col min="11" max="13" width="12.85546875" style="3" customWidth="1"/>
    <col min="14" max="14" width="14.42578125" style="3" customWidth="1"/>
    <col min="15" max="15" width="13" style="3" customWidth="1"/>
    <col min="16" max="16" width="10.42578125" style="3" customWidth="1"/>
    <col min="17" max="17" width="8.5703125" style="3" customWidth="1"/>
    <col min="18" max="18" width="15.140625" style="3" customWidth="1"/>
    <col min="19" max="19" width="9.140625" style="3"/>
    <col min="20" max="20" width="16.7109375" style="3" customWidth="1"/>
    <col min="21" max="21" width="14.140625" style="3" customWidth="1"/>
    <col min="22" max="22" width="12.85546875" style="3" customWidth="1"/>
    <col min="23" max="23" width="15.42578125" style="3" customWidth="1"/>
    <col min="24" max="24" width="13" style="3" customWidth="1"/>
    <col min="25" max="25" width="12.140625" style="3" customWidth="1"/>
    <col min="26" max="26" width="9.140625" style="3"/>
    <col min="27" max="27" width="8.42578125" style="3" customWidth="1"/>
    <col min="28" max="28" width="13" style="3" customWidth="1"/>
    <col min="29" max="29" width="12.140625" style="3" customWidth="1"/>
    <col min="30" max="16384" width="9.140625" style="3"/>
  </cols>
  <sheetData>
    <row r="1" spans="1:30" ht="15" customHeight="1">
      <c r="A1" s="733" t="s">
        <v>1120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5"/>
      <c r="O1" s="244"/>
      <c r="P1" s="733" t="s">
        <v>1121</v>
      </c>
      <c r="Q1" s="734"/>
      <c r="R1" s="734"/>
      <c r="S1" s="734"/>
      <c r="T1" s="734"/>
      <c r="U1" s="734"/>
      <c r="V1" s="734"/>
      <c r="W1" s="734"/>
      <c r="X1" s="734"/>
      <c r="Y1" s="734"/>
      <c r="Z1" s="734"/>
      <c r="AA1" s="735"/>
    </row>
    <row r="2" spans="1:30" ht="59.25" customHeight="1">
      <c r="A2" s="741"/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3"/>
      <c r="O2" s="245"/>
      <c r="P2" s="736"/>
      <c r="Q2" s="737"/>
      <c r="R2" s="737"/>
      <c r="S2" s="737"/>
      <c r="T2" s="737"/>
      <c r="U2" s="737"/>
      <c r="V2" s="737"/>
      <c r="W2" s="737"/>
      <c r="X2" s="737"/>
      <c r="Y2" s="737"/>
      <c r="Z2" s="737"/>
      <c r="AA2" s="738"/>
      <c r="AB2" s="153"/>
      <c r="AC2" s="153"/>
    </row>
    <row r="3" spans="1:30" ht="47.25" customHeight="1">
      <c r="A3" s="746" t="s">
        <v>961</v>
      </c>
      <c r="B3" s="748" t="s">
        <v>597</v>
      </c>
      <c r="C3" s="746" t="s">
        <v>275</v>
      </c>
      <c r="D3" s="744" t="s">
        <v>193</v>
      </c>
      <c r="E3" s="744" t="s">
        <v>192</v>
      </c>
      <c r="F3" s="744" t="s">
        <v>291</v>
      </c>
      <c r="G3" s="744" t="s">
        <v>962</v>
      </c>
      <c r="H3" s="246" t="s">
        <v>267</v>
      </c>
      <c r="I3" s="246" t="s">
        <v>288</v>
      </c>
      <c r="J3" s="744" t="s">
        <v>311</v>
      </c>
      <c r="K3" s="750" t="s">
        <v>959</v>
      </c>
      <c r="L3" s="739" t="s">
        <v>960</v>
      </c>
      <c r="M3" s="752" t="s">
        <v>964</v>
      </c>
      <c r="N3" s="752" t="s">
        <v>963</v>
      </c>
      <c r="O3" s="247"/>
      <c r="P3" s="746" t="s">
        <v>812</v>
      </c>
      <c r="Q3" s="744" t="s">
        <v>597</v>
      </c>
      <c r="R3" s="744" t="s">
        <v>275</v>
      </c>
      <c r="S3" s="744" t="s">
        <v>193</v>
      </c>
      <c r="T3" s="744" t="s">
        <v>192</v>
      </c>
      <c r="U3" s="744" t="s">
        <v>291</v>
      </c>
      <c r="V3" s="744" t="s">
        <v>962</v>
      </c>
      <c r="W3" s="246" t="s">
        <v>267</v>
      </c>
      <c r="X3" s="246" t="s">
        <v>288</v>
      </c>
      <c r="Y3" s="744" t="s">
        <v>311</v>
      </c>
      <c r="Z3" s="750" t="s">
        <v>959</v>
      </c>
      <c r="AA3" s="739" t="s">
        <v>960</v>
      </c>
      <c r="AB3" s="752" t="s">
        <v>964</v>
      </c>
      <c r="AC3" s="752" t="s">
        <v>963</v>
      </c>
      <c r="AD3" s="154"/>
    </row>
    <row r="4" spans="1:30" ht="63.75" thickBot="1">
      <c r="A4" s="747"/>
      <c r="B4" s="749"/>
      <c r="C4" s="747"/>
      <c r="D4" s="745"/>
      <c r="E4" s="745"/>
      <c r="F4" s="745"/>
      <c r="G4" s="745"/>
      <c r="H4" s="248" t="s">
        <v>289</v>
      </c>
      <c r="I4" s="249" t="s">
        <v>290</v>
      </c>
      <c r="J4" s="745"/>
      <c r="K4" s="751"/>
      <c r="L4" s="740"/>
      <c r="M4" s="750"/>
      <c r="N4" s="752"/>
      <c r="O4" s="155"/>
      <c r="P4" s="747"/>
      <c r="Q4" s="745"/>
      <c r="R4" s="745"/>
      <c r="S4" s="745"/>
      <c r="T4" s="745"/>
      <c r="U4" s="745"/>
      <c r="V4" s="745"/>
      <c r="W4" s="248" t="s">
        <v>289</v>
      </c>
      <c r="X4" s="249" t="s">
        <v>290</v>
      </c>
      <c r="Y4" s="745"/>
      <c r="Z4" s="751"/>
      <c r="AA4" s="740"/>
      <c r="AB4" s="750"/>
      <c r="AC4" s="752"/>
      <c r="AD4" s="151"/>
    </row>
    <row r="5" spans="1:30" ht="15.75">
      <c r="A5" s="250"/>
      <c r="B5" s="251"/>
      <c r="C5" s="252"/>
      <c r="D5" s="253"/>
      <c r="E5" s="254"/>
      <c r="F5" s="254"/>
      <c r="G5" s="255"/>
      <c r="H5" s="256" t="s">
        <v>313</v>
      </c>
      <c r="I5" s="255">
        <f>7.5</f>
        <v>7.5</v>
      </c>
      <c r="J5" s="233"/>
      <c r="K5" s="233"/>
      <c r="L5" s="269"/>
      <c r="M5" s="269"/>
      <c r="N5" s="257"/>
      <c r="O5" s="155"/>
      <c r="P5" s="258"/>
      <c r="Q5" s="259"/>
      <c r="R5" s="260"/>
      <c r="S5" s="259"/>
      <c r="T5" s="261"/>
      <c r="U5" s="261"/>
      <c r="V5" s="262"/>
      <c r="W5" s="262">
        <v>400</v>
      </c>
      <c r="X5" s="262">
        <v>15</v>
      </c>
      <c r="Y5" s="260"/>
      <c r="Z5" s="260"/>
      <c r="AA5" s="263"/>
      <c r="AB5" s="257"/>
      <c r="AC5" s="269"/>
      <c r="AD5" s="151"/>
    </row>
    <row r="6" spans="1:30" ht="15.75">
      <c r="A6" s="1"/>
      <c r="B6" s="1"/>
      <c r="C6" s="8" t="s">
        <v>736</v>
      </c>
      <c r="D6" s="9">
        <v>1</v>
      </c>
      <c r="E6" s="8"/>
      <c r="F6" s="8"/>
      <c r="G6" s="8"/>
      <c r="H6" s="8"/>
      <c r="I6" s="15"/>
      <c r="J6" s="15"/>
      <c r="K6" s="15"/>
      <c r="L6" s="15"/>
      <c r="M6" s="15"/>
      <c r="N6" s="15"/>
      <c r="O6" s="243"/>
      <c r="P6" s="1"/>
      <c r="Q6" s="1"/>
      <c r="R6" s="8" t="s">
        <v>736</v>
      </c>
      <c r="S6" s="9">
        <v>1</v>
      </c>
      <c r="T6" s="8"/>
      <c r="U6" s="8"/>
      <c r="V6" s="8"/>
      <c r="W6" s="8"/>
      <c r="X6" s="15"/>
      <c r="Y6" s="15"/>
      <c r="Z6" s="15"/>
      <c r="AA6" s="15"/>
      <c r="AB6" s="15"/>
      <c r="AC6" s="15"/>
      <c r="AD6" s="152"/>
    </row>
    <row r="7" spans="1:30" ht="15.75">
      <c r="A7" s="1"/>
      <c r="B7" s="1"/>
      <c r="C7" s="8" t="s">
        <v>737</v>
      </c>
      <c r="D7" s="9">
        <v>2</v>
      </c>
      <c r="E7" s="8"/>
      <c r="F7" s="8"/>
      <c r="G7" s="8"/>
      <c r="H7" s="8"/>
      <c r="I7" s="15"/>
      <c r="J7" s="15"/>
      <c r="K7" s="15"/>
      <c r="L7" s="15"/>
      <c r="M7" s="15"/>
      <c r="N7" s="15"/>
      <c r="O7" s="243"/>
      <c r="P7" s="1"/>
      <c r="Q7" s="1"/>
      <c r="R7" s="8" t="s">
        <v>737</v>
      </c>
      <c r="S7" s="9">
        <v>2</v>
      </c>
      <c r="T7" s="8"/>
      <c r="U7" s="8"/>
      <c r="V7" s="8"/>
      <c r="W7" s="8"/>
      <c r="X7" s="15"/>
      <c r="Y7" s="15"/>
      <c r="Z7" s="15"/>
      <c r="AA7" s="15"/>
      <c r="AB7" s="15"/>
      <c r="AC7" s="15"/>
      <c r="AD7" s="152"/>
    </row>
    <row r="8" spans="1:30" ht="15.75">
      <c r="A8" s="1"/>
      <c r="B8" s="1"/>
      <c r="C8" s="8" t="s">
        <v>738</v>
      </c>
      <c r="D8" s="9">
        <v>3</v>
      </c>
      <c r="E8" s="8"/>
      <c r="F8" s="8"/>
      <c r="G8" s="8"/>
      <c r="H8" s="8"/>
      <c r="I8" s="15"/>
      <c r="J8" s="15"/>
      <c r="K8" s="14"/>
      <c r="L8" s="14"/>
      <c r="M8" s="14"/>
      <c r="N8" s="14"/>
      <c r="O8" s="243"/>
      <c r="P8" s="1"/>
      <c r="Q8" s="1"/>
      <c r="R8" s="8" t="s">
        <v>738</v>
      </c>
      <c r="S8" s="9">
        <v>3</v>
      </c>
      <c r="T8" s="8"/>
      <c r="U8" s="8"/>
      <c r="V8" s="8"/>
      <c r="W8" s="8"/>
      <c r="X8" s="15"/>
      <c r="Y8" s="15"/>
      <c r="Z8" s="14"/>
      <c r="AA8" s="14"/>
      <c r="AB8" s="14"/>
      <c r="AC8" s="14"/>
      <c r="AD8" s="153"/>
    </row>
    <row r="9" spans="1:30" ht="15.75">
      <c r="A9" s="1"/>
      <c r="B9" s="1"/>
      <c r="C9" s="8" t="s">
        <v>739</v>
      </c>
      <c r="D9" s="9">
        <v>4</v>
      </c>
      <c r="E9" s="8"/>
      <c r="F9" s="8"/>
      <c r="G9" s="8"/>
      <c r="H9" s="8"/>
      <c r="I9" s="15"/>
      <c r="J9" s="15"/>
      <c r="K9" s="14"/>
      <c r="L9" s="14"/>
      <c r="M9" s="14"/>
      <c r="N9" s="14"/>
      <c r="O9" s="264"/>
      <c r="P9" s="1"/>
      <c r="Q9" s="1"/>
      <c r="R9" s="8" t="s">
        <v>739</v>
      </c>
      <c r="S9" s="9">
        <v>4</v>
      </c>
      <c r="T9" s="8"/>
      <c r="U9" s="8"/>
      <c r="V9" s="8"/>
      <c r="W9" s="8"/>
      <c r="X9" s="15"/>
      <c r="Y9" s="15"/>
      <c r="Z9" s="14"/>
      <c r="AA9" s="14"/>
      <c r="AB9" s="14"/>
      <c r="AC9" s="14"/>
      <c r="AD9" s="153"/>
    </row>
    <row r="10" spans="1:30" ht="15.75">
      <c r="A10" s="1"/>
      <c r="B10" s="1"/>
      <c r="C10" s="8" t="s">
        <v>740</v>
      </c>
      <c r="D10" s="9">
        <v>5</v>
      </c>
      <c r="E10" s="8"/>
      <c r="F10" s="8"/>
      <c r="G10" s="8"/>
      <c r="H10" s="8"/>
      <c r="I10" s="15"/>
      <c r="J10" s="15"/>
      <c r="K10" s="14"/>
      <c r="L10" s="14"/>
      <c r="M10" s="14"/>
      <c r="N10" s="14"/>
      <c r="O10" s="264"/>
      <c r="P10" s="1"/>
      <c r="Q10" s="1"/>
      <c r="R10" s="8" t="s">
        <v>740</v>
      </c>
      <c r="S10" s="9">
        <v>5</v>
      </c>
      <c r="T10" s="8"/>
      <c r="U10" s="8"/>
      <c r="V10" s="8"/>
      <c r="W10" s="8"/>
      <c r="X10" s="15"/>
      <c r="Y10" s="15"/>
      <c r="Z10" s="14"/>
      <c r="AA10" s="14"/>
      <c r="AB10" s="14"/>
      <c r="AC10" s="14"/>
    </row>
    <row r="11" spans="1:30" ht="15.75">
      <c r="A11" s="1"/>
      <c r="B11" s="1"/>
      <c r="C11" s="8" t="s">
        <v>741</v>
      </c>
      <c r="D11" s="9">
        <v>6</v>
      </c>
      <c r="E11" s="8"/>
      <c r="F11" s="8"/>
      <c r="G11" s="8"/>
      <c r="H11" s="8"/>
      <c r="I11" s="15"/>
      <c r="J11" s="15"/>
      <c r="K11" s="8"/>
      <c r="L11" s="8"/>
      <c r="M11" s="8"/>
      <c r="N11" s="8"/>
      <c r="O11" s="264"/>
      <c r="P11" s="1"/>
      <c r="Q11" s="1"/>
      <c r="R11" s="8" t="s">
        <v>741</v>
      </c>
      <c r="S11" s="9">
        <v>6</v>
      </c>
      <c r="T11" s="8"/>
      <c r="U11" s="8"/>
      <c r="V11" s="8"/>
      <c r="W11" s="8"/>
      <c r="X11" s="15"/>
      <c r="Y11" s="15"/>
      <c r="Z11" s="8"/>
      <c r="AA11" s="8"/>
      <c r="AB11" s="8"/>
      <c r="AC11" s="8"/>
    </row>
    <row r="12" spans="1:30" ht="15.75">
      <c r="A12" s="1"/>
      <c r="B12" s="1"/>
      <c r="C12" s="8" t="s">
        <v>742</v>
      </c>
      <c r="D12" s="9">
        <v>7</v>
      </c>
      <c r="E12" s="8"/>
      <c r="F12" s="8"/>
      <c r="G12" s="8"/>
      <c r="H12" s="8"/>
      <c r="I12" s="15"/>
      <c r="J12" s="15"/>
      <c r="K12" s="8"/>
      <c r="L12" s="8"/>
      <c r="M12" s="8"/>
      <c r="N12" s="8"/>
      <c r="O12" s="264"/>
      <c r="P12" s="1"/>
      <c r="Q12" s="1"/>
      <c r="R12" s="8" t="s">
        <v>742</v>
      </c>
      <c r="S12" s="9">
        <v>7</v>
      </c>
      <c r="T12" s="8"/>
      <c r="U12" s="8"/>
      <c r="V12" s="8"/>
      <c r="W12" s="8"/>
      <c r="X12" s="15"/>
      <c r="Y12" s="15"/>
      <c r="Z12" s="8"/>
      <c r="AA12" s="8"/>
      <c r="AB12" s="8"/>
      <c r="AC12" s="8"/>
    </row>
    <row r="13" spans="1:30" ht="15.75">
      <c r="A13" s="1"/>
      <c r="B13" s="1"/>
      <c r="C13" s="8" t="s">
        <v>743</v>
      </c>
      <c r="D13" s="9">
        <v>8</v>
      </c>
      <c r="E13" s="8"/>
      <c r="F13" s="8"/>
      <c r="G13" s="8"/>
      <c r="H13" s="8"/>
      <c r="I13" s="15"/>
      <c r="J13" s="15"/>
      <c r="K13" s="8"/>
      <c r="L13" s="8"/>
      <c r="M13" s="8"/>
      <c r="N13" s="8"/>
      <c r="O13" s="264"/>
      <c r="P13" s="1"/>
      <c r="Q13" s="1"/>
      <c r="R13" s="8" t="s">
        <v>743</v>
      </c>
      <c r="S13" s="9">
        <v>8</v>
      </c>
      <c r="T13" s="8"/>
      <c r="U13" s="8"/>
      <c r="V13" s="8"/>
      <c r="W13" s="8"/>
      <c r="X13" s="15"/>
      <c r="Y13" s="15"/>
      <c r="Z13" s="8"/>
      <c r="AA13" s="8"/>
      <c r="AB13" s="8"/>
      <c r="AC13" s="8"/>
    </row>
    <row r="14" spans="1:30" ht="15.75">
      <c r="A14" s="1"/>
      <c r="B14" s="1"/>
      <c r="C14" s="1" t="s">
        <v>744</v>
      </c>
      <c r="D14" s="10">
        <v>9</v>
      </c>
      <c r="E14" s="1"/>
      <c r="F14" s="1"/>
      <c r="G14" s="1"/>
      <c r="H14" s="1"/>
      <c r="I14" s="268"/>
      <c r="J14" s="6"/>
      <c r="K14" s="1"/>
      <c r="L14" s="1"/>
      <c r="M14" s="1"/>
      <c r="N14" s="1"/>
      <c r="O14" s="264"/>
      <c r="P14" s="1"/>
      <c r="Q14" s="1"/>
      <c r="R14" s="1" t="s">
        <v>744</v>
      </c>
      <c r="S14" s="10">
        <v>9</v>
      </c>
      <c r="T14" s="1"/>
      <c r="U14" s="1"/>
      <c r="V14" s="1"/>
      <c r="W14" s="1"/>
      <c r="X14" s="268"/>
      <c r="Y14" s="6"/>
      <c r="Z14" s="1"/>
      <c r="AA14" s="1"/>
      <c r="AB14" s="1"/>
      <c r="AC14" s="1"/>
    </row>
    <row r="15" spans="1:30" ht="15.75">
      <c r="A15" s="1"/>
      <c r="B15" s="1"/>
      <c r="C15" s="1" t="s">
        <v>745</v>
      </c>
      <c r="D15" s="10">
        <v>10</v>
      </c>
      <c r="E15" s="1"/>
      <c r="F15" s="1"/>
      <c r="G15" s="1"/>
      <c r="H15" s="1"/>
      <c r="I15" s="268"/>
      <c r="J15" s="6"/>
      <c r="K15" s="1"/>
      <c r="L15" s="1"/>
      <c r="M15" s="1"/>
      <c r="N15" s="1"/>
      <c r="O15" s="264"/>
      <c r="P15" s="1"/>
      <c r="Q15" s="1"/>
      <c r="R15" s="1" t="s">
        <v>745</v>
      </c>
      <c r="S15" s="10">
        <v>10</v>
      </c>
      <c r="T15" s="1"/>
      <c r="U15" s="1"/>
      <c r="V15" s="1"/>
      <c r="W15" s="1"/>
      <c r="X15" s="268"/>
      <c r="Y15" s="6"/>
      <c r="Z15" s="1"/>
      <c r="AA15" s="1"/>
      <c r="AB15" s="1"/>
      <c r="AC15" s="1"/>
    </row>
    <row r="16" spans="1:30" ht="15.75">
      <c r="A16" s="1"/>
      <c r="B16" s="1"/>
      <c r="C16" s="1" t="s">
        <v>746</v>
      </c>
      <c r="D16" s="10">
        <v>11</v>
      </c>
      <c r="E16" s="1"/>
      <c r="F16" s="1"/>
      <c r="G16" s="1"/>
      <c r="H16" s="1"/>
      <c r="I16" s="268"/>
      <c r="J16" s="6"/>
      <c r="K16" s="1"/>
      <c r="L16" s="1"/>
      <c r="M16" s="1"/>
      <c r="N16" s="1"/>
      <c r="O16" s="264"/>
      <c r="P16" s="1"/>
      <c r="Q16" s="1"/>
      <c r="R16" s="1" t="s">
        <v>746</v>
      </c>
      <c r="S16" s="10">
        <v>11</v>
      </c>
      <c r="T16" s="1"/>
      <c r="U16" s="1"/>
      <c r="V16" s="1"/>
      <c r="W16" s="1"/>
      <c r="X16" s="268"/>
      <c r="Y16" s="6"/>
      <c r="Z16" s="1"/>
      <c r="AA16" s="1"/>
      <c r="AB16" s="1"/>
      <c r="AC16" s="1"/>
    </row>
    <row r="17" spans="1:29" ht="15.75">
      <c r="A17" s="1"/>
      <c r="B17" s="1"/>
      <c r="C17" s="1" t="s">
        <v>747</v>
      </c>
      <c r="D17" s="10">
        <v>12</v>
      </c>
      <c r="E17" s="1"/>
      <c r="F17" s="1"/>
      <c r="G17" s="1"/>
      <c r="H17" s="1"/>
      <c r="I17" s="268"/>
      <c r="J17" s="6"/>
      <c r="K17" s="1"/>
      <c r="L17" s="1"/>
      <c r="M17" s="1"/>
      <c r="N17" s="1"/>
      <c r="O17" s="264"/>
      <c r="P17" s="1"/>
      <c r="Q17" s="1"/>
      <c r="R17" s="1" t="s">
        <v>747</v>
      </c>
      <c r="S17" s="10">
        <v>12</v>
      </c>
      <c r="T17" s="1"/>
      <c r="U17" s="1"/>
      <c r="V17" s="1"/>
      <c r="W17" s="1"/>
      <c r="X17" s="268"/>
      <c r="Y17" s="6"/>
      <c r="Z17" s="1"/>
      <c r="AA17" s="1"/>
      <c r="AB17" s="1"/>
      <c r="AC17" s="1"/>
    </row>
    <row r="18" spans="1:29" ht="15.75">
      <c r="A18" s="1"/>
      <c r="B18" s="1"/>
      <c r="C18" s="1" t="s">
        <v>748</v>
      </c>
      <c r="D18" s="10">
        <v>13</v>
      </c>
      <c r="E18" s="1"/>
      <c r="F18" s="1"/>
      <c r="G18" s="1"/>
      <c r="H18" s="1"/>
      <c r="I18" s="268"/>
      <c r="J18" s="6"/>
      <c r="K18" s="1"/>
      <c r="L18" s="1"/>
      <c r="M18" s="1"/>
      <c r="N18" s="1"/>
      <c r="O18" s="264"/>
      <c r="P18" s="1"/>
      <c r="Q18" s="1"/>
      <c r="R18" s="1" t="s">
        <v>748</v>
      </c>
      <c r="S18" s="10">
        <v>13</v>
      </c>
      <c r="T18" s="1"/>
      <c r="U18" s="1"/>
      <c r="V18" s="1"/>
      <c r="W18" s="1"/>
      <c r="X18" s="268"/>
      <c r="Y18" s="6"/>
      <c r="Z18" s="1"/>
      <c r="AA18" s="1"/>
      <c r="AB18" s="1"/>
      <c r="AC18" s="1"/>
    </row>
    <row r="19" spans="1:29" ht="15.75">
      <c r="A19" s="1"/>
      <c r="B19" s="1"/>
      <c r="C19" s="1" t="s">
        <v>749</v>
      </c>
      <c r="D19" s="10">
        <v>14</v>
      </c>
      <c r="E19" s="1"/>
      <c r="F19" s="1"/>
      <c r="G19" s="1"/>
      <c r="H19" s="1"/>
      <c r="I19" s="268"/>
      <c r="J19" s="6"/>
      <c r="K19" s="1"/>
      <c r="L19" s="1"/>
      <c r="M19" s="1"/>
      <c r="N19" s="1"/>
      <c r="O19" s="264"/>
      <c r="P19" s="1"/>
      <c r="Q19" s="1"/>
      <c r="R19" s="1" t="s">
        <v>749</v>
      </c>
      <c r="S19" s="10">
        <v>14</v>
      </c>
      <c r="T19" s="1"/>
      <c r="U19" s="1"/>
      <c r="V19" s="1"/>
      <c r="W19" s="1"/>
      <c r="X19" s="268"/>
      <c r="Y19" s="6"/>
      <c r="Z19" s="1"/>
      <c r="AA19" s="1"/>
      <c r="AB19" s="1"/>
      <c r="AC19" s="1"/>
    </row>
    <row r="20" spans="1:29" ht="15.75">
      <c r="A20" s="1"/>
      <c r="B20" s="1"/>
      <c r="C20" s="17" t="s">
        <v>750</v>
      </c>
      <c r="D20" s="16">
        <v>15</v>
      </c>
      <c r="E20" s="17"/>
      <c r="F20" s="17"/>
      <c r="G20" s="17"/>
      <c r="H20" s="1"/>
      <c r="I20" s="268"/>
      <c r="J20" s="6"/>
      <c r="K20" s="17"/>
      <c r="L20" s="17"/>
      <c r="M20" s="17"/>
      <c r="N20" s="17"/>
      <c r="O20" s="264"/>
      <c r="P20" s="1"/>
      <c r="Q20" s="1"/>
      <c r="R20" s="17" t="s">
        <v>750</v>
      </c>
      <c r="S20" s="16">
        <v>15</v>
      </c>
      <c r="T20" s="17"/>
      <c r="U20" s="17"/>
      <c r="V20" s="17"/>
      <c r="W20" s="1"/>
      <c r="X20" s="268"/>
      <c r="Y20" s="6"/>
      <c r="Z20" s="17"/>
      <c r="AA20" s="17"/>
      <c r="AB20" s="17"/>
      <c r="AC20" s="17"/>
    </row>
    <row r="21" spans="1:29" ht="15.75">
      <c r="A21" s="1"/>
      <c r="B21" s="1"/>
      <c r="C21" s="1" t="s">
        <v>751</v>
      </c>
      <c r="D21" s="10">
        <v>16</v>
      </c>
      <c r="E21" s="1"/>
      <c r="F21" s="1"/>
      <c r="G21" s="1"/>
      <c r="H21" s="1"/>
      <c r="I21" s="268"/>
      <c r="J21" s="6"/>
      <c r="K21" s="1"/>
      <c r="L21" s="1"/>
      <c r="M21" s="1"/>
      <c r="N21" s="1"/>
      <c r="O21" s="264"/>
      <c r="P21" s="1"/>
      <c r="Q21" s="1"/>
      <c r="R21" s="1" t="s">
        <v>751</v>
      </c>
      <c r="S21" s="10">
        <v>16</v>
      </c>
      <c r="T21" s="1"/>
      <c r="U21" s="1"/>
      <c r="V21" s="1"/>
      <c r="W21" s="1"/>
      <c r="X21" s="268"/>
      <c r="Y21" s="6"/>
      <c r="Z21" s="1"/>
      <c r="AA21" s="1"/>
      <c r="AB21" s="1"/>
      <c r="AC21" s="1"/>
    </row>
    <row r="22" spans="1:29">
      <c r="A22" s="1"/>
      <c r="B22" s="1"/>
      <c r="C22" s="19" t="s">
        <v>752</v>
      </c>
      <c r="D22" s="18">
        <v>17</v>
      </c>
      <c r="E22" s="19"/>
      <c r="F22" s="19"/>
      <c r="G22" s="19"/>
      <c r="H22" s="8"/>
      <c r="I22" s="15"/>
      <c r="J22" s="15"/>
      <c r="K22" s="19"/>
      <c r="L22" s="19"/>
      <c r="M22" s="19"/>
      <c r="N22" s="19"/>
      <c r="P22" s="1"/>
      <c r="Q22" s="1"/>
      <c r="R22" s="19" t="s">
        <v>752</v>
      </c>
      <c r="S22" s="18">
        <v>17</v>
      </c>
      <c r="T22" s="19"/>
      <c r="U22" s="19"/>
      <c r="V22" s="19"/>
      <c r="W22" s="8"/>
      <c r="X22" s="15"/>
      <c r="Y22" s="15"/>
      <c r="Z22" s="19"/>
      <c r="AA22" s="19"/>
      <c r="AB22" s="19"/>
      <c r="AC22" s="19"/>
    </row>
    <row r="23" spans="1:29">
      <c r="A23" s="1"/>
      <c r="B23" s="1"/>
      <c r="C23" s="8" t="s">
        <v>753</v>
      </c>
      <c r="D23" s="9">
        <v>18</v>
      </c>
      <c r="E23" s="8"/>
      <c r="F23" s="8"/>
      <c r="G23" s="8"/>
      <c r="H23" s="8"/>
      <c r="I23" s="15"/>
      <c r="J23" s="15"/>
      <c r="K23" s="8"/>
      <c r="L23" s="8"/>
      <c r="M23" s="8"/>
      <c r="N23" s="8"/>
      <c r="P23" s="1"/>
      <c r="Q23" s="1"/>
      <c r="R23" s="8" t="s">
        <v>753</v>
      </c>
      <c r="S23" s="9">
        <v>18</v>
      </c>
      <c r="T23" s="8"/>
      <c r="U23" s="8"/>
      <c r="V23" s="8"/>
      <c r="W23" s="8"/>
      <c r="X23" s="15"/>
      <c r="Y23" s="15"/>
      <c r="Z23" s="8"/>
      <c r="AA23" s="8"/>
      <c r="AB23" s="8"/>
      <c r="AC23" s="8"/>
    </row>
    <row r="24" spans="1:29">
      <c r="A24" s="1"/>
      <c r="B24" s="1"/>
      <c r="C24" s="8" t="s">
        <v>754</v>
      </c>
      <c r="D24" s="9">
        <v>19</v>
      </c>
      <c r="E24" s="8"/>
      <c r="F24" s="8"/>
      <c r="G24" s="8"/>
      <c r="H24" s="8"/>
      <c r="I24" s="15"/>
      <c r="J24" s="15"/>
      <c r="K24" s="8"/>
      <c r="L24" s="8"/>
      <c r="M24" s="8"/>
      <c r="N24" s="8"/>
      <c r="P24" s="1"/>
      <c r="Q24" s="1"/>
      <c r="R24" s="8" t="s">
        <v>754</v>
      </c>
      <c r="S24" s="9">
        <v>19</v>
      </c>
      <c r="T24" s="8"/>
      <c r="U24" s="8"/>
      <c r="V24" s="8"/>
      <c r="W24" s="8"/>
      <c r="X24" s="15"/>
      <c r="Y24" s="15"/>
      <c r="Z24" s="8"/>
      <c r="AA24" s="8"/>
      <c r="AB24" s="8"/>
      <c r="AC24" s="8"/>
    </row>
    <row r="25" spans="1:29">
      <c r="A25" s="1"/>
      <c r="B25" s="1"/>
      <c r="C25" s="8" t="s">
        <v>755</v>
      </c>
      <c r="D25" s="9">
        <v>20</v>
      </c>
      <c r="E25" s="8"/>
      <c r="F25" s="8"/>
      <c r="G25" s="8"/>
      <c r="H25" s="8"/>
      <c r="I25" s="15"/>
      <c r="J25" s="15"/>
      <c r="K25" s="8"/>
      <c r="L25" s="8"/>
      <c r="M25" s="8"/>
      <c r="N25" s="8"/>
      <c r="P25" s="1"/>
      <c r="Q25" s="1"/>
      <c r="R25" s="8" t="s">
        <v>755</v>
      </c>
      <c r="S25" s="9">
        <v>20</v>
      </c>
      <c r="T25" s="8"/>
      <c r="U25" s="8"/>
      <c r="V25" s="8"/>
      <c r="W25" s="8"/>
      <c r="X25" s="15"/>
      <c r="Y25" s="15"/>
      <c r="Z25" s="8"/>
      <c r="AA25" s="8"/>
      <c r="AB25" s="8"/>
      <c r="AC25" s="8"/>
    </row>
    <row r="26" spans="1:29" ht="15" customHeight="1">
      <c r="A26" s="1"/>
      <c r="B26" s="1"/>
      <c r="C26" s="8" t="s">
        <v>756</v>
      </c>
      <c r="D26" s="9">
        <v>21</v>
      </c>
      <c r="E26" s="8"/>
      <c r="F26" s="8"/>
      <c r="G26" s="8"/>
      <c r="H26" s="8"/>
      <c r="I26" s="15"/>
      <c r="J26" s="15"/>
      <c r="K26" s="8"/>
      <c r="L26" s="8"/>
      <c r="M26" s="8"/>
      <c r="N26" s="8"/>
      <c r="P26" s="1"/>
      <c r="Q26" s="1"/>
      <c r="R26" s="8" t="s">
        <v>756</v>
      </c>
      <c r="S26" s="9">
        <v>21</v>
      </c>
      <c r="T26" s="8"/>
      <c r="U26" s="8"/>
      <c r="V26" s="8"/>
      <c r="W26" s="8"/>
      <c r="X26" s="15"/>
      <c r="Y26" s="15"/>
      <c r="Z26" s="8"/>
      <c r="AA26" s="8"/>
      <c r="AB26" s="8"/>
      <c r="AC26" s="8"/>
    </row>
    <row r="27" spans="1:29" ht="15" customHeight="1">
      <c r="A27" s="1"/>
      <c r="B27" s="1"/>
      <c r="C27" s="8" t="s">
        <v>757</v>
      </c>
      <c r="D27" s="9">
        <v>22</v>
      </c>
      <c r="E27" s="8"/>
      <c r="F27" s="8"/>
      <c r="G27" s="8"/>
      <c r="H27" s="8"/>
      <c r="I27" s="15"/>
      <c r="J27" s="15"/>
      <c r="K27" s="8"/>
      <c r="L27" s="8"/>
      <c r="M27" s="8"/>
      <c r="N27" s="8"/>
      <c r="P27" s="1"/>
      <c r="Q27" s="1"/>
      <c r="R27" s="8" t="s">
        <v>757</v>
      </c>
      <c r="S27" s="9">
        <v>22</v>
      </c>
      <c r="T27" s="8"/>
      <c r="U27" s="8"/>
      <c r="V27" s="8"/>
      <c r="W27" s="8"/>
      <c r="X27" s="15"/>
      <c r="Y27" s="15"/>
      <c r="Z27" s="8"/>
      <c r="AA27" s="8"/>
      <c r="AB27" s="8"/>
      <c r="AC27" s="8"/>
    </row>
    <row r="28" spans="1:29">
      <c r="A28" s="1"/>
      <c r="B28" s="1"/>
      <c r="C28" s="8" t="s">
        <v>758</v>
      </c>
      <c r="D28" s="9">
        <v>23</v>
      </c>
      <c r="E28" s="8"/>
      <c r="F28" s="8"/>
      <c r="G28" s="8"/>
      <c r="H28" s="8"/>
      <c r="I28" s="15"/>
      <c r="J28" s="15"/>
      <c r="K28" s="8"/>
      <c r="L28" s="8"/>
      <c r="M28" s="8"/>
      <c r="N28" s="8"/>
      <c r="P28" s="1"/>
      <c r="Q28" s="1"/>
      <c r="R28" s="8" t="s">
        <v>758</v>
      </c>
      <c r="S28" s="9">
        <v>23</v>
      </c>
      <c r="T28" s="8"/>
      <c r="U28" s="8"/>
      <c r="V28" s="8"/>
      <c r="W28" s="8"/>
      <c r="X28" s="15"/>
      <c r="Y28" s="15"/>
      <c r="Z28" s="8"/>
      <c r="AA28" s="8"/>
      <c r="AB28" s="8"/>
      <c r="AC28" s="8"/>
    </row>
    <row r="29" spans="1:29">
      <c r="A29" s="1"/>
      <c r="B29" s="1"/>
      <c r="C29" s="8" t="s">
        <v>759</v>
      </c>
      <c r="D29" s="9">
        <v>24</v>
      </c>
      <c r="E29" s="8"/>
      <c r="F29" s="8"/>
      <c r="G29" s="8"/>
      <c r="H29" s="8"/>
      <c r="I29" s="15"/>
      <c r="J29" s="15"/>
      <c r="K29" s="8"/>
      <c r="L29" s="8"/>
      <c r="M29" s="8"/>
      <c r="N29" s="8"/>
      <c r="P29" s="1"/>
      <c r="Q29" s="1"/>
      <c r="R29" s="8" t="s">
        <v>759</v>
      </c>
      <c r="S29" s="9">
        <v>24</v>
      </c>
      <c r="T29" s="8"/>
      <c r="U29" s="8"/>
      <c r="V29" s="8"/>
      <c r="W29" s="8"/>
      <c r="X29" s="15"/>
      <c r="Y29" s="15"/>
      <c r="Z29" s="8"/>
      <c r="AA29" s="8"/>
      <c r="AB29" s="8"/>
      <c r="AC29" s="8"/>
    </row>
    <row r="30" spans="1:29">
      <c r="A30" s="7"/>
      <c r="B30" s="7"/>
      <c r="C30" s="7" t="s">
        <v>760</v>
      </c>
      <c r="D30" s="587">
        <v>25</v>
      </c>
      <c r="E30" s="7"/>
      <c r="F30" s="7"/>
      <c r="G30" s="7"/>
      <c r="H30" s="7"/>
      <c r="I30" s="268"/>
      <c r="J30" s="268"/>
      <c r="K30" s="268"/>
      <c r="L30" s="268"/>
      <c r="M30" s="268"/>
      <c r="N30" s="268"/>
      <c r="P30" s="7"/>
      <c r="Q30" s="7"/>
      <c r="R30" s="7" t="s">
        <v>760</v>
      </c>
      <c r="S30" s="587">
        <v>25</v>
      </c>
      <c r="T30" s="7"/>
      <c r="U30" s="7"/>
      <c r="V30" s="7"/>
      <c r="W30" s="7"/>
      <c r="X30" s="268"/>
      <c r="Y30" s="268"/>
      <c r="Z30" s="268"/>
      <c r="AA30" s="268"/>
      <c r="AB30" s="268"/>
      <c r="AC30" s="268"/>
    </row>
    <row r="31" spans="1:29">
      <c r="A31" s="7"/>
      <c r="B31" s="7"/>
      <c r="C31" s="7" t="s">
        <v>761</v>
      </c>
      <c r="D31" s="587">
        <v>26</v>
      </c>
      <c r="E31" s="7"/>
      <c r="F31" s="7"/>
      <c r="G31" s="7"/>
      <c r="H31" s="7"/>
      <c r="I31" s="268"/>
      <c r="J31" s="268"/>
      <c r="K31" s="268"/>
      <c r="L31" s="268"/>
      <c r="M31" s="268"/>
      <c r="N31" s="268"/>
      <c r="P31" s="7"/>
      <c r="Q31" s="7"/>
      <c r="R31" s="7" t="s">
        <v>761</v>
      </c>
      <c r="S31" s="587">
        <v>26</v>
      </c>
      <c r="T31" s="7"/>
      <c r="U31" s="7"/>
      <c r="V31" s="7"/>
      <c r="W31" s="7"/>
      <c r="X31" s="268"/>
      <c r="Y31" s="268"/>
      <c r="Z31" s="268"/>
      <c r="AA31" s="268"/>
      <c r="AB31" s="268"/>
      <c r="AC31" s="268"/>
    </row>
    <row r="32" spans="1:29">
      <c r="A32" s="7"/>
      <c r="B32" s="7"/>
      <c r="C32" s="7" t="s">
        <v>762</v>
      </c>
      <c r="D32" s="587">
        <v>27</v>
      </c>
      <c r="E32" s="7"/>
      <c r="F32" s="7"/>
      <c r="G32" s="7"/>
      <c r="H32" s="7"/>
      <c r="I32" s="268"/>
      <c r="J32" s="268"/>
      <c r="K32" s="583"/>
      <c r="L32" s="583"/>
      <c r="M32" s="583"/>
      <c r="N32" s="583"/>
      <c r="P32" s="7"/>
      <c r="Q32" s="7"/>
      <c r="R32" s="7" t="s">
        <v>762</v>
      </c>
      <c r="S32" s="587">
        <v>27</v>
      </c>
      <c r="T32" s="7"/>
      <c r="U32" s="7"/>
      <c r="V32" s="7"/>
      <c r="W32" s="7"/>
      <c r="X32" s="268"/>
      <c r="Y32" s="268"/>
      <c r="Z32" s="583"/>
      <c r="AA32" s="583"/>
      <c r="AB32" s="583"/>
      <c r="AC32" s="583"/>
    </row>
    <row r="33" spans="1:29">
      <c r="A33" s="7"/>
      <c r="B33" s="7"/>
      <c r="C33" s="7" t="s">
        <v>763</v>
      </c>
      <c r="D33" s="587">
        <v>28</v>
      </c>
      <c r="E33" s="7"/>
      <c r="F33" s="7"/>
      <c r="G33" s="7"/>
      <c r="H33" s="7"/>
      <c r="I33" s="268"/>
      <c r="J33" s="268"/>
      <c r="K33" s="583"/>
      <c r="L33" s="583"/>
      <c r="M33" s="583"/>
      <c r="N33" s="583"/>
      <c r="P33" s="7"/>
      <c r="Q33" s="7"/>
      <c r="R33" s="7" t="s">
        <v>763</v>
      </c>
      <c r="S33" s="587">
        <v>28</v>
      </c>
      <c r="T33" s="7"/>
      <c r="U33" s="7"/>
      <c r="V33" s="7"/>
      <c r="W33" s="7"/>
      <c r="X33" s="268"/>
      <c r="Y33" s="268"/>
      <c r="Z33" s="583"/>
      <c r="AA33" s="583"/>
      <c r="AB33" s="583"/>
      <c r="AC33" s="583"/>
    </row>
    <row r="34" spans="1:29">
      <c r="A34" s="7"/>
      <c r="B34" s="7"/>
      <c r="C34" s="7" t="s">
        <v>764</v>
      </c>
      <c r="D34" s="587">
        <v>29</v>
      </c>
      <c r="E34" s="7"/>
      <c r="F34" s="7"/>
      <c r="G34" s="7"/>
      <c r="H34" s="7"/>
      <c r="I34" s="268"/>
      <c r="J34" s="268"/>
      <c r="K34" s="583"/>
      <c r="L34" s="583"/>
      <c r="M34" s="583"/>
      <c r="N34" s="583"/>
      <c r="P34" s="7"/>
      <c r="Q34" s="7"/>
      <c r="R34" s="7" t="s">
        <v>764</v>
      </c>
      <c r="S34" s="587">
        <v>29</v>
      </c>
      <c r="T34" s="7"/>
      <c r="U34" s="7"/>
      <c r="V34" s="7"/>
      <c r="W34" s="7"/>
      <c r="X34" s="268"/>
      <c r="Y34" s="268"/>
      <c r="Z34" s="583"/>
      <c r="AA34" s="583"/>
      <c r="AB34" s="583"/>
      <c r="AC34" s="583"/>
    </row>
    <row r="35" spans="1:29">
      <c r="A35" s="7"/>
      <c r="B35" s="7"/>
      <c r="C35" s="7" t="s">
        <v>765</v>
      </c>
      <c r="D35" s="587">
        <v>30</v>
      </c>
      <c r="E35" s="7"/>
      <c r="F35" s="7"/>
      <c r="G35" s="7"/>
      <c r="H35" s="7"/>
      <c r="I35" s="268"/>
      <c r="J35" s="268"/>
      <c r="K35" s="7"/>
      <c r="L35" s="7"/>
      <c r="M35" s="7"/>
      <c r="N35" s="7"/>
      <c r="P35" s="7"/>
      <c r="Q35" s="7"/>
      <c r="R35" s="7" t="s">
        <v>765</v>
      </c>
      <c r="S35" s="587">
        <v>30</v>
      </c>
      <c r="T35" s="7"/>
      <c r="U35" s="7"/>
      <c r="V35" s="7"/>
      <c r="W35" s="7"/>
      <c r="X35" s="268"/>
      <c r="Y35" s="268"/>
      <c r="Z35" s="7"/>
      <c r="AA35" s="7"/>
      <c r="AB35" s="7"/>
      <c r="AC35" s="7"/>
    </row>
    <row r="36" spans="1:29">
      <c r="A36" s="7"/>
      <c r="B36" s="7"/>
      <c r="C36" s="7" t="s">
        <v>766</v>
      </c>
      <c r="D36" s="587">
        <v>31</v>
      </c>
      <c r="E36" s="7"/>
      <c r="F36" s="7"/>
      <c r="G36" s="7"/>
      <c r="H36" s="7"/>
      <c r="I36" s="268"/>
      <c r="J36" s="268"/>
      <c r="K36" s="7"/>
      <c r="L36" s="7"/>
      <c r="M36" s="7"/>
      <c r="N36" s="7"/>
      <c r="P36" s="7"/>
      <c r="Q36" s="7"/>
      <c r="R36" s="7" t="s">
        <v>766</v>
      </c>
      <c r="S36" s="587">
        <v>31</v>
      </c>
      <c r="T36" s="7"/>
      <c r="U36" s="7"/>
      <c r="V36" s="7"/>
      <c r="W36" s="7"/>
      <c r="X36" s="268"/>
      <c r="Y36" s="268"/>
      <c r="Z36" s="7"/>
      <c r="AA36" s="7"/>
      <c r="AB36" s="7"/>
      <c r="AC36" s="7"/>
    </row>
    <row r="37" spans="1:29">
      <c r="A37" s="7"/>
      <c r="B37" s="7"/>
      <c r="C37" s="7" t="s">
        <v>767</v>
      </c>
      <c r="D37" s="587">
        <v>32</v>
      </c>
      <c r="E37" s="7"/>
      <c r="F37" s="7"/>
      <c r="G37" s="7"/>
      <c r="H37" s="7"/>
      <c r="I37" s="268"/>
      <c r="J37" s="268"/>
      <c r="K37" s="7"/>
      <c r="L37" s="7"/>
      <c r="M37" s="7"/>
      <c r="N37" s="7"/>
      <c r="P37" s="7"/>
      <c r="Q37" s="7"/>
      <c r="R37" s="7" t="s">
        <v>767</v>
      </c>
      <c r="S37" s="587">
        <v>32</v>
      </c>
      <c r="T37" s="7"/>
      <c r="U37" s="7"/>
      <c r="V37" s="7"/>
      <c r="W37" s="7"/>
      <c r="X37" s="268"/>
      <c r="Y37" s="268"/>
      <c r="Z37" s="7"/>
      <c r="AA37" s="7"/>
      <c r="AB37" s="7"/>
      <c r="AC37" s="7"/>
    </row>
    <row r="38" spans="1:29">
      <c r="A38" s="1"/>
      <c r="B38" s="1"/>
      <c r="C38" s="8" t="s">
        <v>768</v>
      </c>
      <c r="D38" s="9">
        <v>33</v>
      </c>
      <c r="E38" s="8"/>
      <c r="F38" s="8"/>
      <c r="G38" s="8"/>
      <c r="H38" s="8"/>
      <c r="I38" s="15"/>
      <c r="J38" s="15"/>
      <c r="K38" s="8"/>
      <c r="L38" s="8"/>
      <c r="M38" s="8"/>
      <c r="N38" s="8"/>
      <c r="P38" s="1"/>
      <c r="Q38" s="1"/>
      <c r="R38" s="8" t="s">
        <v>768</v>
      </c>
      <c r="S38" s="9">
        <v>33</v>
      </c>
      <c r="T38" s="8"/>
      <c r="U38" s="8"/>
      <c r="V38" s="8"/>
      <c r="W38" s="8"/>
      <c r="X38" s="15"/>
      <c r="Y38" s="15"/>
      <c r="Z38" s="8"/>
      <c r="AA38" s="8"/>
      <c r="AB38" s="8"/>
      <c r="AC38" s="8"/>
    </row>
    <row r="39" spans="1:29">
      <c r="A39" s="1"/>
      <c r="B39" s="1"/>
      <c r="C39" s="8" t="s">
        <v>769</v>
      </c>
      <c r="D39" s="9">
        <v>34</v>
      </c>
      <c r="E39" s="8"/>
      <c r="F39" s="8"/>
      <c r="G39" s="8"/>
      <c r="H39" s="8"/>
      <c r="I39" s="15"/>
      <c r="J39" s="15"/>
      <c r="K39" s="8"/>
      <c r="L39" s="8"/>
      <c r="M39" s="8"/>
      <c r="N39" s="8"/>
      <c r="P39" s="1"/>
      <c r="Q39" s="1"/>
      <c r="R39" s="8" t="s">
        <v>769</v>
      </c>
      <c r="S39" s="9">
        <v>34</v>
      </c>
      <c r="T39" s="8"/>
      <c r="U39" s="8"/>
      <c r="V39" s="8"/>
      <c r="W39" s="8"/>
      <c r="X39" s="15"/>
      <c r="Y39" s="15"/>
      <c r="Z39" s="8"/>
      <c r="AA39" s="8"/>
      <c r="AB39" s="8"/>
      <c r="AC39" s="8"/>
    </row>
    <row r="40" spans="1:29">
      <c r="A40" s="1"/>
      <c r="B40" s="1"/>
      <c r="C40" s="8" t="s">
        <v>770</v>
      </c>
      <c r="D40" s="9">
        <v>35</v>
      </c>
      <c r="E40" s="8"/>
      <c r="F40" s="8"/>
      <c r="G40" s="8"/>
      <c r="H40" s="8"/>
      <c r="I40" s="15"/>
      <c r="J40" s="15"/>
      <c r="K40" s="8"/>
      <c r="L40" s="8"/>
      <c r="M40" s="8"/>
      <c r="N40" s="8"/>
      <c r="P40" s="1"/>
      <c r="Q40" s="1"/>
      <c r="R40" s="8" t="s">
        <v>770</v>
      </c>
      <c r="S40" s="9">
        <v>35</v>
      </c>
      <c r="T40" s="8"/>
      <c r="U40" s="8"/>
      <c r="V40" s="8"/>
      <c r="W40" s="8"/>
      <c r="X40" s="15"/>
      <c r="Y40" s="15"/>
      <c r="Z40" s="8"/>
      <c r="AA40" s="8"/>
      <c r="AB40" s="8"/>
      <c r="AC40" s="8"/>
    </row>
    <row r="41" spans="1:29">
      <c r="A41" s="1"/>
      <c r="B41" s="1"/>
      <c r="C41" s="8" t="s">
        <v>771</v>
      </c>
      <c r="D41" s="9">
        <v>36</v>
      </c>
      <c r="E41" s="8"/>
      <c r="F41" s="8"/>
      <c r="G41" s="8"/>
      <c r="H41" s="8"/>
      <c r="I41" s="15"/>
      <c r="J41" s="15"/>
      <c r="K41" s="8"/>
      <c r="L41" s="8"/>
      <c r="M41" s="8"/>
      <c r="N41" s="8"/>
      <c r="P41" s="1"/>
      <c r="Q41" s="1"/>
      <c r="R41" s="8" t="s">
        <v>771</v>
      </c>
      <c r="S41" s="9">
        <v>36</v>
      </c>
      <c r="T41" s="8"/>
      <c r="U41" s="8"/>
      <c r="V41" s="8"/>
      <c r="W41" s="8"/>
      <c r="X41" s="15"/>
      <c r="Y41" s="15"/>
      <c r="Z41" s="8"/>
      <c r="AA41" s="8"/>
      <c r="AB41" s="8"/>
      <c r="AC41" s="8"/>
    </row>
    <row r="42" spans="1:29">
      <c r="A42" s="1"/>
      <c r="B42" s="1"/>
      <c r="C42" s="8" t="s">
        <v>772</v>
      </c>
      <c r="D42" s="9">
        <v>37</v>
      </c>
      <c r="E42" s="8"/>
      <c r="F42" s="8"/>
      <c r="G42" s="8"/>
      <c r="H42" s="8"/>
      <c r="I42" s="15"/>
      <c r="J42" s="15"/>
      <c r="K42" s="8"/>
      <c r="L42" s="8"/>
      <c r="M42" s="8"/>
      <c r="N42" s="8"/>
      <c r="P42" s="1"/>
      <c r="Q42" s="1"/>
      <c r="R42" s="8" t="s">
        <v>772</v>
      </c>
      <c r="S42" s="9">
        <v>37</v>
      </c>
      <c r="T42" s="8"/>
      <c r="U42" s="8"/>
      <c r="V42" s="8"/>
      <c r="W42" s="8"/>
      <c r="X42" s="15"/>
      <c r="Y42" s="15"/>
      <c r="Z42" s="8"/>
      <c r="AA42" s="8"/>
      <c r="AB42" s="8"/>
      <c r="AC42" s="8"/>
    </row>
    <row r="43" spans="1:29">
      <c r="A43" s="1"/>
      <c r="B43" s="1"/>
      <c r="C43" s="8" t="s">
        <v>773</v>
      </c>
      <c r="D43" s="9">
        <v>38</v>
      </c>
      <c r="E43" s="8"/>
      <c r="F43" s="8"/>
      <c r="G43" s="8"/>
      <c r="H43" s="8"/>
      <c r="I43" s="15"/>
      <c r="J43" s="15"/>
      <c r="K43" s="8"/>
      <c r="L43" s="8"/>
      <c r="M43" s="8"/>
      <c r="N43" s="8"/>
      <c r="P43" s="1"/>
      <c r="Q43" s="1"/>
      <c r="R43" s="8" t="s">
        <v>773</v>
      </c>
      <c r="S43" s="9">
        <v>38</v>
      </c>
      <c r="T43" s="8"/>
      <c r="U43" s="8"/>
      <c r="V43" s="8"/>
      <c r="W43" s="8"/>
      <c r="X43" s="15"/>
      <c r="Y43" s="15"/>
      <c r="Z43" s="8"/>
      <c r="AA43" s="8"/>
      <c r="AB43" s="8"/>
      <c r="AC43" s="8"/>
    </row>
    <row r="44" spans="1:29">
      <c r="A44" s="1"/>
      <c r="B44" s="1"/>
      <c r="C44" s="73" t="s">
        <v>774</v>
      </c>
      <c r="D44" s="71">
        <v>39</v>
      </c>
      <c r="E44" s="73"/>
      <c r="F44" s="73"/>
      <c r="G44" s="73"/>
      <c r="H44" s="8"/>
      <c r="I44" s="15"/>
      <c r="J44" s="15"/>
      <c r="K44" s="73"/>
      <c r="L44" s="73"/>
      <c r="M44" s="73"/>
      <c r="N44" s="73"/>
      <c r="P44" s="1"/>
      <c r="Q44" s="1"/>
      <c r="R44" s="73" t="s">
        <v>774</v>
      </c>
      <c r="S44" s="71">
        <v>39</v>
      </c>
      <c r="T44" s="73"/>
      <c r="U44" s="73"/>
      <c r="V44" s="73"/>
      <c r="W44" s="8"/>
      <c r="X44" s="15"/>
      <c r="Y44" s="15"/>
      <c r="Z44" s="73"/>
      <c r="AA44" s="73"/>
      <c r="AB44" s="73"/>
      <c r="AC44" s="73"/>
    </row>
    <row r="45" spans="1:29">
      <c r="A45" s="1"/>
      <c r="B45" s="1"/>
      <c r="C45" s="8" t="s">
        <v>775</v>
      </c>
      <c r="D45" s="9">
        <v>40</v>
      </c>
      <c r="E45" s="8"/>
      <c r="F45" s="8"/>
      <c r="G45" s="8"/>
      <c r="H45" s="8"/>
      <c r="I45" s="15"/>
      <c r="J45" s="15"/>
      <c r="K45" s="8"/>
      <c r="L45" s="8"/>
      <c r="M45" s="8"/>
      <c r="N45" s="8"/>
      <c r="P45" s="1"/>
      <c r="Q45" s="1"/>
      <c r="R45" s="8" t="s">
        <v>775</v>
      </c>
      <c r="S45" s="9">
        <v>40</v>
      </c>
      <c r="T45" s="8"/>
      <c r="U45" s="8"/>
      <c r="V45" s="8"/>
      <c r="W45" s="8"/>
      <c r="X45" s="15"/>
      <c r="Y45" s="15"/>
      <c r="Z45" s="8"/>
      <c r="AA45" s="8"/>
      <c r="AB45" s="8"/>
      <c r="AC45" s="8"/>
    </row>
    <row r="46" spans="1:29">
      <c r="A46" s="7"/>
      <c r="B46" s="7"/>
      <c r="C46" s="588" t="s">
        <v>776</v>
      </c>
      <c r="D46" s="589">
        <v>41</v>
      </c>
      <c r="E46" s="588"/>
      <c r="F46" s="588"/>
      <c r="G46" s="588"/>
      <c r="H46" s="7"/>
      <c r="I46" s="268"/>
      <c r="J46" s="268"/>
      <c r="K46" s="588"/>
      <c r="L46" s="588"/>
      <c r="M46" s="588"/>
      <c r="N46" s="588"/>
      <c r="P46" s="7"/>
      <c r="Q46" s="7"/>
      <c r="R46" s="588" t="s">
        <v>776</v>
      </c>
      <c r="S46" s="589">
        <v>41</v>
      </c>
      <c r="T46" s="588"/>
      <c r="U46" s="588"/>
      <c r="V46" s="588"/>
      <c r="W46" s="7"/>
      <c r="X46" s="268"/>
      <c r="Y46" s="268"/>
      <c r="Z46" s="588"/>
      <c r="AA46" s="588"/>
      <c r="AB46" s="588"/>
      <c r="AC46" s="588"/>
    </row>
    <row r="47" spans="1:29">
      <c r="A47" s="7"/>
      <c r="B47" s="7"/>
      <c r="C47" s="7" t="s">
        <v>777</v>
      </c>
      <c r="D47" s="587">
        <v>42</v>
      </c>
      <c r="E47" s="7"/>
      <c r="F47" s="7"/>
      <c r="G47" s="7"/>
      <c r="H47" s="7"/>
      <c r="I47" s="268"/>
      <c r="J47" s="268"/>
      <c r="K47" s="7"/>
      <c r="L47" s="7"/>
      <c r="M47" s="7"/>
      <c r="N47" s="7"/>
      <c r="P47" s="7"/>
      <c r="Q47" s="7"/>
      <c r="R47" s="7" t="s">
        <v>777</v>
      </c>
      <c r="S47" s="587">
        <v>42</v>
      </c>
      <c r="T47" s="7"/>
      <c r="U47" s="7"/>
      <c r="V47" s="7"/>
      <c r="W47" s="7"/>
      <c r="X47" s="268"/>
      <c r="Y47" s="268"/>
      <c r="Z47" s="7"/>
      <c r="AA47" s="7"/>
      <c r="AB47" s="7"/>
      <c r="AC47" s="7"/>
    </row>
    <row r="48" spans="1:29">
      <c r="A48" s="7"/>
      <c r="B48" s="7"/>
      <c r="C48" s="7" t="s">
        <v>778</v>
      </c>
      <c r="D48" s="587">
        <v>43</v>
      </c>
      <c r="E48" s="7"/>
      <c r="F48" s="7"/>
      <c r="G48" s="7"/>
      <c r="H48" s="7"/>
      <c r="I48" s="268"/>
      <c r="J48" s="268"/>
      <c r="K48" s="7"/>
      <c r="L48" s="7"/>
      <c r="M48" s="7"/>
      <c r="N48" s="7"/>
      <c r="P48" s="7"/>
      <c r="Q48" s="7"/>
      <c r="R48" s="7" t="s">
        <v>778</v>
      </c>
      <c r="S48" s="587">
        <v>43</v>
      </c>
      <c r="T48" s="7"/>
      <c r="U48" s="7"/>
      <c r="V48" s="7"/>
      <c r="W48" s="7"/>
      <c r="X48" s="268"/>
      <c r="Y48" s="268"/>
      <c r="Z48" s="7"/>
      <c r="AA48" s="7"/>
      <c r="AB48" s="7"/>
      <c r="AC48" s="7"/>
    </row>
    <row r="49" spans="1:29">
      <c r="A49" s="7"/>
      <c r="B49" s="7"/>
      <c r="C49" s="7" t="s">
        <v>779</v>
      </c>
      <c r="D49" s="587">
        <v>44</v>
      </c>
      <c r="E49" s="7"/>
      <c r="F49" s="7"/>
      <c r="G49" s="7"/>
      <c r="H49" s="7"/>
      <c r="I49" s="268"/>
      <c r="J49" s="268"/>
      <c r="K49" s="7"/>
      <c r="L49" s="7"/>
      <c r="M49" s="7"/>
      <c r="N49" s="7"/>
      <c r="P49" s="7"/>
      <c r="Q49" s="7"/>
      <c r="R49" s="7" t="s">
        <v>779</v>
      </c>
      <c r="S49" s="587">
        <v>44</v>
      </c>
      <c r="T49" s="7"/>
      <c r="U49" s="7"/>
      <c r="V49" s="7"/>
      <c r="W49" s="7"/>
      <c r="X49" s="268"/>
      <c r="Y49" s="268"/>
      <c r="Z49" s="7"/>
      <c r="AA49" s="7"/>
      <c r="AB49" s="7"/>
      <c r="AC49" s="7"/>
    </row>
    <row r="50" spans="1:29">
      <c r="A50" s="7"/>
      <c r="B50" s="7"/>
      <c r="C50" s="7" t="s">
        <v>780</v>
      </c>
      <c r="D50" s="587">
        <v>45</v>
      </c>
      <c r="E50" s="7"/>
      <c r="F50" s="7"/>
      <c r="G50" s="7"/>
      <c r="H50" s="7"/>
      <c r="I50" s="268"/>
      <c r="J50" s="268"/>
      <c r="K50" s="7"/>
      <c r="L50" s="7"/>
      <c r="M50" s="7"/>
      <c r="N50" s="7"/>
      <c r="P50" s="7"/>
      <c r="Q50" s="7"/>
      <c r="R50" s="7" t="s">
        <v>780</v>
      </c>
      <c r="S50" s="587">
        <v>45</v>
      </c>
      <c r="T50" s="7"/>
      <c r="U50" s="7"/>
      <c r="V50" s="7"/>
      <c r="W50" s="7"/>
      <c r="X50" s="268"/>
      <c r="Y50" s="268"/>
      <c r="Z50" s="7"/>
      <c r="AA50" s="7"/>
      <c r="AB50" s="7"/>
      <c r="AC50" s="7"/>
    </row>
    <row r="51" spans="1:29">
      <c r="A51" s="7"/>
      <c r="B51" s="7"/>
      <c r="C51" s="7" t="s">
        <v>781</v>
      </c>
      <c r="D51" s="587">
        <v>46</v>
      </c>
      <c r="E51" s="7"/>
      <c r="F51" s="7"/>
      <c r="G51" s="7"/>
      <c r="H51" s="7"/>
      <c r="I51" s="268"/>
      <c r="J51" s="268"/>
      <c r="K51" s="7"/>
      <c r="L51" s="7"/>
      <c r="M51" s="7"/>
      <c r="N51" s="7"/>
      <c r="P51" s="7"/>
      <c r="Q51" s="7"/>
      <c r="R51" s="7" t="s">
        <v>781</v>
      </c>
      <c r="S51" s="587">
        <v>46</v>
      </c>
      <c r="T51" s="7"/>
      <c r="U51" s="7"/>
      <c r="V51" s="7"/>
      <c r="W51" s="7"/>
      <c r="X51" s="268"/>
      <c r="Y51" s="268"/>
      <c r="Z51" s="7"/>
      <c r="AA51" s="7"/>
      <c r="AB51" s="7"/>
      <c r="AC51" s="7"/>
    </row>
    <row r="52" spans="1:29">
      <c r="A52" s="7"/>
      <c r="B52" s="7"/>
      <c r="C52" s="7" t="s">
        <v>782</v>
      </c>
      <c r="D52" s="587">
        <v>47</v>
      </c>
      <c r="E52" s="7"/>
      <c r="F52" s="7"/>
      <c r="G52" s="7"/>
      <c r="H52" s="7"/>
      <c r="I52" s="268"/>
      <c r="J52" s="268"/>
      <c r="K52" s="7"/>
      <c r="L52" s="7"/>
      <c r="M52" s="7"/>
      <c r="N52" s="7"/>
      <c r="P52" s="7"/>
      <c r="Q52" s="7"/>
      <c r="R52" s="7" t="s">
        <v>782</v>
      </c>
      <c r="S52" s="587">
        <v>47</v>
      </c>
      <c r="T52" s="7"/>
      <c r="U52" s="7"/>
      <c r="V52" s="7"/>
      <c r="W52" s="7"/>
      <c r="X52" s="268"/>
      <c r="Y52" s="268"/>
      <c r="Z52" s="7"/>
      <c r="AA52" s="7"/>
      <c r="AB52" s="7"/>
      <c r="AC52" s="7"/>
    </row>
    <row r="53" spans="1:29">
      <c r="A53" s="7"/>
      <c r="B53" s="7"/>
      <c r="C53" s="7" t="s">
        <v>783</v>
      </c>
      <c r="D53" s="587">
        <v>48</v>
      </c>
      <c r="E53" s="7"/>
      <c r="F53" s="7"/>
      <c r="G53" s="7"/>
      <c r="H53" s="7"/>
      <c r="I53" s="268"/>
      <c r="J53" s="268"/>
      <c r="K53" s="7"/>
      <c r="L53" s="7"/>
      <c r="M53" s="7"/>
      <c r="N53" s="7"/>
      <c r="P53" s="7"/>
      <c r="Q53" s="7"/>
      <c r="R53" s="7" t="s">
        <v>783</v>
      </c>
      <c r="S53" s="587">
        <v>48</v>
      </c>
      <c r="T53" s="7"/>
      <c r="U53" s="7"/>
      <c r="V53" s="7"/>
      <c r="W53" s="7"/>
      <c r="X53" s="268"/>
      <c r="Y53" s="268"/>
      <c r="Z53" s="7"/>
      <c r="AA53" s="7"/>
      <c r="AB53" s="7"/>
      <c r="AC53" s="7"/>
    </row>
    <row r="54" spans="1:29">
      <c r="A54" s="7"/>
      <c r="B54" s="7"/>
      <c r="C54" s="8" t="s">
        <v>784</v>
      </c>
      <c r="D54" s="9">
        <v>49</v>
      </c>
      <c r="E54" s="8"/>
      <c r="F54" s="8"/>
      <c r="G54" s="8"/>
      <c r="H54" s="8"/>
      <c r="I54" s="15"/>
      <c r="J54" s="15"/>
      <c r="K54" s="15"/>
      <c r="L54" s="15"/>
      <c r="M54" s="15"/>
      <c r="N54" s="15"/>
      <c r="P54" s="7"/>
      <c r="Q54" s="7"/>
      <c r="R54" s="8" t="s">
        <v>784</v>
      </c>
      <c r="S54" s="9">
        <v>49</v>
      </c>
      <c r="T54" s="8"/>
      <c r="U54" s="8"/>
      <c r="V54" s="8"/>
      <c r="W54" s="8"/>
      <c r="X54" s="15"/>
      <c r="Y54" s="15"/>
      <c r="Z54" s="15"/>
      <c r="AA54" s="15"/>
      <c r="AB54" s="15"/>
      <c r="AC54" s="15"/>
    </row>
    <row r="55" spans="1:29">
      <c r="A55" s="7"/>
      <c r="B55" s="7"/>
      <c r="C55" s="8" t="s">
        <v>785</v>
      </c>
      <c r="D55" s="9">
        <v>50</v>
      </c>
      <c r="E55" s="8"/>
      <c r="F55" s="8"/>
      <c r="G55" s="8"/>
      <c r="H55" s="8"/>
      <c r="I55" s="15"/>
      <c r="J55" s="15"/>
      <c r="K55" s="15"/>
      <c r="L55" s="15"/>
      <c r="M55" s="15"/>
      <c r="N55" s="15"/>
      <c r="P55" s="7"/>
      <c r="Q55" s="7"/>
      <c r="R55" s="8" t="s">
        <v>785</v>
      </c>
      <c r="S55" s="9">
        <v>50</v>
      </c>
      <c r="T55" s="8"/>
      <c r="U55" s="8"/>
      <c r="V55" s="8"/>
      <c r="W55" s="8"/>
      <c r="X55" s="15"/>
      <c r="Y55" s="15"/>
      <c r="Z55" s="15"/>
      <c r="AA55" s="15"/>
      <c r="AB55" s="15"/>
      <c r="AC55" s="15"/>
    </row>
    <row r="56" spans="1:29">
      <c r="A56" s="7"/>
      <c r="B56" s="7"/>
      <c r="C56" s="8" t="s">
        <v>786</v>
      </c>
      <c r="D56" s="9">
        <v>51</v>
      </c>
      <c r="E56" s="8"/>
      <c r="F56" s="8"/>
      <c r="G56" s="8"/>
      <c r="H56" s="8"/>
      <c r="I56" s="15"/>
      <c r="J56" s="15"/>
      <c r="K56" s="14"/>
      <c r="L56" s="14"/>
      <c r="M56" s="14"/>
      <c r="N56" s="14"/>
      <c r="P56" s="7"/>
      <c r="Q56" s="7"/>
      <c r="R56" s="8" t="s">
        <v>786</v>
      </c>
      <c r="S56" s="9">
        <v>51</v>
      </c>
      <c r="T56" s="8"/>
      <c r="U56" s="8"/>
      <c r="V56" s="8"/>
      <c r="W56" s="8"/>
      <c r="X56" s="15"/>
      <c r="Y56" s="15"/>
      <c r="Z56" s="14"/>
      <c r="AA56" s="14"/>
      <c r="AB56" s="14"/>
      <c r="AC56" s="14"/>
    </row>
    <row r="57" spans="1:29">
      <c r="A57" s="7"/>
      <c r="B57" s="7"/>
      <c r="C57" s="8" t="s">
        <v>787</v>
      </c>
      <c r="D57" s="9">
        <v>52</v>
      </c>
      <c r="E57" s="8"/>
      <c r="F57" s="8"/>
      <c r="G57" s="8"/>
      <c r="H57" s="8"/>
      <c r="I57" s="15"/>
      <c r="J57" s="15"/>
      <c r="K57" s="14"/>
      <c r="L57" s="14"/>
      <c r="M57" s="14"/>
      <c r="N57" s="14"/>
      <c r="P57" s="7"/>
      <c r="Q57" s="7"/>
      <c r="R57" s="8" t="s">
        <v>787</v>
      </c>
      <c r="S57" s="9">
        <v>52</v>
      </c>
      <c r="T57" s="8"/>
      <c r="U57" s="8"/>
      <c r="V57" s="8"/>
      <c r="W57" s="8"/>
      <c r="X57" s="15"/>
      <c r="Y57" s="15"/>
      <c r="Z57" s="14"/>
      <c r="AA57" s="14"/>
      <c r="AB57" s="14"/>
      <c r="AC57" s="14"/>
    </row>
    <row r="58" spans="1:29">
      <c r="A58" s="7"/>
      <c r="B58" s="7"/>
      <c r="C58" s="8" t="s">
        <v>788</v>
      </c>
      <c r="D58" s="9">
        <v>53</v>
      </c>
      <c r="E58" s="8"/>
      <c r="F58" s="8"/>
      <c r="G58" s="8"/>
      <c r="H58" s="8"/>
      <c r="I58" s="15"/>
      <c r="J58" s="15"/>
      <c r="K58" s="14"/>
      <c r="L58" s="14"/>
      <c r="M58" s="14"/>
      <c r="N58" s="14"/>
      <c r="P58" s="7"/>
      <c r="Q58" s="7"/>
      <c r="R58" s="8" t="s">
        <v>788</v>
      </c>
      <c r="S58" s="9">
        <v>53</v>
      </c>
      <c r="T58" s="8"/>
      <c r="U58" s="8"/>
      <c r="V58" s="8"/>
      <c r="W58" s="8"/>
      <c r="X58" s="15"/>
      <c r="Y58" s="15"/>
      <c r="Z58" s="14"/>
      <c r="AA58" s="14"/>
      <c r="AB58" s="14"/>
      <c r="AC58" s="14"/>
    </row>
    <row r="59" spans="1:29">
      <c r="A59" s="7"/>
      <c r="B59" s="7"/>
      <c r="C59" s="8" t="s">
        <v>789</v>
      </c>
      <c r="D59" s="9">
        <v>54</v>
      </c>
      <c r="E59" s="8"/>
      <c r="F59" s="8"/>
      <c r="G59" s="8"/>
      <c r="H59" s="8"/>
      <c r="I59" s="15"/>
      <c r="J59" s="15"/>
      <c r="K59" s="8"/>
      <c r="L59" s="8"/>
      <c r="M59" s="8"/>
      <c r="N59" s="8"/>
      <c r="P59" s="7"/>
      <c r="Q59" s="7"/>
      <c r="R59" s="8" t="s">
        <v>789</v>
      </c>
      <c r="S59" s="9">
        <v>54</v>
      </c>
      <c r="T59" s="8"/>
      <c r="U59" s="8"/>
      <c r="V59" s="8"/>
      <c r="W59" s="8"/>
      <c r="X59" s="15"/>
      <c r="Y59" s="15"/>
      <c r="Z59" s="8"/>
      <c r="AA59" s="8"/>
      <c r="AB59" s="8"/>
      <c r="AC59" s="8"/>
    </row>
    <row r="60" spans="1:29">
      <c r="A60" s="7"/>
      <c r="B60" s="7"/>
      <c r="C60" s="8" t="s">
        <v>790</v>
      </c>
      <c r="D60" s="9">
        <v>55</v>
      </c>
      <c r="E60" s="8"/>
      <c r="F60" s="8"/>
      <c r="G60" s="8"/>
      <c r="H60" s="8"/>
      <c r="I60" s="15"/>
      <c r="J60" s="15"/>
      <c r="K60" s="8"/>
      <c r="L60" s="8"/>
      <c r="M60" s="8"/>
      <c r="N60" s="8"/>
      <c r="P60" s="7"/>
      <c r="Q60" s="7"/>
      <c r="R60" s="8" t="s">
        <v>790</v>
      </c>
      <c r="S60" s="9">
        <v>55</v>
      </c>
      <c r="T60" s="8"/>
      <c r="U60" s="8"/>
      <c r="V60" s="8"/>
      <c r="W60" s="8"/>
      <c r="X60" s="15"/>
      <c r="Y60" s="15"/>
      <c r="Z60" s="8"/>
      <c r="AA60" s="8"/>
      <c r="AB60" s="8"/>
      <c r="AC60" s="8"/>
    </row>
    <row r="61" spans="1:29">
      <c r="A61" s="7"/>
      <c r="B61" s="7"/>
      <c r="C61" s="8" t="s">
        <v>791</v>
      </c>
      <c r="D61" s="9">
        <v>56</v>
      </c>
      <c r="E61" s="8"/>
      <c r="F61" s="8"/>
      <c r="G61" s="8"/>
      <c r="H61" s="8"/>
      <c r="I61" s="15"/>
      <c r="J61" s="15"/>
      <c r="K61" s="8"/>
      <c r="L61" s="8"/>
      <c r="M61" s="8"/>
      <c r="N61" s="8"/>
      <c r="P61" s="7"/>
      <c r="Q61" s="7"/>
      <c r="R61" s="8" t="s">
        <v>791</v>
      </c>
      <c r="S61" s="9">
        <v>56</v>
      </c>
      <c r="T61" s="8"/>
      <c r="U61" s="8"/>
      <c r="V61" s="8"/>
      <c r="W61" s="8"/>
      <c r="X61" s="15"/>
      <c r="Y61" s="15"/>
      <c r="Z61" s="8"/>
      <c r="AA61" s="8"/>
      <c r="AB61" s="8"/>
      <c r="AC61" s="8"/>
    </row>
    <row r="62" spans="1:29">
      <c r="A62" s="7"/>
      <c r="B62" s="7"/>
      <c r="C62" s="7" t="s">
        <v>792</v>
      </c>
      <c r="D62" s="587">
        <v>57</v>
      </c>
      <c r="E62" s="7"/>
      <c r="F62" s="7"/>
      <c r="G62" s="7"/>
      <c r="H62" s="7"/>
      <c r="I62" s="268"/>
      <c r="J62" s="268"/>
      <c r="K62" s="7"/>
      <c r="L62" s="7"/>
      <c r="M62" s="7"/>
      <c r="N62" s="7"/>
      <c r="P62" s="7"/>
      <c r="Q62" s="7"/>
      <c r="R62" s="7" t="s">
        <v>792</v>
      </c>
      <c r="S62" s="587">
        <v>57</v>
      </c>
      <c r="T62" s="7"/>
      <c r="U62" s="7"/>
      <c r="V62" s="7"/>
      <c r="W62" s="7"/>
      <c r="X62" s="268"/>
      <c r="Y62" s="268"/>
      <c r="Z62" s="7"/>
      <c r="AA62" s="7"/>
      <c r="AB62" s="7"/>
      <c r="AC62" s="7"/>
    </row>
    <row r="63" spans="1:29">
      <c r="A63" s="7"/>
      <c r="B63" s="7"/>
      <c r="C63" s="7" t="s">
        <v>793</v>
      </c>
      <c r="D63" s="587">
        <v>58</v>
      </c>
      <c r="E63" s="7"/>
      <c r="F63" s="7"/>
      <c r="G63" s="7"/>
      <c r="H63" s="7"/>
      <c r="I63" s="268"/>
      <c r="J63" s="268"/>
      <c r="K63" s="7"/>
      <c r="L63" s="7"/>
      <c r="M63" s="7"/>
      <c r="N63" s="7"/>
      <c r="P63" s="7"/>
      <c r="Q63" s="7"/>
      <c r="R63" s="7" t="s">
        <v>793</v>
      </c>
      <c r="S63" s="587">
        <v>58</v>
      </c>
      <c r="T63" s="7"/>
      <c r="U63" s="7"/>
      <c r="V63" s="7"/>
      <c r="W63" s="7"/>
      <c r="X63" s="268"/>
      <c r="Y63" s="268"/>
      <c r="Z63" s="7"/>
      <c r="AA63" s="7"/>
      <c r="AB63" s="7"/>
      <c r="AC63" s="7"/>
    </row>
    <row r="64" spans="1:29">
      <c r="A64" s="7"/>
      <c r="B64" s="7"/>
      <c r="C64" s="7" t="s">
        <v>794</v>
      </c>
      <c r="D64" s="587">
        <v>59</v>
      </c>
      <c r="E64" s="7"/>
      <c r="F64" s="7"/>
      <c r="G64" s="7"/>
      <c r="H64" s="7"/>
      <c r="I64" s="268"/>
      <c r="J64" s="268"/>
      <c r="K64" s="7"/>
      <c r="L64" s="7"/>
      <c r="M64" s="7"/>
      <c r="N64" s="7"/>
      <c r="P64" s="7"/>
      <c r="Q64" s="7"/>
      <c r="R64" s="7" t="s">
        <v>794</v>
      </c>
      <c r="S64" s="587">
        <v>59</v>
      </c>
      <c r="T64" s="7"/>
      <c r="U64" s="7"/>
      <c r="V64" s="7"/>
      <c r="W64" s="7"/>
      <c r="X64" s="268"/>
      <c r="Y64" s="268"/>
      <c r="Z64" s="7"/>
      <c r="AA64" s="7"/>
      <c r="AB64" s="7"/>
      <c r="AC64" s="7"/>
    </row>
    <row r="65" spans="1:29">
      <c r="A65" s="7"/>
      <c r="B65" s="7"/>
      <c r="C65" s="7" t="s">
        <v>795</v>
      </c>
      <c r="D65" s="587">
        <v>60</v>
      </c>
      <c r="E65" s="7"/>
      <c r="F65" s="7"/>
      <c r="G65" s="7"/>
      <c r="H65" s="7"/>
      <c r="I65" s="268"/>
      <c r="J65" s="268"/>
      <c r="K65" s="7"/>
      <c r="L65" s="7"/>
      <c r="M65" s="7"/>
      <c r="N65" s="7"/>
      <c r="P65" s="7"/>
      <c r="Q65" s="7"/>
      <c r="R65" s="7" t="s">
        <v>795</v>
      </c>
      <c r="S65" s="587">
        <v>60</v>
      </c>
      <c r="T65" s="7"/>
      <c r="U65" s="7"/>
      <c r="V65" s="7"/>
      <c r="W65" s="7"/>
      <c r="X65" s="268"/>
      <c r="Y65" s="268"/>
      <c r="Z65" s="7"/>
      <c r="AA65" s="7"/>
      <c r="AB65" s="7"/>
      <c r="AC65" s="7"/>
    </row>
    <row r="66" spans="1:29">
      <c r="A66" s="7"/>
      <c r="B66" s="7"/>
      <c r="C66" s="7" t="s">
        <v>796</v>
      </c>
      <c r="D66" s="587">
        <v>61</v>
      </c>
      <c r="E66" s="7"/>
      <c r="F66" s="7"/>
      <c r="G66" s="7"/>
      <c r="H66" s="7"/>
      <c r="I66" s="268"/>
      <c r="J66" s="268"/>
      <c r="K66" s="7"/>
      <c r="L66" s="7"/>
      <c r="M66" s="7"/>
      <c r="N66" s="7"/>
      <c r="P66" s="7"/>
      <c r="Q66" s="7"/>
      <c r="R66" s="7" t="s">
        <v>796</v>
      </c>
      <c r="S66" s="587">
        <v>61</v>
      </c>
      <c r="T66" s="7"/>
      <c r="U66" s="7"/>
      <c r="V66" s="7"/>
      <c r="W66" s="7"/>
      <c r="X66" s="268"/>
      <c r="Y66" s="268"/>
      <c r="Z66" s="7"/>
      <c r="AA66" s="7"/>
      <c r="AB66" s="7"/>
      <c r="AC66" s="7"/>
    </row>
    <row r="67" spans="1:29">
      <c r="A67" s="7"/>
      <c r="B67" s="7"/>
      <c r="C67" s="7" t="s">
        <v>797</v>
      </c>
      <c r="D67" s="587">
        <v>62</v>
      </c>
      <c r="E67" s="7"/>
      <c r="F67" s="7"/>
      <c r="G67" s="7"/>
      <c r="H67" s="7"/>
      <c r="I67" s="268"/>
      <c r="J67" s="268"/>
      <c r="K67" s="7"/>
      <c r="L67" s="7"/>
      <c r="M67" s="7"/>
      <c r="N67" s="7"/>
      <c r="P67" s="7"/>
      <c r="Q67" s="7"/>
      <c r="R67" s="7" t="s">
        <v>797</v>
      </c>
      <c r="S67" s="587">
        <v>62</v>
      </c>
      <c r="T67" s="7"/>
      <c r="U67" s="7"/>
      <c r="V67" s="7"/>
      <c r="W67" s="7"/>
      <c r="X67" s="268"/>
      <c r="Y67" s="268"/>
      <c r="Z67" s="7"/>
      <c r="AA67" s="7"/>
      <c r="AB67" s="7"/>
      <c r="AC67" s="7"/>
    </row>
    <row r="68" spans="1:29">
      <c r="A68" s="7"/>
      <c r="B68" s="7"/>
      <c r="C68" s="590" t="s">
        <v>798</v>
      </c>
      <c r="D68" s="591">
        <v>63</v>
      </c>
      <c r="E68" s="590"/>
      <c r="F68" s="590"/>
      <c r="G68" s="590"/>
      <c r="H68" s="7"/>
      <c r="I68" s="268"/>
      <c r="J68" s="268"/>
      <c r="K68" s="590"/>
      <c r="L68" s="590"/>
      <c r="M68" s="590"/>
      <c r="N68" s="590"/>
      <c r="P68" s="7"/>
      <c r="Q68" s="7"/>
      <c r="R68" s="590" t="s">
        <v>798</v>
      </c>
      <c r="S68" s="591">
        <v>63</v>
      </c>
      <c r="T68" s="590"/>
      <c r="U68" s="590"/>
      <c r="V68" s="590"/>
      <c r="W68" s="7"/>
      <c r="X68" s="268"/>
      <c r="Y68" s="268"/>
      <c r="Z68" s="590"/>
      <c r="AA68" s="590"/>
      <c r="AB68" s="590"/>
      <c r="AC68" s="590"/>
    </row>
    <row r="69" spans="1:29">
      <c r="A69" s="7"/>
      <c r="B69" s="7"/>
      <c r="C69" s="7" t="s">
        <v>799</v>
      </c>
      <c r="D69" s="587">
        <v>64</v>
      </c>
      <c r="E69" s="7"/>
      <c r="F69" s="7"/>
      <c r="G69" s="7"/>
      <c r="H69" s="7"/>
      <c r="I69" s="268"/>
      <c r="J69" s="268"/>
      <c r="K69" s="7"/>
      <c r="L69" s="7"/>
      <c r="M69" s="7"/>
      <c r="N69" s="7"/>
      <c r="P69" s="7"/>
      <c r="Q69" s="7"/>
      <c r="R69" s="7" t="s">
        <v>799</v>
      </c>
      <c r="S69" s="587">
        <v>64</v>
      </c>
      <c r="T69" s="7"/>
      <c r="U69" s="7"/>
      <c r="V69" s="7"/>
      <c r="W69" s="7"/>
      <c r="X69" s="268"/>
      <c r="Y69" s="268"/>
      <c r="Z69" s="7"/>
      <c r="AA69" s="7"/>
      <c r="AB69" s="7"/>
      <c r="AC69" s="7"/>
    </row>
    <row r="70" spans="1:29">
      <c r="A70" s="7"/>
      <c r="B70" s="7"/>
      <c r="C70" s="19" t="s">
        <v>800</v>
      </c>
      <c r="D70" s="18">
        <v>65</v>
      </c>
      <c r="E70" s="19"/>
      <c r="F70" s="19"/>
      <c r="G70" s="19"/>
      <c r="H70" s="8"/>
      <c r="I70" s="15"/>
      <c r="J70" s="15"/>
      <c r="K70" s="19"/>
      <c r="L70" s="19"/>
      <c r="M70" s="19"/>
      <c r="N70" s="19"/>
      <c r="P70" s="7"/>
      <c r="Q70" s="7"/>
      <c r="R70" s="19" t="s">
        <v>800</v>
      </c>
      <c r="S70" s="18">
        <v>65</v>
      </c>
      <c r="T70" s="19"/>
      <c r="U70" s="19"/>
      <c r="V70" s="19"/>
      <c r="W70" s="8"/>
      <c r="X70" s="15"/>
      <c r="Y70" s="15"/>
      <c r="Z70" s="19"/>
      <c r="AA70" s="19"/>
      <c r="AB70" s="19"/>
      <c r="AC70" s="19"/>
    </row>
    <row r="71" spans="1:29">
      <c r="A71" s="7"/>
      <c r="B71" s="7"/>
      <c r="C71" s="8" t="s">
        <v>801</v>
      </c>
      <c r="D71" s="9">
        <v>66</v>
      </c>
      <c r="E71" s="8"/>
      <c r="F71" s="8"/>
      <c r="G71" s="8"/>
      <c r="H71" s="8"/>
      <c r="I71" s="15"/>
      <c r="J71" s="15"/>
      <c r="K71" s="8"/>
      <c r="L71" s="8"/>
      <c r="M71" s="8"/>
      <c r="N71" s="8"/>
      <c r="P71" s="7"/>
      <c r="Q71" s="7"/>
      <c r="R71" s="8" t="s">
        <v>801</v>
      </c>
      <c r="S71" s="9">
        <v>66</v>
      </c>
      <c r="T71" s="8"/>
      <c r="U71" s="8"/>
      <c r="V71" s="8"/>
      <c r="W71" s="8"/>
      <c r="X71" s="15"/>
      <c r="Y71" s="15"/>
      <c r="Z71" s="8"/>
      <c r="AA71" s="8"/>
      <c r="AB71" s="8"/>
      <c r="AC71" s="8"/>
    </row>
    <row r="72" spans="1:29">
      <c r="A72" s="7"/>
      <c r="B72" s="7"/>
      <c r="C72" s="8" t="s">
        <v>802</v>
      </c>
      <c r="D72" s="9">
        <v>67</v>
      </c>
      <c r="E72" s="8"/>
      <c r="F72" s="8"/>
      <c r="G72" s="8"/>
      <c r="H72" s="8"/>
      <c r="I72" s="15"/>
      <c r="J72" s="15"/>
      <c r="K72" s="8"/>
      <c r="L72" s="8"/>
      <c r="M72" s="8"/>
      <c r="N72" s="8"/>
      <c r="P72" s="7"/>
      <c r="Q72" s="7"/>
      <c r="R72" s="8" t="s">
        <v>802</v>
      </c>
      <c r="S72" s="9">
        <v>67</v>
      </c>
      <c r="T72" s="8"/>
      <c r="U72" s="8"/>
      <c r="V72" s="8"/>
      <c r="W72" s="8"/>
      <c r="X72" s="15"/>
      <c r="Y72" s="15"/>
      <c r="Z72" s="8"/>
      <c r="AA72" s="8"/>
      <c r="AB72" s="8"/>
      <c r="AC72" s="8"/>
    </row>
    <row r="73" spans="1:29">
      <c r="A73" s="7"/>
      <c r="B73" s="7"/>
      <c r="C73" s="8" t="s">
        <v>803</v>
      </c>
      <c r="D73" s="9">
        <v>68</v>
      </c>
      <c r="E73" s="8"/>
      <c r="F73" s="8"/>
      <c r="G73" s="8"/>
      <c r="H73" s="8"/>
      <c r="I73" s="15"/>
      <c r="J73" s="15"/>
      <c r="K73" s="8"/>
      <c r="L73" s="8"/>
      <c r="M73" s="8"/>
      <c r="N73" s="8"/>
      <c r="P73" s="7"/>
      <c r="Q73" s="7"/>
      <c r="R73" s="8" t="s">
        <v>803</v>
      </c>
      <c r="S73" s="9">
        <v>68</v>
      </c>
      <c r="T73" s="8"/>
      <c r="U73" s="8"/>
      <c r="V73" s="8"/>
      <c r="W73" s="8"/>
      <c r="X73" s="15"/>
      <c r="Y73" s="15"/>
      <c r="Z73" s="8"/>
      <c r="AA73" s="8"/>
      <c r="AB73" s="8"/>
      <c r="AC73" s="8"/>
    </row>
    <row r="74" spans="1:29">
      <c r="A74" s="7"/>
      <c r="B74" s="7"/>
      <c r="C74" s="8" t="s">
        <v>804</v>
      </c>
      <c r="D74" s="9">
        <v>69</v>
      </c>
      <c r="E74" s="8"/>
      <c r="F74" s="8"/>
      <c r="G74" s="8"/>
      <c r="H74" s="8"/>
      <c r="I74" s="15"/>
      <c r="J74" s="15"/>
      <c r="K74" s="8"/>
      <c r="L74" s="8"/>
      <c r="M74" s="8"/>
      <c r="N74" s="8"/>
      <c r="P74" s="7"/>
      <c r="Q74" s="7"/>
      <c r="R74" s="8" t="s">
        <v>804</v>
      </c>
      <c r="S74" s="9">
        <v>69</v>
      </c>
      <c r="T74" s="8"/>
      <c r="U74" s="8"/>
      <c r="V74" s="8"/>
      <c r="W74" s="8"/>
      <c r="X74" s="15"/>
      <c r="Y74" s="15"/>
      <c r="Z74" s="8"/>
      <c r="AA74" s="8"/>
      <c r="AB74" s="8"/>
      <c r="AC74" s="8"/>
    </row>
    <row r="75" spans="1:29">
      <c r="A75" s="7"/>
      <c r="B75" s="7"/>
      <c r="C75" s="8" t="s">
        <v>805</v>
      </c>
      <c r="D75" s="9">
        <v>70</v>
      </c>
      <c r="E75" s="8"/>
      <c r="F75" s="8"/>
      <c r="G75" s="8"/>
      <c r="H75" s="8"/>
      <c r="I75" s="15"/>
      <c r="J75" s="15"/>
      <c r="K75" s="8"/>
      <c r="L75" s="8"/>
      <c r="M75" s="8"/>
      <c r="N75" s="8"/>
      <c r="P75" s="7"/>
      <c r="Q75" s="7"/>
      <c r="R75" s="8" t="s">
        <v>805</v>
      </c>
      <c r="S75" s="9">
        <v>70</v>
      </c>
      <c r="T75" s="8"/>
      <c r="U75" s="8"/>
      <c r="V75" s="8"/>
      <c r="W75" s="8"/>
      <c r="X75" s="15"/>
      <c r="Y75" s="15"/>
      <c r="Z75" s="8"/>
      <c r="AA75" s="8"/>
      <c r="AB75" s="8"/>
      <c r="AC75" s="8"/>
    </row>
    <row r="76" spans="1:29">
      <c r="A76" s="7"/>
      <c r="B76" s="7"/>
      <c r="C76" s="8" t="s">
        <v>806</v>
      </c>
      <c r="D76" s="9">
        <v>71</v>
      </c>
      <c r="E76" s="8"/>
      <c r="F76" s="8"/>
      <c r="G76" s="8"/>
      <c r="H76" s="8"/>
      <c r="I76" s="15"/>
      <c r="J76" s="15"/>
      <c r="K76" s="8"/>
      <c r="L76" s="8"/>
      <c r="M76" s="8"/>
      <c r="N76" s="8"/>
      <c r="P76" s="7"/>
      <c r="Q76" s="7"/>
      <c r="R76" s="8" t="s">
        <v>806</v>
      </c>
      <c r="S76" s="9">
        <v>71</v>
      </c>
      <c r="T76" s="8"/>
      <c r="U76" s="8"/>
      <c r="V76" s="8"/>
      <c r="W76" s="8"/>
      <c r="X76" s="15"/>
      <c r="Y76" s="15"/>
      <c r="Z76" s="8"/>
      <c r="AA76" s="8"/>
      <c r="AB76" s="8"/>
      <c r="AC76" s="8"/>
    </row>
    <row r="77" spans="1:29">
      <c r="A77" s="7"/>
      <c r="B77" s="7"/>
      <c r="C77" s="8" t="s">
        <v>807</v>
      </c>
      <c r="D77" s="9">
        <v>72</v>
      </c>
      <c r="E77" s="8"/>
      <c r="F77" s="8"/>
      <c r="G77" s="8"/>
      <c r="H77" s="8"/>
      <c r="I77" s="15"/>
      <c r="J77" s="15"/>
      <c r="K77" s="8"/>
      <c r="L77" s="8"/>
      <c r="M77" s="8"/>
      <c r="N77" s="8"/>
      <c r="P77" s="7"/>
      <c r="Q77" s="7"/>
      <c r="R77" s="8" t="s">
        <v>807</v>
      </c>
      <c r="S77" s="9">
        <v>72</v>
      </c>
      <c r="T77" s="8"/>
      <c r="U77" s="8"/>
      <c r="V77" s="8"/>
      <c r="W77" s="8"/>
      <c r="X77" s="15"/>
      <c r="Y77" s="15"/>
      <c r="Z77" s="8"/>
      <c r="AA77" s="8"/>
      <c r="AB77" s="8"/>
      <c r="AC77" s="8"/>
    </row>
    <row r="78" spans="1:29">
      <c r="A78" s="7"/>
      <c r="B78" s="7"/>
      <c r="C78" s="7" t="s">
        <v>233</v>
      </c>
      <c r="D78" s="587">
        <v>73</v>
      </c>
      <c r="E78" s="7"/>
      <c r="F78" s="7"/>
      <c r="G78" s="7"/>
      <c r="H78" s="7"/>
      <c r="I78" s="268"/>
      <c r="J78" s="268"/>
      <c r="K78" s="268"/>
      <c r="L78" s="268"/>
      <c r="M78" s="268"/>
      <c r="N78" s="268"/>
      <c r="P78" s="7"/>
      <c r="Q78" s="7"/>
      <c r="R78" s="7" t="s">
        <v>233</v>
      </c>
      <c r="S78" s="587">
        <v>73</v>
      </c>
      <c r="T78" s="7"/>
      <c r="U78" s="7"/>
      <c r="V78" s="7"/>
      <c r="W78" s="7"/>
      <c r="X78" s="268"/>
      <c r="Y78" s="268"/>
      <c r="Z78" s="268"/>
      <c r="AA78" s="268"/>
      <c r="AB78" s="268"/>
      <c r="AC78" s="268"/>
    </row>
    <row r="79" spans="1:29">
      <c r="A79" s="7"/>
      <c r="B79" s="7"/>
      <c r="C79" s="7" t="s">
        <v>234</v>
      </c>
      <c r="D79" s="587">
        <v>74</v>
      </c>
      <c r="E79" s="7"/>
      <c r="F79" s="7"/>
      <c r="G79" s="7"/>
      <c r="H79" s="7"/>
      <c r="I79" s="268"/>
      <c r="J79" s="268"/>
      <c r="K79" s="268"/>
      <c r="L79" s="268"/>
      <c r="M79" s="268"/>
      <c r="N79" s="268"/>
      <c r="P79" s="7"/>
      <c r="Q79" s="7"/>
      <c r="R79" s="7" t="s">
        <v>234</v>
      </c>
      <c r="S79" s="587">
        <v>74</v>
      </c>
      <c r="T79" s="7"/>
      <c r="U79" s="7"/>
      <c r="V79" s="7"/>
      <c r="W79" s="7"/>
      <c r="X79" s="268"/>
      <c r="Y79" s="268"/>
      <c r="Z79" s="268"/>
      <c r="AA79" s="268"/>
      <c r="AB79" s="268"/>
      <c r="AC79" s="268"/>
    </row>
    <row r="80" spans="1:29">
      <c r="A80" s="7"/>
      <c r="B80" s="7"/>
      <c r="C80" s="7" t="s">
        <v>235</v>
      </c>
      <c r="D80" s="587">
        <v>75</v>
      </c>
      <c r="E80" s="7"/>
      <c r="F80" s="7"/>
      <c r="G80" s="7"/>
      <c r="H80" s="7"/>
      <c r="I80" s="268"/>
      <c r="J80" s="268"/>
      <c r="K80" s="583"/>
      <c r="L80" s="583"/>
      <c r="M80" s="583"/>
      <c r="N80" s="583"/>
      <c r="P80" s="7"/>
      <c r="Q80" s="7"/>
      <c r="R80" s="7" t="s">
        <v>235</v>
      </c>
      <c r="S80" s="587">
        <v>75</v>
      </c>
      <c r="T80" s="7"/>
      <c r="U80" s="7"/>
      <c r="V80" s="7"/>
      <c r="W80" s="7"/>
      <c r="X80" s="268"/>
      <c r="Y80" s="268"/>
      <c r="Z80" s="583"/>
      <c r="AA80" s="583"/>
      <c r="AB80" s="583"/>
      <c r="AC80" s="583"/>
    </row>
    <row r="81" spans="1:29">
      <c r="A81" s="7"/>
      <c r="B81" s="7"/>
      <c r="C81" s="7" t="s">
        <v>236</v>
      </c>
      <c r="D81" s="587">
        <v>76</v>
      </c>
      <c r="E81" s="7"/>
      <c r="F81" s="7"/>
      <c r="G81" s="7"/>
      <c r="H81" s="7"/>
      <c r="I81" s="268"/>
      <c r="J81" s="268"/>
      <c r="K81" s="583"/>
      <c r="L81" s="583"/>
      <c r="M81" s="583"/>
      <c r="N81" s="583"/>
      <c r="P81" s="7"/>
      <c r="Q81" s="7"/>
      <c r="R81" s="7" t="s">
        <v>236</v>
      </c>
      <c r="S81" s="587">
        <v>76</v>
      </c>
      <c r="T81" s="7"/>
      <c r="U81" s="7"/>
      <c r="V81" s="7"/>
      <c r="W81" s="7"/>
      <c r="X81" s="268"/>
      <c r="Y81" s="268"/>
      <c r="Z81" s="583"/>
      <c r="AA81" s="583"/>
      <c r="AB81" s="583"/>
      <c r="AC81" s="583"/>
    </row>
    <row r="82" spans="1:29">
      <c r="A82" s="7"/>
      <c r="B82" s="7"/>
      <c r="C82" s="7" t="s">
        <v>237</v>
      </c>
      <c r="D82" s="587">
        <v>77</v>
      </c>
      <c r="E82" s="7"/>
      <c r="F82" s="7"/>
      <c r="G82" s="7"/>
      <c r="H82" s="7"/>
      <c r="I82" s="268"/>
      <c r="J82" s="268"/>
      <c r="K82" s="583"/>
      <c r="L82" s="583"/>
      <c r="M82" s="583"/>
      <c r="N82" s="583"/>
      <c r="P82" s="7"/>
      <c r="Q82" s="7"/>
      <c r="R82" s="7" t="s">
        <v>237</v>
      </c>
      <c r="S82" s="587">
        <v>77</v>
      </c>
      <c r="T82" s="7"/>
      <c r="U82" s="7"/>
      <c r="V82" s="7"/>
      <c r="W82" s="7"/>
      <c r="X82" s="268"/>
      <c r="Y82" s="268"/>
      <c r="Z82" s="583"/>
      <c r="AA82" s="583"/>
      <c r="AB82" s="583"/>
      <c r="AC82" s="583"/>
    </row>
    <row r="83" spans="1:29">
      <c r="A83" s="7"/>
      <c r="B83" s="7"/>
      <c r="C83" s="7" t="s">
        <v>238</v>
      </c>
      <c r="D83" s="587">
        <v>78</v>
      </c>
      <c r="E83" s="7"/>
      <c r="F83" s="7"/>
      <c r="G83" s="7"/>
      <c r="H83" s="7"/>
      <c r="I83" s="268"/>
      <c r="J83" s="268"/>
      <c r="K83" s="7"/>
      <c r="L83" s="7"/>
      <c r="M83" s="7"/>
      <c r="N83" s="7"/>
      <c r="P83" s="7"/>
      <c r="Q83" s="7"/>
      <c r="R83" s="7" t="s">
        <v>238</v>
      </c>
      <c r="S83" s="587">
        <v>78</v>
      </c>
      <c r="T83" s="7"/>
      <c r="U83" s="7"/>
      <c r="V83" s="7"/>
      <c r="W83" s="7"/>
      <c r="X83" s="268"/>
      <c r="Y83" s="268"/>
      <c r="Z83" s="7"/>
      <c r="AA83" s="7"/>
      <c r="AB83" s="7"/>
      <c r="AC83" s="7"/>
    </row>
    <row r="84" spans="1:29">
      <c r="A84" s="7"/>
      <c r="B84" s="7"/>
      <c r="C84" s="7" t="s">
        <v>239</v>
      </c>
      <c r="D84" s="587">
        <v>79</v>
      </c>
      <c r="E84" s="7"/>
      <c r="F84" s="7"/>
      <c r="G84" s="7"/>
      <c r="H84" s="7"/>
      <c r="I84" s="268"/>
      <c r="J84" s="268"/>
      <c r="K84" s="7"/>
      <c r="L84" s="7"/>
      <c r="M84" s="7"/>
      <c r="N84" s="7"/>
      <c r="P84" s="7"/>
      <c r="Q84" s="7"/>
      <c r="R84" s="7" t="s">
        <v>239</v>
      </c>
      <c r="S84" s="587">
        <v>79</v>
      </c>
      <c r="T84" s="7"/>
      <c r="U84" s="7"/>
      <c r="V84" s="7"/>
      <c r="W84" s="7"/>
      <c r="X84" s="268"/>
      <c r="Y84" s="268"/>
      <c r="Z84" s="7"/>
      <c r="AA84" s="7"/>
      <c r="AB84" s="7"/>
      <c r="AC84" s="7"/>
    </row>
    <row r="85" spans="1:29">
      <c r="A85" s="7"/>
      <c r="B85" s="7"/>
      <c r="C85" s="7" t="s">
        <v>240</v>
      </c>
      <c r="D85" s="587">
        <v>80</v>
      </c>
      <c r="E85" s="7"/>
      <c r="F85" s="7"/>
      <c r="G85" s="7"/>
      <c r="H85" s="7"/>
      <c r="I85" s="268"/>
      <c r="J85" s="268"/>
      <c r="K85" s="7"/>
      <c r="L85" s="7"/>
      <c r="M85" s="7"/>
      <c r="N85" s="7"/>
      <c r="P85" s="7"/>
      <c r="Q85" s="7"/>
      <c r="R85" s="7" t="s">
        <v>240</v>
      </c>
      <c r="S85" s="587">
        <v>80</v>
      </c>
      <c r="T85" s="7"/>
      <c r="U85" s="7"/>
      <c r="V85" s="7"/>
      <c r="W85" s="7"/>
      <c r="X85" s="268"/>
      <c r="Y85" s="268"/>
      <c r="Z85" s="7"/>
      <c r="AA85" s="7"/>
      <c r="AB85" s="7"/>
      <c r="AC85" s="7"/>
    </row>
    <row r="86" spans="1:29">
      <c r="A86" s="7"/>
      <c r="B86" s="7"/>
      <c r="C86" s="8" t="s">
        <v>241</v>
      </c>
      <c r="D86" s="9">
        <v>81</v>
      </c>
      <c r="E86" s="8"/>
      <c r="F86" s="8"/>
      <c r="G86" s="8"/>
      <c r="H86" s="8"/>
      <c r="I86" s="15"/>
      <c r="J86" s="15"/>
      <c r="K86" s="8"/>
      <c r="L86" s="8"/>
      <c r="M86" s="8"/>
      <c r="N86" s="8"/>
      <c r="P86" s="7"/>
      <c r="Q86" s="7"/>
      <c r="R86" s="8" t="s">
        <v>241</v>
      </c>
      <c r="S86" s="9">
        <v>81</v>
      </c>
      <c r="T86" s="8"/>
      <c r="U86" s="8"/>
      <c r="V86" s="8"/>
      <c r="W86" s="8"/>
      <c r="X86" s="15"/>
      <c r="Y86" s="15"/>
      <c r="Z86" s="8"/>
      <c r="AA86" s="8"/>
      <c r="AB86" s="8"/>
      <c r="AC86" s="8"/>
    </row>
    <row r="87" spans="1:29">
      <c r="A87" s="7"/>
      <c r="B87" s="7"/>
      <c r="C87" s="8" t="s">
        <v>242</v>
      </c>
      <c r="D87" s="9">
        <v>82</v>
      </c>
      <c r="E87" s="8"/>
      <c r="F87" s="8"/>
      <c r="G87" s="8"/>
      <c r="H87" s="8"/>
      <c r="I87" s="15"/>
      <c r="J87" s="15"/>
      <c r="K87" s="8"/>
      <c r="L87" s="8"/>
      <c r="M87" s="8"/>
      <c r="N87" s="8"/>
      <c r="P87" s="7"/>
      <c r="Q87" s="7"/>
      <c r="R87" s="8" t="s">
        <v>242</v>
      </c>
      <c r="S87" s="9">
        <v>82</v>
      </c>
      <c r="T87" s="8"/>
      <c r="U87" s="8"/>
      <c r="V87" s="8"/>
      <c r="W87" s="8"/>
      <c r="X87" s="15"/>
      <c r="Y87" s="15"/>
      <c r="Z87" s="8"/>
      <c r="AA87" s="8"/>
      <c r="AB87" s="8"/>
      <c r="AC87" s="8"/>
    </row>
    <row r="88" spans="1:29">
      <c r="A88" s="7"/>
      <c r="B88" s="7"/>
      <c r="C88" s="8" t="s">
        <v>243</v>
      </c>
      <c r="D88" s="9">
        <v>83</v>
      </c>
      <c r="E88" s="8"/>
      <c r="F88" s="8"/>
      <c r="G88" s="8"/>
      <c r="H88" s="8"/>
      <c r="I88" s="15"/>
      <c r="J88" s="15"/>
      <c r="K88" s="8"/>
      <c r="L88" s="8"/>
      <c r="M88" s="8"/>
      <c r="N88" s="8"/>
      <c r="P88" s="7"/>
      <c r="Q88" s="7"/>
      <c r="R88" s="8" t="s">
        <v>243</v>
      </c>
      <c r="S88" s="9">
        <v>83</v>
      </c>
      <c r="T88" s="8"/>
      <c r="U88" s="8"/>
      <c r="V88" s="8"/>
      <c r="W88" s="8"/>
      <c r="X88" s="15"/>
      <c r="Y88" s="15"/>
      <c r="Z88" s="8"/>
      <c r="AA88" s="8"/>
      <c r="AB88" s="8"/>
      <c r="AC88" s="8"/>
    </row>
    <row r="89" spans="1:29">
      <c r="A89" s="7"/>
      <c r="B89" s="7"/>
      <c r="C89" s="8" t="s">
        <v>244</v>
      </c>
      <c r="D89" s="9">
        <v>84</v>
      </c>
      <c r="E89" s="8"/>
      <c r="F89" s="8"/>
      <c r="G89" s="8"/>
      <c r="H89" s="8"/>
      <c r="I89" s="15"/>
      <c r="J89" s="15"/>
      <c r="K89" s="8"/>
      <c r="L89" s="8"/>
      <c r="M89" s="8"/>
      <c r="N89" s="8"/>
      <c r="P89" s="7"/>
      <c r="Q89" s="7"/>
      <c r="R89" s="8" t="s">
        <v>244</v>
      </c>
      <c r="S89" s="9">
        <v>84</v>
      </c>
      <c r="T89" s="8"/>
      <c r="U89" s="8"/>
      <c r="V89" s="8"/>
      <c r="W89" s="8"/>
      <c r="X89" s="15"/>
      <c r="Y89" s="15"/>
      <c r="Z89" s="8"/>
      <c r="AA89" s="8"/>
      <c r="AB89" s="8"/>
      <c r="AC89" s="8"/>
    </row>
    <row r="90" spans="1:29">
      <c r="A90" s="7"/>
      <c r="B90" s="7"/>
      <c r="C90" s="8" t="s">
        <v>245</v>
      </c>
      <c r="D90" s="9">
        <v>85</v>
      </c>
      <c r="E90" s="8"/>
      <c r="F90" s="8"/>
      <c r="G90" s="8"/>
      <c r="H90" s="8"/>
      <c r="I90" s="15"/>
      <c r="J90" s="15"/>
      <c r="K90" s="8"/>
      <c r="L90" s="8"/>
      <c r="M90" s="8"/>
      <c r="N90" s="8"/>
      <c r="P90" s="7"/>
      <c r="Q90" s="7"/>
      <c r="R90" s="8" t="s">
        <v>245</v>
      </c>
      <c r="S90" s="9">
        <v>85</v>
      </c>
      <c r="T90" s="8"/>
      <c r="U90" s="8"/>
      <c r="V90" s="8"/>
      <c r="W90" s="8"/>
      <c r="X90" s="15"/>
      <c r="Y90" s="15"/>
      <c r="Z90" s="8"/>
      <c r="AA90" s="8"/>
      <c r="AB90" s="8"/>
      <c r="AC90" s="8"/>
    </row>
    <row r="91" spans="1:29">
      <c r="A91" s="7"/>
      <c r="B91" s="7"/>
      <c r="C91" s="8" t="s">
        <v>246</v>
      </c>
      <c r="D91" s="9">
        <v>86</v>
      </c>
      <c r="E91" s="8"/>
      <c r="F91" s="8"/>
      <c r="G91" s="8"/>
      <c r="H91" s="8"/>
      <c r="I91" s="15"/>
      <c r="J91" s="15"/>
      <c r="K91" s="8"/>
      <c r="L91" s="8"/>
      <c r="M91" s="8"/>
      <c r="N91" s="8"/>
      <c r="P91" s="7"/>
      <c r="Q91" s="7"/>
      <c r="R91" s="8" t="s">
        <v>246</v>
      </c>
      <c r="S91" s="9">
        <v>86</v>
      </c>
      <c r="T91" s="8"/>
      <c r="U91" s="8"/>
      <c r="V91" s="8"/>
      <c r="W91" s="8"/>
      <c r="X91" s="15"/>
      <c r="Y91" s="15"/>
      <c r="Z91" s="8"/>
      <c r="AA91" s="8"/>
      <c r="AB91" s="8"/>
      <c r="AC91" s="8"/>
    </row>
    <row r="92" spans="1:29">
      <c r="A92" s="7"/>
      <c r="B92" s="7"/>
      <c r="C92" s="73" t="s">
        <v>247</v>
      </c>
      <c r="D92" s="71">
        <v>87</v>
      </c>
      <c r="E92" s="73"/>
      <c r="F92" s="73"/>
      <c r="G92" s="73"/>
      <c r="H92" s="8"/>
      <c r="I92" s="15"/>
      <c r="J92" s="15"/>
      <c r="K92" s="73"/>
      <c r="L92" s="73"/>
      <c r="M92" s="73"/>
      <c r="N92" s="73"/>
      <c r="P92" s="7"/>
      <c r="Q92" s="7"/>
      <c r="R92" s="73" t="s">
        <v>247</v>
      </c>
      <c r="S92" s="71">
        <v>87</v>
      </c>
      <c r="T92" s="73"/>
      <c r="U92" s="73"/>
      <c r="V92" s="73"/>
      <c r="W92" s="8"/>
      <c r="X92" s="15"/>
      <c r="Y92" s="15"/>
      <c r="Z92" s="73"/>
      <c r="AA92" s="73"/>
      <c r="AB92" s="73"/>
      <c r="AC92" s="73"/>
    </row>
    <row r="93" spans="1:29">
      <c r="A93" s="7"/>
      <c r="B93" s="7"/>
      <c r="C93" s="8" t="s">
        <v>248</v>
      </c>
      <c r="D93" s="9">
        <v>88</v>
      </c>
      <c r="E93" s="8"/>
      <c r="F93" s="8"/>
      <c r="G93" s="8"/>
      <c r="H93" s="8"/>
      <c r="I93" s="15"/>
      <c r="J93" s="15"/>
      <c r="K93" s="8"/>
      <c r="L93" s="8"/>
      <c r="M93" s="8"/>
      <c r="N93" s="8"/>
      <c r="P93" s="7"/>
      <c r="Q93" s="7"/>
      <c r="R93" s="8" t="s">
        <v>248</v>
      </c>
      <c r="S93" s="9">
        <v>88</v>
      </c>
      <c r="T93" s="8"/>
      <c r="U93" s="8"/>
      <c r="V93" s="8"/>
      <c r="W93" s="8"/>
      <c r="X93" s="15"/>
      <c r="Y93" s="15"/>
      <c r="Z93" s="8"/>
      <c r="AA93" s="8"/>
      <c r="AB93" s="8"/>
      <c r="AC93" s="8"/>
    </row>
    <row r="94" spans="1:29">
      <c r="A94" s="7"/>
      <c r="B94" s="7"/>
      <c r="C94" s="588" t="s">
        <v>249</v>
      </c>
      <c r="D94" s="589">
        <v>89</v>
      </c>
      <c r="E94" s="588"/>
      <c r="F94" s="588"/>
      <c r="G94" s="588"/>
      <c r="H94" s="7"/>
      <c r="I94" s="268"/>
      <c r="J94" s="268"/>
      <c r="K94" s="588"/>
      <c r="L94" s="588"/>
      <c r="M94" s="588"/>
      <c r="N94" s="588"/>
      <c r="P94" s="7"/>
      <c r="Q94" s="7"/>
      <c r="R94" s="588" t="s">
        <v>249</v>
      </c>
      <c r="S94" s="589">
        <v>89</v>
      </c>
      <c r="T94" s="588"/>
      <c r="U94" s="588"/>
      <c r="V94" s="588"/>
      <c r="W94" s="7"/>
      <c r="X94" s="268"/>
      <c r="Y94" s="268"/>
      <c r="Z94" s="588"/>
      <c r="AA94" s="588"/>
      <c r="AB94" s="588"/>
      <c r="AC94" s="588"/>
    </row>
    <row r="95" spans="1:29">
      <c r="A95" s="7"/>
      <c r="B95" s="7"/>
      <c r="C95" s="7" t="s">
        <v>250</v>
      </c>
      <c r="D95" s="587">
        <v>90</v>
      </c>
      <c r="E95" s="7"/>
      <c r="F95" s="7"/>
      <c r="G95" s="7"/>
      <c r="H95" s="7"/>
      <c r="I95" s="268"/>
      <c r="J95" s="268"/>
      <c r="K95" s="7"/>
      <c r="L95" s="7"/>
      <c r="M95" s="7"/>
      <c r="N95" s="7"/>
      <c r="P95" s="7"/>
      <c r="Q95" s="7"/>
      <c r="R95" s="7" t="s">
        <v>250</v>
      </c>
      <c r="S95" s="587">
        <v>90</v>
      </c>
      <c r="T95" s="7"/>
      <c r="U95" s="7"/>
      <c r="V95" s="7"/>
      <c r="W95" s="7"/>
      <c r="X95" s="268"/>
      <c r="Y95" s="268"/>
      <c r="Z95" s="7"/>
      <c r="AA95" s="7"/>
      <c r="AB95" s="7"/>
      <c r="AC95" s="7"/>
    </row>
    <row r="96" spans="1:29">
      <c r="A96" s="7"/>
      <c r="B96" s="7"/>
      <c r="C96" s="7" t="s">
        <v>251</v>
      </c>
      <c r="D96" s="587">
        <v>91</v>
      </c>
      <c r="E96" s="7"/>
      <c r="F96" s="7"/>
      <c r="G96" s="7"/>
      <c r="H96" s="7"/>
      <c r="I96" s="268"/>
      <c r="J96" s="268"/>
      <c r="K96" s="7"/>
      <c r="L96" s="7"/>
      <c r="M96" s="7"/>
      <c r="N96" s="7"/>
      <c r="P96" s="7"/>
      <c r="Q96" s="7"/>
      <c r="R96" s="7" t="s">
        <v>251</v>
      </c>
      <c r="S96" s="587">
        <v>91</v>
      </c>
      <c r="T96" s="7"/>
      <c r="U96" s="7"/>
      <c r="V96" s="7"/>
      <c r="W96" s="7"/>
      <c r="X96" s="268"/>
      <c r="Y96" s="268"/>
      <c r="Z96" s="7"/>
      <c r="AA96" s="7"/>
      <c r="AB96" s="7"/>
      <c r="AC96" s="7"/>
    </row>
    <row r="97" spans="1:29">
      <c r="A97" s="7"/>
      <c r="B97" s="7"/>
      <c r="C97" s="7" t="s">
        <v>252</v>
      </c>
      <c r="D97" s="587">
        <v>92</v>
      </c>
      <c r="E97" s="7"/>
      <c r="F97" s="7"/>
      <c r="G97" s="7"/>
      <c r="H97" s="7"/>
      <c r="I97" s="268"/>
      <c r="J97" s="268"/>
      <c r="K97" s="7"/>
      <c r="L97" s="7"/>
      <c r="M97" s="7"/>
      <c r="N97" s="7"/>
      <c r="P97" s="7"/>
      <c r="Q97" s="7"/>
      <c r="R97" s="7" t="s">
        <v>252</v>
      </c>
      <c r="S97" s="587">
        <v>92</v>
      </c>
      <c r="T97" s="7"/>
      <c r="U97" s="7"/>
      <c r="V97" s="7"/>
      <c r="W97" s="7"/>
      <c r="X97" s="268"/>
      <c r="Y97" s="268"/>
      <c r="Z97" s="7"/>
      <c r="AA97" s="7"/>
      <c r="AB97" s="7"/>
      <c r="AC97" s="7"/>
    </row>
    <row r="98" spans="1:29">
      <c r="A98" s="7"/>
      <c r="B98" s="7"/>
      <c r="C98" s="7" t="s">
        <v>253</v>
      </c>
      <c r="D98" s="587">
        <v>93</v>
      </c>
      <c r="E98" s="7"/>
      <c r="F98" s="7"/>
      <c r="G98" s="7"/>
      <c r="H98" s="7"/>
      <c r="I98" s="268"/>
      <c r="J98" s="268"/>
      <c r="K98" s="7"/>
      <c r="L98" s="7"/>
      <c r="M98" s="7"/>
      <c r="N98" s="7"/>
      <c r="P98" s="7"/>
      <c r="Q98" s="7"/>
      <c r="R98" s="7" t="s">
        <v>253</v>
      </c>
      <c r="S98" s="587">
        <v>93</v>
      </c>
      <c r="T98" s="7"/>
      <c r="U98" s="7"/>
      <c r="V98" s="7"/>
      <c r="W98" s="7"/>
      <c r="X98" s="268"/>
      <c r="Y98" s="268"/>
      <c r="Z98" s="7"/>
      <c r="AA98" s="7"/>
      <c r="AB98" s="7"/>
      <c r="AC98" s="7"/>
    </row>
    <row r="99" spans="1:29">
      <c r="A99" s="7"/>
      <c r="B99" s="7"/>
      <c r="C99" s="7" t="s">
        <v>254</v>
      </c>
      <c r="D99" s="587">
        <v>94</v>
      </c>
      <c r="E99" s="7"/>
      <c r="F99" s="7"/>
      <c r="G99" s="7"/>
      <c r="H99" s="7"/>
      <c r="I99" s="268"/>
      <c r="J99" s="268"/>
      <c r="K99" s="7"/>
      <c r="L99" s="7"/>
      <c r="M99" s="7"/>
      <c r="N99" s="7"/>
      <c r="P99" s="7"/>
      <c r="Q99" s="7"/>
      <c r="R99" s="7" t="s">
        <v>254</v>
      </c>
      <c r="S99" s="587">
        <v>94</v>
      </c>
      <c r="T99" s="7"/>
      <c r="U99" s="7"/>
      <c r="V99" s="7"/>
      <c r="W99" s="7"/>
      <c r="X99" s="268"/>
      <c r="Y99" s="268"/>
      <c r="Z99" s="7"/>
      <c r="AA99" s="7"/>
      <c r="AB99" s="7"/>
      <c r="AC99" s="7"/>
    </row>
    <row r="100" spans="1:29">
      <c r="A100" s="7"/>
      <c r="B100" s="7"/>
      <c r="C100" s="7" t="s">
        <v>255</v>
      </c>
      <c r="D100" s="587">
        <v>95</v>
      </c>
      <c r="E100" s="7"/>
      <c r="F100" s="7"/>
      <c r="G100" s="7"/>
      <c r="H100" s="7"/>
      <c r="I100" s="268"/>
      <c r="J100" s="268"/>
      <c r="K100" s="7"/>
      <c r="L100" s="7"/>
      <c r="M100" s="7"/>
      <c r="N100" s="7"/>
      <c r="P100" s="7"/>
      <c r="Q100" s="7"/>
      <c r="R100" s="7" t="s">
        <v>255</v>
      </c>
      <c r="S100" s="587">
        <v>95</v>
      </c>
      <c r="T100" s="7"/>
      <c r="U100" s="7"/>
      <c r="V100" s="7"/>
      <c r="W100" s="7"/>
      <c r="X100" s="268"/>
      <c r="Y100" s="268"/>
      <c r="Z100" s="7"/>
      <c r="AA100" s="7"/>
      <c r="AB100" s="7"/>
      <c r="AC100" s="7"/>
    </row>
    <row r="101" spans="1:29">
      <c r="A101" s="7"/>
      <c r="B101" s="7"/>
      <c r="C101" s="7" t="s">
        <v>256</v>
      </c>
      <c r="D101" s="587">
        <v>96</v>
      </c>
      <c r="E101" s="7"/>
      <c r="F101" s="7"/>
      <c r="G101" s="7"/>
      <c r="H101" s="7"/>
      <c r="I101" s="268"/>
      <c r="J101" s="268"/>
      <c r="K101" s="7"/>
      <c r="L101" s="7"/>
      <c r="M101" s="7"/>
      <c r="N101" s="7"/>
      <c r="P101" s="7"/>
      <c r="Q101" s="7"/>
      <c r="R101" s="7" t="s">
        <v>256</v>
      </c>
      <c r="S101" s="587">
        <v>96</v>
      </c>
      <c r="T101" s="7"/>
      <c r="U101" s="7"/>
      <c r="V101" s="7"/>
      <c r="W101" s="7"/>
      <c r="X101" s="268"/>
      <c r="Y101" s="268"/>
      <c r="Z101" s="7"/>
      <c r="AA101" s="7"/>
      <c r="AB101" s="7"/>
      <c r="AC101" s="7"/>
    </row>
  </sheetData>
  <customSheetViews>
    <customSheetView guid="{A4BD9991-0908-4EDC-898A-8A5DE615ED00}" scale="70" showPageBreaks="1" fitToPage="1" view="pageLayout">
      <selection activeCell="H25" sqref="H25"/>
      <pageMargins left="0.25" right="0.25" top="0.75" bottom="0.75" header="0.3" footer="0.3"/>
      <pageSetup scale="36" fitToHeight="0" orientation="landscape" r:id="rId1"/>
      <headerFooter>
        <oddFooter>&amp;L&amp;D</oddFooter>
      </headerFooter>
    </customSheetView>
  </customSheetViews>
  <mergeCells count="26">
    <mergeCell ref="AC3:AC4"/>
    <mergeCell ref="U3:U4"/>
    <mergeCell ref="N3:N4"/>
    <mergeCell ref="AB3:AB4"/>
    <mergeCell ref="T3:T4"/>
    <mergeCell ref="M3:M4"/>
    <mergeCell ref="K3:K4"/>
    <mergeCell ref="L3:L4"/>
    <mergeCell ref="R3:R4"/>
    <mergeCell ref="S3:S4"/>
    <mergeCell ref="P1:AA2"/>
    <mergeCell ref="AA3:AA4"/>
    <mergeCell ref="A1:N2"/>
    <mergeCell ref="J3:J4"/>
    <mergeCell ref="Y3:Y4"/>
    <mergeCell ref="G3:G4"/>
    <mergeCell ref="V3:V4"/>
    <mergeCell ref="A3:A4"/>
    <mergeCell ref="B3:B4"/>
    <mergeCell ref="C3:C4"/>
    <mergeCell ref="D3:D4"/>
    <mergeCell ref="E3:E4"/>
    <mergeCell ref="F3:F4"/>
    <mergeCell ref="P3:P4"/>
    <mergeCell ref="Q3:Q4"/>
    <mergeCell ref="Z3:Z4"/>
  </mergeCells>
  <pageMargins left="0.25" right="0.25" top="0.75" bottom="0.75" header="0.3" footer="0.3"/>
  <pageSetup scale="36" fitToHeight="0" orientation="landscape" r:id="rId2"/>
  <headerFooter>
    <oddFooter>&amp;L&amp;D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132D-1608-40D4-BF61-19D81F0CF9DA}">
  <sheetPr codeName="Sheet5">
    <tabColor theme="3" tint="-0.249977111117893"/>
  </sheetPr>
  <dimension ref="A1:Q21"/>
  <sheetViews>
    <sheetView zoomScale="85" zoomScaleNormal="85" workbookViewId="0">
      <selection activeCell="N4" sqref="N4"/>
    </sheetView>
  </sheetViews>
  <sheetFormatPr defaultRowHeight="15"/>
  <cols>
    <col min="4" max="6" width="11.85546875" customWidth="1"/>
    <col min="8" max="8" width="10.85546875" customWidth="1"/>
    <col min="12" max="12" width="12.5703125" customWidth="1"/>
    <col min="16" max="16" width="10.140625" bestFit="1" customWidth="1"/>
  </cols>
  <sheetData>
    <row r="1" spans="1:17">
      <c r="A1" s="753" t="s">
        <v>1126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5"/>
    </row>
    <row r="2" spans="1:17" ht="15.75" thickBot="1">
      <c r="A2" s="756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8"/>
    </row>
    <row r="3" spans="1:17" ht="63.75" customHeight="1">
      <c r="A3" s="892" t="s">
        <v>574</v>
      </c>
      <c r="B3" s="892" t="s">
        <v>597</v>
      </c>
      <c r="C3" s="892" t="s">
        <v>275</v>
      </c>
      <c r="D3" s="892" t="s">
        <v>1122</v>
      </c>
      <c r="E3" s="891" t="s">
        <v>594</v>
      </c>
      <c r="F3" s="891" t="s">
        <v>595</v>
      </c>
      <c r="G3" s="892" t="s">
        <v>1107</v>
      </c>
      <c r="H3" s="892" t="s">
        <v>5984</v>
      </c>
      <c r="I3" s="892" t="s">
        <v>5986</v>
      </c>
      <c r="J3" s="892" t="s">
        <v>1125</v>
      </c>
      <c r="K3" s="892" t="s">
        <v>1124</v>
      </c>
      <c r="L3" s="892" t="s">
        <v>1123</v>
      </c>
      <c r="M3" s="892" t="s">
        <v>1108</v>
      </c>
      <c r="N3" s="892" t="s">
        <v>1109</v>
      </c>
      <c r="O3" s="892" t="s">
        <v>1110</v>
      </c>
      <c r="P3" s="893" t="s">
        <v>810</v>
      </c>
      <c r="Q3" s="580" t="s">
        <v>1111</v>
      </c>
    </row>
    <row r="4" spans="1:17">
      <c r="A4" s="8"/>
      <c r="B4" s="8"/>
      <c r="C4" s="8" t="s">
        <v>736</v>
      </c>
      <c r="D4" s="9">
        <v>1</v>
      </c>
      <c r="E4" s="9"/>
      <c r="F4" s="9"/>
      <c r="G4" s="8"/>
      <c r="H4" s="8"/>
      <c r="I4" s="8"/>
      <c r="J4" s="15"/>
      <c r="K4" s="15"/>
      <c r="L4" s="64"/>
      <c r="M4" s="8"/>
      <c r="N4" s="8"/>
      <c r="O4" s="15">
        <f>M4*N4</f>
        <v>0</v>
      </c>
      <c r="P4" s="64"/>
    </row>
    <row r="5" spans="1:17">
      <c r="A5" s="8"/>
      <c r="B5" s="8"/>
      <c r="C5" s="8" t="s">
        <v>737</v>
      </c>
      <c r="D5" s="9">
        <v>2</v>
      </c>
      <c r="E5" s="9"/>
      <c r="F5" s="9"/>
      <c r="G5" s="8"/>
      <c r="H5" s="8"/>
      <c r="I5" s="8"/>
      <c r="J5" s="15"/>
      <c r="K5" s="15"/>
      <c r="L5" s="64"/>
      <c r="M5" s="8"/>
      <c r="N5" s="8"/>
      <c r="O5" s="15">
        <f t="shared" ref="O5:O19" si="0">M5*N5</f>
        <v>0</v>
      </c>
      <c r="P5" s="64"/>
    </row>
    <row r="6" spans="1:17">
      <c r="A6" s="8"/>
      <c r="B6" s="8"/>
      <c r="C6" s="8" t="s">
        <v>738</v>
      </c>
      <c r="D6" s="9">
        <v>3</v>
      </c>
      <c r="E6" s="9"/>
      <c r="F6" s="9"/>
      <c r="G6" s="8"/>
      <c r="H6" s="8"/>
      <c r="I6" s="8"/>
      <c r="J6" s="15"/>
      <c r="K6" s="15"/>
      <c r="L6" s="64"/>
      <c r="M6" s="8"/>
      <c r="N6" s="8"/>
      <c r="O6" s="15">
        <f t="shared" si="0"/>
        <v>0</v>
      </c>
      <c r="P6" s="64"/>
    </row>
    <row r="7" spans="1:17">
      <c r="A7" s="8"/>
      <c r="B7" s="8"/>
      <c r="C7" s="8" t="s">
        <v>739</v>
      </c>
      <c r="D7" s="9">
        <v>4</v>
      </c>
      <c r="E7" s="9"/>
      <c r="F7" s="9"/>
      <c r="G7" s="8"/>
      <c r="H7" s="8"/>
      <c r="I7" s="8"/>
      <c r="J7" s="15"/>
      <c r="K7" s="15"/>
      <c r="L7" s="64"/>
      <c r="M7" s="8"/>
      <c r="N7" s="8"/>
      <c r="O7" s="15">
        <f t="shared" si="0"/>
        <v>0</v>
      </c>
      <c r="P7" s="64"/>
    </row>
    <row r="8" spans="1:17">
      <c r="A8" s="8"/>
      <c r="B8" s="8"/>
      <c r="C8" s="8" t="s">
        <v>740</v>
      </c>
      <c r="D8" s="9">
        <v>5</v>
      </c>
      <c r="E8" s="9"/>
      <c r="F8" s="9"/>
      <c r="G8" s="8"/>
      <c r="H8" s="8"/>
      <c r="I8" s="8"/>
      <c r="J8" s="15"/>
      <c r="K8" s="15"/>
      <c r="L8" s="64"/>
      <c r="M8" s="8"/>
      <c r="N8" s="8"/>
      <c r="O8" s="15">
        <f t="shared" si="0"/>
        <v>0</v>
      </c>
      <c r="P8" s="64"/>
    </row>
    <row r="9" spans="1:17">
      <c r="A9" s="8"/>
      <c r="B9" s="8"/>
      <c r="C9" s="8" t="s">
        <v>741</v>
      </c>
      <c r="D9" s="9">
        <v>6</v>
      </c>
      <c r="E9" s="9"/>
      <c r="F9" s="9"/>
      <c r="G9" s="8"/>
      <c r="H9" s="8"/>
      <c r="I9" s="8"/>
      <c r="J9" s="15"/>
      <c r="K9" s="15"/>
      <c r="L9" s="64"/>
      <c r="M9" s="8"/>
      <c r="N9" s="8"/>
      <c r="O9" s="15">
        <f t="shared" si="0"/>
        <v>0</v>
      </c>
      <c r="P9" s="64"/>
    </row>
    <row r="10" spans="1:17">
      <c r="A10" s="8"/>
      <c r="B10" s="8"/>
      <c r="C10" s="8" t="s">
        <v>742</v>
      </c>
      <c r="D10" s="9">
        <v>7</v>
      </c>
      <c r="E10" s="9"/>
      <c r="F10" s="9"/>
      <c r="G10" s="8"/>
      <c r="H10" s="8"/>
      <c r="I10" s="8"/>
      <c r="J10" s="15"/>
      <c r="K10" s="15"/>
      <c r="L10" s="64"/>
      <c r="M10" s="8"/>
      <c r="N10" s="8"/>
      <c r="O10" s="15">
        <f t="shared" si="0"/>
        <v>0</v>
      </c>
      <c r="P10" s="64"/>
    </row>
    <row r="11" spans="1:17">
      <c r="A11" s="8"/>
      <c r="B11" s="8"/>
      <c r="C11" s="8" t="s">
        <v>743</v>
      </c>
      <c r="D11" s="9">
        <v>8</v>
      </c>
      <c r="E11" s="9"/>
      <c r="F11" s="9"/>
      <c r="G11" s="8"/>
      <c r="H11" s="8"/>
      <c r="I11" s="8"/>
      <c r="J11" s="15"/>
      <c r="K11" s="15"/>
      <c r="L11" s="64"/>
      <c r="M11" s="8"/>
      <c r="N11" s="8"/>
      <c r="O11" s="15">
        <f t="shared" si="0"/>
        <v>0</v>
      </c>
      <c r="P11" s="64"/>
    </row>
    <row r="12" spans="1:17">
      <c r="A12" s="1"/>
      <c r="B12" s="1"/>
      <c r="C12" s="1" t="s">
        <v>744</v>
      </c>
      <c r="D12" s="10">
        <v>9</v>
      </c>
      <c r="E12" s="10"/>
      <c r="F12" s="10"/>
      <c r="G12" s="1"/>
      <c r="H12" s="1"/>
      <c r="I12" s="1"/>
      <c r="J12" s="6"/>
      <c r="K12" s="6"/>
      <c r="L12" s="584"/>
      <c r="M12" s="1"/>
      <c r="N12" s="1"/>
      <c r="O12" s="268">
        <f t="shared" si="0"/>
        <v>0</v>
      </c>
      <c r="P12" s="584"/>
    </row>
    <row r="13" spans="1:17">
      <c r="A13" s="1"/>
      <c r="B13" s="1"/>
      <c r="C13" s="1" t="s">
        <v>745</v>
      </c>
      <c r="D13" s="10">
        <v>10</v>
      </c>
      <c r="E13" s="10"/>
      <c r="F13" s="10"/>
      <c r="G13" s="1"/>
      <c r="H13" s="1"/>
      <c r="I13" s="1"/>
      <c r="J13" s="6"/>
      <c r="K13" s="6"/>
      <c r="L13" s="584"/>
      <c r="M13" s="1"/>
      <c r="N13" s="1"/>
      <c r="O13" s="268">
        <f t="shared" si="0"/>
        <v>0</v>
      </c>
      <c r="P13" s="584"/>
    </row>
    <row r="14" spans="1:17">
      <c r="A14" s="1"/>
      <c r="B14" s="1"/>
      <c r="C14" s="1" t="s">
        <v>746</v>
      </c>
      <c r="D14" s="10">
        <v>11</v>
      </c>
      <c r="E14" s="10"/>
      <c r="F14" s="10"/>
      <c r="G14" s="1"/>
      <c r="H14" s="1"/>
      <c r="I14" s="1"/>
      <c r="J14" s="6"/>
      <c r="K14" s="6"/>
      <c r="L14" s="584"/>
      <c r="M14" s="1"/>
      <c r="N14" s="1"/>
      <c r="O14" s="268">
        <f t="shared" si="0"/>
        <v>0</v>
      </c>
      <c r="P14" s="584"/>
    </row>
    <row r="15" spans="1:17">
      <c r="A15" s="1"/>
      <c r="B15" s="1"/>
      <c r="C15" s="1" t="s">
        <v>747</v>
      </c>
      <c r="D15" s="10">
        <v>12</v>
      </c>
      <c r="E15" s="10"/>
      <c r="F15" s="10"/>
      <c r="G15" s="1"/>
      <c r="H15" s="1"/>
      <c r="I15" s="1"/>
      <c r="J15" s="6"/>
      <c r="K15" s="6"/>
      <c r="L15" s="584"/>
      <c r="M15" s="1"/>
      <c r="N15" s="1"/>
      <c r="O15" s="268">
        <f t="shared" si="0"/>
        <v>0</v>
      </c>
      <c r="P15" s="584"/>
    </row>
    <row r="16" spans="1:17">
      <c r="A16" s="1"/>
      <c r="B16" s="1"/>
      <c r="C16" s="1" t="s">
        <v>748</v>
      </c>
      <c r="D16" s="10">
        <v>13</v>
      </c>
      <c r="E16" s="10"/>
      <c r="F16" s="10"/>
      <c r="G16" s="1"/>
      <c r="H16" s="1"/>
      <c r="I16" s="1"/>
      <c r="J16" s="6"/>
      <c r="K16" s="6"/>
      <c r="L16" s="584"/>
      <c r="M16" s="1"/>
      <c r="N16" s="1"/>
      <c r="O16" s="268">
        <f t="shared" si="0"/>
        <v>0</v>
      </c>
      <c r="P16" s="584"/>
    </row>
    <row r="17" spans="1:16">
      <c r="A17" s="1"/>
      <c r="B17" s="1"/>
      <c r="C17" s="1" t="s">
        <v>749</v>
      </c>
      <c r="D17" s="10">
        <v>14</v>
      </c>
      <c r="E17" s="10"/>
      <c r="F17" s="10"/>
      <c r="G17" s="1"/>
      <c r="H17" s="1"/>
      <c r="I17" s="1"/>
      <c r="J17" s="6"/>
      <c r="K17" s="6"/>
      <c r="L17" s="584"/>
      <c r="M17" s="1"/>
      <c r="N17" s="1"/>
      <c r="O17" s="268">
        <f t="shared" si="0"/>
        <v>0</v>
      </c>
      <c r="P17" s="584"/>
    </row>
    <row r="18" spans="1:16">
      <c r="A18" s="1"/>
      <c r="B18" s="1"/>
      <c r="C18" s="17" t="s">
        <v>750</v>
      </c>
      <c r="D18" s="16">
        <v>15</v>
      </c>
      <c r="E18" s="16"/>
      <c r="F18" s="16"/>
      <c r="G18" s="17"/>
      <c r="H18" s="17"/>
      <c r="I18" s="17"/>
      <c r="J18" s="6"/>
      <c r="K18" s="6"/>
      <c r="L18" s="584"/>
      <c r="M18" s="1"/>
      <c r="N18" s="17"/>
      <c r="O18" s="268">
        <f t="shared" si="0"/>
        <v>0</v>
      </c>
      <c r="P18" s="584"/>
    </row>
    <row r="19" spans="1:16">
      <c r="A19" s="1"/>
      <c r="B19" s="1"/>
      <c r="C19" s="1" t="s">
        <v>751</v>
      </c>
      <c r="D19" s="10">
        <v>16</v>
      </c>
      <c r="E19" s="10"/>
      <c r="F19" s="10"/>
      <c r="G19" s="1"/>
      <c r="H19" s="1"/>
      <c r="I19" s="1"/>
      <c r="J19" s="6"/>
      <c r="K19" s="6"/>
      <c r="L19" s="584"/>
      <c r="M19" s="1"/>
      <c r="N19" s="1"/>
      <c r="O19" s="268">
        <f t="shared" si="0"/>
        <v>0</v>
      </c>
      <c r="P19" s="584"/>
    </row>
    <row r="21" spans="1:16" ht="59.25" customHeight="1"/>
  </sheetData>
  <customSheetViews>
    <customSheetView guid="{A4BD9991-0908-4EDC-898A-8A5DE615ED00}" scale="85">
      <selection activeCell="F18" sqref="F18"/>
      <pageMargins left="0.7" right="0.7" top="0.75" bottom="0.75" header="0.3" footer="0.3"/>
      <pageSetup orientation="portrait" r:id="rId1"/>
    </customSheetView>
  </customSheetViews>
  <mergeCells count="1">
    <mergeCell ref="A1:P2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DEA4-2F40-4506-9EFF-838EFE71C8CF}">
  <sheetPr codeName="Sheet6">
    <tabColor theme="7" tint="0.39997558519241921"/>
  </sheetPr>
  <dimension ref="A1:L11"/>
  <sheetViews>
    <sheetView workbookViewId="0">
      <selection activeCell="D29" sqref="D29"/>
    </sheetView>
  </sheetViews>
  <sheetFormatPr defaultColWidth="9.140625" defaultRowHeight="15"/>
  <cols>
    <col min="1" max="1" width="13.140625" customWidth="1"/>
    <col min="5" max="5" width="13.28515625" customWidth="1"/>
    <col min="11" max="11" width="12.42578125" customWidth="1"/>
    <col min="12" max="12" width="10.7109375" customWidth="1"/>
  </cols>
  <sheetData>
    <row r="1" spans="1:12" ht="30">
      <c r="A1" s="579" t="s">
        <v>965</v>
      </c>
      <c r="B1" s="579" t="s">
        <v>597</v>
      </c>
      <c r="C1" s="580"/>
      <c r="D1" s="580" t="s">
        <v>193</v>
      </c>
      <c r="E1" s="580" t="s">
        <v>192</v>
      </c>
      <c r="F1" s="580" t="s">
        <v>291</v>
      </c>
      <c r="G1" s="580" t="s">
        <v>2299</v>
      </c>
      <c r="H1" s="580" t="s">
        <v>2300</v>
      </c>
      <c r="I1" s="580" t="s">
        <v>2301</v>
      </c>
      <c r="J1" s="579" t="s">
        <v>620</v>
      </c>
      <c r="K1" s="580" t="s">
        <v>2295</v>
      </c>
      <c r="L1" s="580" t="s">
        <v>2296</v>
      </c>
    </row>
    <row r="2" spans="1:12" ht="31.5">
      <c r="A2" s="603"/>
      <c r="B2" s="603"/>
      <c r="C2" s="285"/>
      <c r="D2" s="5"/>
      <c r="E2" s="287"/>
      <c r="F2" s="287"/>
      <c r="G2" s="614" t="s">
        <v>2302</v>
      </c>
      <c r="H2" s="288"/>
      <c r="I2" s="614" t="s">
        <v>2303</v>
      </c>
      <c r="J2" s="580"/>
      <c r="K2" s="580"/>
      <c r="L2" s="580"/>
    </row>
    <row r="3" spans="1:12" ht="18" customHeight="1">
      <c r="A3" s="607"/>
      <c r="B3" s="1"/>
      <c r="C3" s="8"/>
      <c r="D3" s="615"/>
      <c r="E3" s="616"/>
      <c r="F3" s="616"/>
      <c r="G3" s="617"/>
      <c r="H3" s="617"/>
      <c r="I3" s="617"/>
      <c r="J3" s="618"/>
      <c r="K3" s="618"/>
      <c r="L3" s="1"/>
    </row>
    <row r="4" spans="1:12" ht="15.75">
      <c r="A4" s="619"/>
      <c r="B4" s="619"/>
      <c r="C4" s="8"/>
      <c r="D4" s="615"/>
      <c r="E4" s="616"/>
      <c r="F4" s="616"/>
      <c r="G4" s="617"/>
      <c r="H4" s="620"/>
      <c r="I4" s="617"/>
      <c r="J4" s="621"/>
      <c r="K4" s="618"/>
      <c r="L4" s="1"/>
    </row>
    <row r="5" spans="1:12" ht="15.75">
      <c r="A5" s="619"/>
      <c r="B5" s="619"/>
      <c r="C5" s="8"/>
      <c r="D5" s="615"/>
      <c r="E5" s="616"/>
      <c r="F5" s="616"/>
      <c r="G5" s="617"/>
      <c r="H5" s="620"/>
      <c r="I5" s="617"/>
      <c r="J5" s="621"/>
      <c r="K5" s="618"/>
      <c r="L5" s="1"/>
    </row>
    <row r="6" spans="1:12" ht="15.75">
      <c r="A6" s="619"/>
      <c r="B6" s="619"/>
      <c r="C6" s="8"/>
      <c r="D6" s="615"/>
      <c r="E6" s="616"/>
      <c r="F6" s="616"/>
      <c r="G6" s="617"/>
      <c r="H6" s="620"/>
      <c r="I6" s="617"/>
      <c r="J6" s="621"/>
      <c r="K6" s="618"/>
      <c r="L6" s="1"/>
    </row>
    <row r="7" spans="1:12" ht="15.75">
      <c r="A7" s="619"/>
      <c r="B7" s="619"/>
      <c r="C7" s="8"/>
      <c r="D7" s="615"/>
      <c r="E7" s="616"/>
      <c r="F7" s="616"/>
      <c r="G7" s="617"/>
      <c r="H7" s="620"/>
      <c r="I7" s="617"/>
      <c r="J7" s="621"/>
      <c r="K7" s="618"/>
      <c r="L7" s="1"/>
    </row>
    <row r="8" spans="1:12" ht="16.5" customHeight="1">
      <c r="A8" s="1"/>
      <c r="B8" s="1"/>
      <c r="C8" s="8"/>
      <c r="D8" s="615"/>
      <c r="E8" s="616"/>
      <c r="F8" s="616"/>
      <c r="G8" s="617"/>
      <c r="H8" s="622"/>
      <c r="I8" s="617"/>
      <c r="J8" s="623"/>
      <c r="K8" s="618"/>
      <c r="L8" s="1"/>
    </row>
    <row r="9" spans="1:12">
      <c r="D9" s="624"/>
      <c r="E9" s="625"/>
      <c r="F9" s="625"/>
      <c r="G9" s="626"/>
      <c r="H9" s="627"/>
      <c r="I9" s="627"/>
      <c r="J9" s="628"/>
      <c r="K9" s="629"/>
    </row>
    <row r="10" spans="1:12">
      <c r="D10" s="624"/>
      <c r="E10" s="625"/>
      <c r="F10" s="625"/>
      <c r="G10" s="626"/>
      <c r="H10" s="627"/>
      <c r="I10" s="627"/>
      <c r="J10" s="628"/>
      <c r="K10" s="629"/>
    </row>
    <row r="11" spans="1:12">
      <c r="D11" s="624"/>
      <c r="E11" s="625"/>
      <c r="F11" s="625"/>
      <c r="G11" s="626"/>
      <c r="H11" s="627"/>
      <c r="I11" s="627"/>
      <c r="J11" s="628"/>
      <c r="K11" s="629"/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6AA2-B49F-4B1A-92B4-72AE19C8080C}">
  <sheetPr codeName="Sheet61">
    <tabColor theme="9" tint="-0.249977111117893"/>
  </sheetPr>
  <dimension ref="A1:AK99"/>
  <sheetViews>
    <sheetView zoomScale="85" zoomScaleNormal="85" workbookViewId="0">
      <selection activeCell="K3" sqref="K3"/>
    </sheetView>
  </sheetViews>
  <sheetFormatPr defaultRowHeight="15"/>
  <cols>
    <col min="6" max="6" width="10.85546875" customWidth="1"/>
    <col min="8" max="8" width="10.42578125" customWidth="1"/>
    <col min="12" max="12" width="14" customWidth="1"/>
    <col min="13" max="13" width="8.5703125" customWidth="1"/>
    <col min="14" max="15" width="10.42578125" customWidth="1"/>
  </cols>
  <sheetData>
    <row r="1" spans="1:16" ht="15.6" customHeight="1">
      <c r="A1" s="759" t="s">
        <v>1127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</row>
    <row r="2" spans="1:16" ht="15.6" customHeight="1">
      <c r="A2" s="756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</row>
    <row r="3" spans="1:16" ht="90">
      <c r="A3" s="580" t="s">
        <v>574</v>
      </c>
      <c r="B3" s="580" t="s">
        <v>597</v>
      </c>
      <c r="C3" s="265" t="s">
        <v>816</v>
      </c>
      <c r="D3" s="266" t="s">
        <v>193</v>
      </c>
      <c r="E3" s="580" t="s">
        <v>192</v>
      </c>
      <c r="F3" s="580" t="s">
        <v>273</v>
      </c>
      <c r="G3" s="580" t="s">
        <v>575</v>
      </c>
      <c r="H3" s="580" t="s">
        <v>577</v>
      </c>
      <c r="I3" s="580" t="s">
        <v>578</v>
      </c>
      <c r="J3" s="580" t="s">
        <v>576</v>
      </c>
      <c r="K3" s="580" t="s">
        <v>579</v>
      </c>
      <c r="L3" s="579" t="s">
        <v>811</v>
      </c>
      <c r="M3" s="579" t="s">
        <v>1112</v>
      </c>
      <c r="N3" s="267" t="s">
        <v>810</v>
      </c>
      <c r="O3" s="579" t="s">
        <v>1130</v>
      </c>
      <c r="P3" s="580" t="s">
        <v>1111</v>
      </c>
    </row>
    <row r="4" spans="1:16">
      <c r="A4" s="1"/>
      <c r="B4" s="1"/>
      <c r="C4" s="8" t="s">
        <v>736</v>
      </c>
      <c r="D4" s="9">
        <v>1</v>
      </c>
      <c r="E4" s="8"/>
      <c r="F4" s="8"/>
      <c r="G4" s="8"/>
      <c r="H4" s="8"/>
      <c r="I4" s="15"/>
      <c r="J4" s="15"/>
      <c r="K4" s="15"/>
      <c r="L4" s="15"/>
      <c r="M4" s="15"/>
      <c r="N4" s="64"/>
      <c r="O4" s="15"/>
    </row>
    <row r="5" spans="1:16">
      <c r="A5" s="1"/>
      <c r="B5" s="1"/>
      <c r="C5" s="8" t="s">
        <v>737</v>
      </c>
      <c r="D5" s="9">
        <v>2</v>
      </c>
      <c r="E5" s="8"/>
      <c r="F5" s="8"/>
      <c r="G5" s="8"/>
      <c r="H5" s="8"/>
      <c r="I5" s="15"/>
      <c r="J5" s="15"/>
      <c r="K5" s="15"/>
      <c r="L5" s="15"/>
      <c r="M5" s="15"/>
      <c r="N5" s="64"/>
      <c r="O5" s="15"/>
    </row>
    <row r="6" spans="1:16">
      <c r="A6" s="1"/>
      <c r="B6" s="1"/>
      <c r="C6" s="8" t="s">
        <v>738</v>
      </c>
      <c r="D6" s="9">
        <v>3</v>
      </c>
      <c r="E6" s="8"/>
      <c r="F6" s="8"/>
      <c r="G6" s="8"/>
      <c r="H6" s="8"/>
      <c r="I6" s="15"/>
      <c r="J6" s="15"/>
      <c r="K6" s="14"/>
      <c r="L6" s="14"/>
      <c r="M6" s="14"/>
      <c r="N6" s="64"/>
      <c r="O6" s="14"/>
    </row>
    <row r="7" spans="1:16">
      <c r="A7" s="1"/>
      <c r="B7" s="1"/>
      <c r="C7" s="8" t="s">
        <v>739</v>
      </c>
      <c r="D7" s="9">
        <v>4</v>
      </c>
      <c r="E7" s="8"/>
      <c r="F7" s="8"/>
      <c r="G7" s="8"/>
      <c r="H7" s="8"/>
      <c r="I7" s="15"/>
      <c r="J7" s="15"/>
      <c r="K7" s="14"/>
      <c r="L7" s="14"/>
      <c r="M7" s="14"/>
      <c r="N7" s="64"/>
      <c r="O7" s="14"/>
    </row>
    <row r="8" spans="1:16">
      <c r="A8" s="1"/>
      <c r="B8" s="1"/>
      <c r="C8" s="8" t="s">
        <v>740</v>
      </c>
      <c r="D8" s="9">
        <v>5</v>
      </c>
      <c r="E8" s="8"/>
      <c r="F8" s="8"/>
      <c r="G8" s="8"/>
      <c r="H8" s="8"/>
      <c r="I8" s="15"/>
      <c r="J8" s="15"/>
      <c r="K8" s="14"/>
      <c r="L8" s="14"/>
      <c r="M8" s="14"/>
      <c r="N8" s="64"/>
      <c r="O8" s="14"/>
    </row>
    <row r="9" spans="1:16">
      <c r="A9" s="1"/>
      <c r="B9" s="1"/>
      <c r="C9" s="8" t="s">
        <v>741</v>
      </c>
      <c r="D9" s="9">
        <v>6</v>
      </c>
      <c r="E9" s="8"/>
      <c r="F9" s="8"/>
      <c r="G9" s="8"/>
      <c r="H9" s="8"/>
      <c r="I9" s="15"/>
      <c r="J9" s="15"/>
      <c r="K9" s="8"/>
      <c r="L9" s="8"/>
      <c r="M9" s="8"/>
      <c r="N9" s="64"/>
      <c r="O9" s="8"/>
    </row>
    <row r="10" spans="1:16">
      <c r="A10" s="1"/>
      <c r="B10" s="1"/>
      <c r="C10" s="8" t="s">
        <v>742</v>
      </c>
      <c r="D10" s="9">
        <v>7</v>
      </c>
      <c r="E10" s="8"/>
      <c r="F10" s="8"/>
      <c r="G10" s="8"/>
      <c r="H10" s="8"/>
      <c r="I10" s="15"/>
      <c r="J10" s="15"/>
      <c r="K10" s="8"/>
      <c r="L10" s="8"/>
      <c r="M10" s="8"/>
      <c r="N10" s="64"/>
      <c r="O10" s="8"/>
    </row>
    <row r="11" spans="1:16">
      <c r="A11" s="1"/>
      <c r="B11" s="1"/>
      <c r="C11" s="8" t="s">
        <v>743</v>
      </c>
      <c r="D11" s="9">
        <v>8</v>
      </c>
      <c r="E11" s="8"/>
      <c r="F11" s="8"/>
      <c r="G11" s="8"/>
      <c r="H11" s="8"/>
      <c r="I11" s="15"/>
      <c r="J11" s="15"/>
      <c r="K11" s="8"/>
      <c r="L11" s="8"/>
      <c r="M11" s="8"/>
      <c r="N11" s="64"/>
      <c r="O11" s="8"/>
    </row>
    <row r="12" spans="1:16">
      <c r="A12" s="1"/>
      <c r="B12" s="1"/>
      <c r="C12" s="1" t="s">
        <v>744</v>
      </c>
      <c r="D12" s="10">
        <v>9</v>
      </c>
      <c r="E12" s="1"/>
      <c r="F12" s="1"/>
      <c r="G12" s="1"/>
      <c r="H12" s="1"/>
      <c r="I12" s="268"/>
      <c r="J12" s="6"/>
      <c r="K12" s="1"/>
      <c r="L12" s="1"/>
      <c r="M12" s="1"/>
      <c r="N12" s="22"/>
      <c r="O12" s="1"/>
    </row>
    <row r="13" spans="1:16">
      <c r="A13" s="1"/>
      <c r="B13" s="1"/>
      <c r="C13" s="1" t="s">
        <v>745</v>
      </c>
      <c r="D13" s="10">
        <v>10</v>
      </c>
      <c r="E13" s="1"/>
      <c r="F13" s="1"/>
      <c r="G13" s="1"/>
      <c r="H13" s="1"/>
      <c r="I13" s="268"/>
      <c r="J13" s="6"/>
      <c r="K13" s="1"/>
      <c r="L13" s="1"/>
      <c r="M13" s="1"/>
      <c r="N13" s="22"/>
      <c r="O13" s="1"/>
    </row>
    <row r="14" spans="1:16">
      <c r="A14" s="1"/>
      <c r="B14" s="1"/>
      <c r="C14" s="1" t="s">
        <v>746</v>
      </c>
      <c r="D14" s="10">
        <v>11</v>
      </c>
      <c r="E14" s="1"/>
      <c r="F14" s="1"/>
      <c r="G14" s="1"/>
      <c r="H14" s="1"/>
      <c r="I14" s="268"/>
      <c r="J14" s="6"/>
      <c r="K14" s="1"/>
      <c r="L14" s="1"/>
      <c r="M14" s="1"/>
      <c r="N14" s="22"/>
      <c r="O14" s="1"/>
    </row>
    <row r="15" spans="1:16">
      <c r="A15" s="1"/>
      <c r="B15" s="1"/>
      <c r="C15" s="1" t="s">
        <v>747</v>
      </c>
      <c r="D15" s="10">
        <v>12</v>
      </c>
      <c r="E15" s="1"/>
      <c r="F15" s="1"/>
      <c r="G15" s="1"/>
      <c r="H15" s="1"/>
      <c r="I15" s="268"/>
      <c r="J15" s="6"/>
      <c r="K15" s="1"/>
      <c r="L15" s="1"/>
      <c r="M15" s="1"/>
      <c r="N15" s="22"/>
      <c r="O15" s="1"/>
    </row>
    <row r="16" spans="1:16">
      <c r="A16" s="1"/>
      <c r="B16" s="1"/>
      <c r="C16" s="1" t="s">
        <v>748</v>
      </c>
      <c r="D16" s="10">
        <v>13</v>
      </c>
      <c r="E16" s="1"/>
      <c r="F16" s="1"/>
      <c r="G16" s="1"/>
      <c r="H16" s="1"/>
      <c r="I16" s="268"/>
      <c r="J16" s="6"/>
      <c r="K16" s="1"/>
      <c r="L16" s="1"/>
      <c r="M16" s="1"/>
      <c r="N16" s="22"/>
      <c r="O16" s="1"/>
    </row>
    <row r="17" spans="1:37">
      <c r="A17" s="1"/>
      <c r="B17" s="1"/>
      <c r="C17" s="1" t="s">
        <v>749</v>
      </c>
      <c r="D17" s="10">
        <v>14</v>
      </c>
      <c r="E17" s="1"/>
      <c r="F17" s="1"/>
      <c r="G17" s="1"/>
      <c r="H17" s="1"/>
      <c r="I17" s="268"/>
      <c r="J17" s="6"/>
      <c r="K17" s="1"/>
      <c r="L17" s="1"/>
      <c r="M17" s="1"/>
      <c r="N17" s="22"/>
      <c r="O17" s="1"/>
    </row>
    <row r="18" spans="1:37">
      <c r="A18" s="1"/>
      <c r="B18" s="1"/>
      <c r="C18" s="17" t="s">
        <v>750</v>
      </c>
      <c r="D18" s="16">
        <v>15</v>
      </c>
      <c r="E18" s="17"/>
      <c r="F18" s="17"/>
      <c r="G18" s="17"/>
      <c r="H18" s="1"/>
      <c r="I18" s="268"/>
      <c r="J18" s="6"/>
      <c r="K18" s="17"/>
      <c r="L18" s="17"/>
      <c r="M18" s="17"/>
      <c r="N18" s="585"/>
      <c r="O18" s="17"/>
    </row>
    <row r="19" spans="1:37">
      <c r="A19" s="1"/>
      <c r="B19" s="1"/>
      <c r="C19" s="1" t="s">
        <v>751</v>
      </c>
      <c r="D19" s="10">
        <v>16</v>
      </c>
      <c r="E19" s="1"/>
      <c r="F19" s="1"/>
      <c r="G19" s="1"/>
      <c r="H19" s="1"/>
      <c r="I19" s="268"/>
      <c r="J19" s="6"/>
      <c r="K19" s="1"/>
      <c r="L19" s="1"/>
      <c r="M19" s="1"/>
      <c r="N19" s="22"/>
      <c r="O19" s="1"/>
    </row>
    <row r="20" spans="1:37">
      <c r="A20" s="1"/>
      <c r="B20" s="1"/>
      <c r="C20" s="19" t="s">
        <v>752</v>
      </c>
      <c r="D20" s="18">
        <v>17</v>
      </c>
      <c r="E20" s="19"/>
      <c r="F20" s="19"/>
      <c r="G20" s="19"/>
      <c r="H20" s="8"/>
      <c r="I20" s="15"/>
      <c r="J20" s="15"/>
      <c r="K20" s="19"/>
      <c r="L20" s="19"/>
      <c r="M20" s="19"/>
      <c r="N20" s="586"/>
      <c r="O20" s="19"/>
    </row>
    <row r="21" spans="1:37">
      <c r="A21" s="1"/>
      <c r="B21" s="1"/>
      <c r="C21" s="8" t="s">
        <v>753</v>
      </c>
      <c r="D21" s="9">
        <v>18</v>
      </c>
      <c r="E21" s="8"/>
      <c r="F21" s="8"/>
      <c r="G21" s="8"/>
      <c r="H21" s="8"/>
      <c r="I21" s="15"/>
      <c r="J21" s="15"/>
      <c r="K21" s="8"/>
      <c r="L21" s="8"/>
      <c r="M21" s="8"/>
      <c r="N21" s="64"/>
      <c r="O21" s="8"/>
    </row>
    <row r="22" spans="1:37">
      <c r="A22" s="1"/>
      <c r="B22" s="1"/>
      <c r="C22" s="8" t="s">
        <v>754</v>
      </c>
      <c r="D22" s="9">
        <v>19</v>
      </c>
      <c r="E22" s="8"/>
      <c r="F22" s="8"/>
      <c r="G22" s="8"/>
      <c r="H22" s="8"/>
      <c r="I22" s="15"/>
      <c r="J22" s="15"/>
      <c r="K22" s="8"/>
      <c r="L22" s="8"/>
      <c r="M22" s="8"/>
      <c r="N22" s="64"/>
      <c r="O22" s="8"/>
    </row>
    <row r="23" spans="1:37">
      <c r="A23" s="1"/>
      <c r="B23" s="1"/>
      <c r="C23" s="8" t="s">
        <v>755</v>
      </c>
      <c r="D23" s="9">
        <v>20</v>
      </c>
      <c r="E23" s="8"/>
      <c r="F23" s="8"/>
      <c r="G23" s="8"/>
      <c r="H23" s="8"/>
      <c r="I23" s="15"/>
      <c r="J23" s="15"/>
      <c r="K23" s="8"/>
      <c r="L23" s="8"/>
      <c r="M23" s="8"/>
      <c r="N23" s="64"/>
      <c r="O23" s="8"/>
    </row>
    <row r="24" spans="1:37">
      <c r="A24" s="1"/>
      <c r="B24" s="1"/>
      <c r="C24" s="8" t="s">
        <v>756</v>
      </c>
      <c r="D24" s="9">
        <v>21</v>
      </c>
      <c r="E24" s="8"/>
      <c r="F24" s="8"/>
      <c r="G24" s="8"/>
      <c r="H24" s="8"/>
      <c r="I24" s="15"/>
      <c r="J24" s="15"/>
      <c r="K24" s="8"/>
      <c r="L24" s="8"/>
      <c r="M24" s="8"/>
      <c r="N24" s="64"/>
      <c r="O24" s="8"/>
    </row>
    <row r="25" spans="1:37">
      <c r="A25" s="1"/>
      <c r="B25" s="1"/>
      <c r="C25" s="8" t="s">
        <v>757</v>
      </c>
      <c r="D25" s="9">
        <v>22</v>
      </c>
      <c r="E25" s="8"/>
      <c r="F25" s="8"/>
      <c r="G25" s="8"/>
      <c r="H25" s="8"/>
      <c r="I25" s="15"/>
      <c r="J25" s="15"/>
      <c r="K25" s="8"/>
      <c r="L25" s="8"/>
      <c r="M25" s="8"/>
      <c r="N25" s="64"/>
      <c r="O25" s="8"/>
    </row>
    <row r="26" spans="1:37">
      <c r="A26" s="1"/>
      <c r="B26" s="1"/>
      <c r="C26" s="8" t="s">
        <v>758</v>
      </c>
      <c r="D26" s="9">
        <v>23</v>
      </c>
      <c r="E26" s="8"/>
      <c r="F26" s="8"/>
      <c r="G26" s="8"/>
      <c r="H26" s="8"/>
      <c r="I26" s="15"/>
      <c r="J26" s="15"/>
      <c r="K26" s="8"/>
      <c r="L26" s="8"/>
      <c r="M26" s="8"/>
      <c r="N26" s="64"/>
      <c r="O26" s="8"/>
    </row>
    <row r="27" spans="1:37">
      <c r="A27" s="1"/>
      <c r="B27" s="1"/>
      <c r="C27" s="8" t="s">
        <v>759</v>
      </c>
      <c r="D27" s="9">
        <v>24</v>
      </c>
      <c r="E27" s="8"/>
      <c r="F27" s="8"/>
      <c r="G27" s="8"/>
      <c r="H27" s="8"/>
      <c r="I27" s="15"/>
      <c r="J27" s="15"/>
      <c r="K27" s="8"/>
      <c r="L27" s="8"/>
      <c r="M27" s="8"/>
      <c r="N27" s="64"/>
      <c r="O27" s="8"/>
    </row>
    <row r="28" spans="1:37" s="238" customFormat="1">
      <c r="A28" s="7"/>
      <c r="B28" s="7"/>
      <c r="C28" s="7" t="s">
        <v>760</v>
      </c>
      <c r="D28" s="587">
        <v>25</v>
      </c>
      <c r="E28" s="7"/>
      <c r="F28" s="7"/>
      <c r="G28" s="7"/>
      <c r="H28" s="7"/>
      <c r="I28" s="268"/>
      <c r="J28" s="268"/>
      <c r="K28" s="268"/>
      <c r="L28" s="268"/>
      <c r="M28" s="268"/>
      <c r="N28" s="584"/>
      <c r="O28" s="26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7" s="238" customFormat="1">
      <c r="A29" s="7"/>
      <c r="B29" s="7"/>
      <c r="C29" s="7" t="s">
        <v>761</v>
      </c>
      <c r="D29" s="587">
        <v>26</v>
      </c>
      <c r="E29" s="7"/>
      <c r="F29" s="7"/>
      <c r="G29" s="7"/>
      <c r="H29" s="7"/>
      <c r="I29" s="268"/>
      <c r="J29" s="268"/>
      <c r="K29" s="268"/>
      <c r="L29" s="268"/>
      <c r="M29" s="268"/>
      <c r="N29" s="584"/>
      <c r="O29" s="268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37" s="238" customFormat="1">
      <c r="A30" s="7"/>
      <c r="B30" s="7"/>
      <c r="C30" s="7" t="s">
        <v>762</v>
      </c>
      <c r="D30" s="587">
        <v>27</v>
      </c>
      <c r="E30" s="7"/>
      <c r="F30" s="7"/>
      <c r="G30" s="7"/>
      <c r="H30" s="7"/>
      <c r="I30" s="268"/>
      <c r="J30" s="268"/>
      <c r="K30" s="583"/>
      <c r="L30" s="583"/>
      <c r="M30" s="583"/>
      <c r="N30" s="584"/>
      <c r="O30" s="583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s="238" customFormat="1">
      <c r="A31" s="7"/>
      <c r="B31" s="7"/>
      <c r="C31" s="7" t="s">
        <v>763</v>
      </c>
      <c r="D31" s="587">
        <v>28</v>
      </c>
      <c r="E31" s="7"/>
      <c r="F31" s="7"/>
      <c r="G31" s="7"/>
      <c r="H31" s="7"/>
      <c r="I31" s="268"/>
      <c r="J31" s="268"/>
      <c r="K31" s="583"/>
      <c r="L31" s="583"/>
      <c r="M31" s="583"/>
      <c r="N31" s="584"/>
      <c r="O31" s="583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s="238" customFormat="1">
      <c r="A32" s="7"/>
      <c r="B32" s="7"/>
      <c r="C32" s="7" t="s">
        <v>764</v>
      </c>
      <c r="D32" s="587">
        <v>29</v>
      </c>
      <c r="E32" s="7"/>
      <c r="F32" s="7"/>
      <c r="G32" s="7"/>
      <c r="H32" s="7"/>
      <c r="I32" s="268"/>
      <c r="J32" s="268"/>
      <c r="K32" s="583"/>
      <c r="L32" s="583"/>
      <c r="M32" s="583"/>
      <c r="N32" s="584"/>
      <c r="O32" s="583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s="238" customFormat="1">
      <c r="A33" s="7"/>
      <c r="B33" s="7"/>
      <c r="C33" s="7" t="s">
        <v>765</v>
      </c>
      <c r="D33" s="587">
        <v>30</v>
      </c>
      <c r="E33" s="7"/>
      <c r="F33" s="7"/>
      <c r="G33" s="7"/>
      <c r="H33" s="7"/>
      <c r="I33" s="268"/>
      <c r="J33" s="268"/>
      <c r="K33" s="7"/>
      <c r="L33" s="7"/>
      <c r="M33" s="7"/>
      <c r="N33" s="584"/>
      <c r="O33" s="7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238" customFormat="1">
      <c r="A34" s="7"/>
      <c r="B34" s="7"/>
      <c r="C34" s="7" t="s">
        <v>766</v>
      </c>
      <c r="D34" s="587">
        <v>31</v>
      </c>
      <c r="E34" s="7"/>
      <c r="F34" s="7"/>
      <c r="G34" s="7"/>
      <c r="H34" s="7"/>
      <c r="I34" s="268"/>
      <c r="J34" s="268"/>
      <c r="K34" s="7"/>
      <c r="L34" s="7"/>
      <c r="M34" s="7"/>
      <c r="N34" s="584"/>
      <c r="O34" s="7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238" customFormat="1">
      <c r="A35" s="7"/>
      <c r="B35" s="7"/>
      <c r="C35" s="7" t="s">
        <v>767</v>
      </c>
      <c r="D35" s="587">
        <v>32</v>
      </c>
      <c r="E35" s="7"/>
      <c r="F35" s="7"/>
      <c r="G35" s="7"/>
      <c r="H35" s="7"/>
      <c r="I35" s="268"/>
      <c r="J35" s="268"/>
      <c r="K35" s="7"/>
      <c r="L35" s="7"/>
      <c r="M35" s="7"/>
      <c r="N35" s="584"/>
      <c r="O35" s="7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>
      <c r="A36" s="1"/>
      <c r="B36" s="1"/>
      <c r="C36" s="8" t="s">
        <v>768</v>
      </c>
      <c r="D36" s="9">
        <v>33</v>
      </c>
      <c r="E36" s="8"/>
      <c r="F36" s="8"/>
      <c r="G36" s="8"/>
      <c r="H36" s="8"/>
      <c r="I36" s="15"/>
      <c r="J36" s="15"/>
      <c r="K36" s="8"/>
      <c r="L36" s="8"/>
      <c r="M36" s="8"/>
      <c r="N36" s="64"/>
      <c r="O36" s="8"/>
    </row>
    <row r="37" spans="1:37">
      <c r="A37" s="1"/>
      <c r="B37" s="1"/>
      <c r="C37" s="8" t="s">
        <v>769</v>
      </c>
      <c r="D37" s="9">
        <v>34</v>
      </c>
      <c r="E37" s="8"/>
      <c r="F37" s="8"/>
      <c r="G37" s="8"/>
      <c r="H37" s="8"/>
      <c r="I37" s="15"/>
      <c r="J37" s="15"/>
      <c r="K37" s="8"/>
      <c r="L37" s="8"/>
      <c r="M37" s="8"/>
      <c r="N37" s="64"/>
      <c r="O37" s="8"/>
    </row>
    <row r="38" spans="1:37">
      <c r="A38" s="1"/>
      <c r="B38" s="1"/>
      <c r="C38" s="8" t="s">
        <v>770</v>
      </c>
      <c r="D38" s="9">
        <v>35</v>
      </c>
      <c r="E38" s="8"/>
      <c r="F38" s="8"/>
      <c r="G38" s="8"/>
      <c r="H38" s="8"/>
      <c r="I38" s="15"/>
      <c r="J38" s="15"/>
      <c r="K38" s="8"/>
      <c r="L38" s="8"/>
      <c r="M38" s="8"/>
      <c r="N38" s="64"/>
      <c r="O38" s="8"/>
    </row>
    <row r="39" spans="1:37">
      <c r="A39" s="1"/>
      <c r="B39" s="1"/>
      <c r="C39" s="8" t="s">
        <v>771</v>
      </c>
      <c r="D39" s="9">
        <v>36</v>
      </c>
      <c r="E39" s="8"/>
      <c r="F39" s="8"/>
      <c r="G39" s="8"/>
      <c r="H39" s="8"/>
      <c r="I39" s="15"/>
      <c r="J39" s="15"/>
      <c r="K39" s="8"/>
      <c r="L39" s="8"/>
      <c r="M39" s="8"/>
      <c r="N39" s="64"/>
      <c r="O39" s="8"/>
    </row>
    <row r="40" spans="1:37">
      <c r="A40" s="1"/>
      <c r="B40" s="1"/>
      <c r="C40" s="8" t="s">
        <v>772</v>
      </c>
      <c r="D40" s="9">
        <v>37</v>
      </c>
      <c r="E40" s="8"/>
      <c r="F40" s="8"/>
      <c r="G40" s="8"/>
      <c r="H40" s="8"/>
      <c r="I40" s="15"/>
      <c r="J40" s="15"/>
      <c r="K40" s="8"/>
      <c r="L40" s="8"/>
      <c r="M40" s="8"/>
      <c r="N40" s="64"/>
      <c r="O40" s="8"/>
    </row>
    <row r="41" spans="1:37">
      <c r="A41" s="1"/>
      <c r="B41" s="1"/>
      <c r="C41" s="8" t="s">
        <v>773</v>
      </c>
      <c r="D41" s="9">
        <v>38</v>
      </c>
      <c r="E41" s="8"/>
      <c r="F41" s="8"/>
      <c r="G41" s="8"/>
      <c r="H41" s="8"/>
      <c r="I41" s="15"/>
      <c r="J41" s="15"/>
      <c r="K41" s="8"/>
      <c r="L41" s="8"/>
      <c r="M41" s="8"/>
      <c r="N41" s="64"/>
      <c r="O41" s="8"/>
    </row>
    <row r="42" spans="1:37">
      <c r="A42" s="1"/>
      <c r="B42" s="1"/>
      <c r="C42" s="73" t="s">
        <v>774</v>
      </c>
      <c r="D42" s="71">
        <v>39</v>
      </c>
      <c r="E42" s="73"/>
      <c r="F42" s="73"/>
      <c r="G42" s="73"/>
      <c r="H42" s="8"/>
      <c r="I42" s="15"/>
      <c r="J42" s="15"/>
      <c r="K42" s="73"/>
      <c r="L42" s="73"/>
      <c r="M42" s="73"/>
      <c r="N42" s="598"/>
      <c r="O42" s="73"/>
    </row>
    <row r="43" spans="1:37">
      <c r="A43" s="1"/>
      <c r="B43" s="1"/>
      <c r="C43" s="8" t="s">
        <v>775</v>
      </c>
      <c r="D43" s="9">
        <v>40</v>
      </c>
      <c r="E43" s="8"/>
      <c r="F43" s="8"/>
      <c r="G43" s="8"/>
      <c r="H43" s="8"/>
      <c r="I43" s="15"/>
      <c r="J43" s="15"/>
      <c r="K43" s="8"/>
      <c r="L43" s="8"/>
      <c r="M43" s="8"/>
      <c r="N43" s="64"/>
      <c r="O43" s="8"/>
    </row>
    <row r="44" spans="1:37" s="238" customFormat="1">
      <c r="A44" s="7"/>
      <c r="B44" s="7"/>
      <c r="C44" s="588" t="s">
        <v>776</v>
      </c>
      <c r="D44" s="589">
        <v>41</v>
      </c>
      <c r="E44" s="588"/>
      <c r="F44" s="588"/>
      <c r="G44" s="588"/>
      <c r="H44" s="7"/>
      <c r="I44" s="268"/>
      <c r="J44" s="268"/>
      <c r="K44" s="588"/>
      <c r="L44" s="588"/>
      <c r="M44" s="588"/>
      <c r="N44" s="599"/>
      <c r="O44" s="588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1:37" s="238" customFormat="1">
      <c r="A45" s="7"/>
      <c r="B45" s="7"/>
      <c r="C45" s="7" t="s">
        <v>777</v>
      </c>
      <c r="D45" s="587">
        <v>42</v>
      </c>
      <c r="E45" s="7"/>
      <c r="F45" s="7"/>
      <c r="G45" s="7"/>
      <c r="H45" s="7"/>
      <c r="I45" s="268"/>
      <c r="J45" s="268"/>
      <c r="K45" s="7"/>
      <c r="L45" s="7"/>
      <c r="M45" s="7"/>
      <c r="N45" s="584"/>
      <c r="O45" s="7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1:37" s="238" customFormat="1">
      <c r="A46" s="7"/>
      <c r="B46" s="7"/>
      <c r="C46" s="7" t="s">
        <v>778</v>
      </c>
      <c r="D46" s="587">
        <v>43</v>
      </c>
      <c r="E46" s="7"/>
      <c r="F46" s="7"/>
      <c r="G46" s="7"/>
      <c r="H46" s="7"/>
      <c r="I46" s="268"/>
      <c r="J46" s="268"/>
      <c r="K46" s="7"/>
      <c r="L46" s="7"/>
      <c r="M46" s="7"/>
      <c r="N46" s="584"/>
      <c r="O46" s="7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1:37" s="238" customFormat="1">
      <c r="A47" s="7"/>
      <c r="B47" s="7"/>
      <c r="C47" s="7" t="s">
        <v>779</v>
      </c>
      <c r="D47" s="587">
        <v>44</v>
      </c>
      <c r="E47" s="7"/>
      <c r="F47" s="7"/>
      <c r="G47" s="7"/>
      <c r="H47" s="7"/>
      <c r="I47" s="268"/>
      <c r="J47" s="268"/>
      <c r="K47" s="7"/>
      <c r="L47" s="7"/>
      <c r="M47" s="7"/>
      <c r="N47" s="584"/>
      <c r="O47" s="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s="238" customFormat="1">
      <c r="A48" s="7"/>
      <c r="B48" s="7"/>
      <c r="C48" s="7" t="s">
        <v>780</v>
      </c>
      <c r="D48" s="587">
        <v>45</v>
      </c>
      <c r="E48" s="7"/>
      <c r="F48" s="7"/>
      <c r="G48" s="7"/>
      <c r="H48" s="7"/>
      <c r="I48" s="268"/>
      <c r="J48" s="268"/>
      <c r="K48" s="7"/>
      <c r="L48" s="7"/>
      <c r="M48" s="7"/>
      <c r="N48" s="584"/>
      <c r="O48" s="7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238" customFormat="1">
      <c r="A49" s="7"/>
      <c r="B49" s="7"/>
      <c r="C49" s="7" t="s">
        <v>781</v>
      </c>
      <c r="D49" s="587">
        <v>46</v>
      </c>
      <c r="E49" s="7"/>
      <c r="F49" s="7"/>
      <c r="G49" s="7"/>
      <c r="H49" s="7"/>
      <c r="I49" s="268"/>
      <c r="J49" s="268"/>
      <c r="K49" s="7"/>
      <c r="L49" s="7"/>
      <c r="M49" s="7"/>
      <c r="N49" s="584"/>
      <c r="O49" s="7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s="238" customFormat="1">
      <c r="A50" s="7"/>
      <c r="B50" s="7"/>
      <c r="C50" s="7" t="s">
        <v>782</v>
      </c>
      <c r="D50" s="587">
        <v>47</v>
      </c>
      <c r="E50" s="7"/>
      <c r="F50" s="7"/>
      <c r="G50" s="7"/>
      <c r="H50" s="7"/>
      <c r="I50" s="268"/>
      <c r="J50" s="268"/>
      <c r="K50" s="7"/>
      <c r="L50" s="7"/>
      <c r="M50" s="7"/>
      <c r="N50" s="584"/>
      <c r="O50" s="7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s="238" customFormat="1">
      <c r="A51" s="7"/>
      <c r="B51" s="7"/>
      <c r="C51" s="7" t="s">
        <v>783</v>
      </c>
      <c r="D51" s="587">
        <v>48</v>
      </c>
      <c r="E51" s="7"/>
      <c r="F51" s="7"/>
      <c r="G51" s="7"/>
      <c r="H51" s="7"/>
      <c r="I51" s="268"/>
      <c r="J51" s="268"/>
      <c r="K51" s="7"/>
      <c r="L51" s="7"/>
      <c r="M51" s="7"/>
      <c r="N51" s="584"/>
      <c r="O51" s="7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238" customFormat="1">
      <c r="A52" s="7"/>
      <c r="B52" s="7"/>
      <c r="C52" s="8" t="s">
        <v>784</v>
      </c>
      <c r="D52" s="9">
        <v>49</v>
      </c>
      <c r="E52" s="8"/>
      <c r="F52" s="8"/>
      <c r="G52" s="8"/>
      <c r="H52" s="8"/>
      <c r="I52" s="15"/>
      <c r="J52" s="15"/>
      <c r="K52" s="15"/>
      <c r="L52" s="15"/>
      <c r="M52" s="15"/>
      <c r="N52" s="64"/>
      <c r="O52" s="15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s="238" customFormat="1">
      <c r="A53" s="7"/>
      <c r="B53" s="7"/>
      <c r="C53" s="8" t="s">
        <v>785</v>
      </c>
      <c r="D53" s="9">
        <v>50</v>
      </c>
      <c r="E53" s="8"/>
      <c r="F53" s="8"/>
      <c r="G53" s="8"/>
      <c r="H53" s="8"/>
      <c r="I53" s="15"/>
      <c r="J53" s="15"/>
      <c r="K53" s="15"/>
      <c r="L53" s="15"/>
      <c r="M53" s="15"/>
      <c r="N53" s="64"/>
      <c r="O53" s="15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 s="238" customFormat="1">
      <c r="A54" s="7"/>
      <c r="B54" s="7"/>
      <c r="C54" s="8" t="s">
        <v>786</v>
      </c>
      <c r="D54" s="9">
        <v>51</v>
      </c>
      <c r="E54" s="8"/>
      <c r="F54" s="8"/>
      <c r="G54" s="8"/>
      <c r="H54" s="8"/>
      <c r="I54" s="15"/>
      <c r="J54" s="15"/>
      <c r="K54" s="14"/>
      <c r="L54" s="14"/>
      <c r="M54" s="14"/>
      <c r="N54" s="64"/>
      <c r="O54" s="1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s="238" customFormat="1">
      <c r="A55" s="7"/>
      <c r="B55" s="7"/>
      <c r="C55" s="8" t="s">
        <v>787</v>
      </c>
      <c r="D55" s="9">
        <v>52</v>
      </c>
      <c r="E55" s="8"/>
      <c r="F55" s="8"/>
      <c r="G55" s="8"/>
      <c r="H55" s="8"/>
      <c r="I55" s="15"/>
      <c r="J55" s="15"/>
      <c r="K55" s="14"/>
      <c r="L55" s="14"/>
      <c r="M55" s="14"/>
      <c r="N55" s="64"/>
      <c r="O55" s="14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 s="238" customFormat="1">
      <c r="A56" s="7"/>
      <c r="B56" s="7"/>
      <c r="C56" s="8" t="s">
        <v>788</v>
      </c>
      <c r="D56" s="9">
        <v>53</v>
      </c>
      <c r="E56" s="8"/>
      <c r="F56" s="8"/>
      <c r="G56" s="8"/>
      <c r="H56" s="8"/>
      <c r="I56" s="15"/>
      <c r="J56" s="15"/>
      <c r="K56" s="14"/>
      <c r="L56" s="14"/>
      <c r="M56" s="14"/>
      <c r="N56" s="64"/>
      <c r="O56" s="14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 s="238" customFormat="1">
      <c r="A57" s="7"/>
      <c r="B57" s="7"/>
      <c r="C57" s="8" t="s">
        <v>789</v>
      </c>
      <c r="D57" s="9">
        <v>54</v>
      </c>
      <c r="E57" s="8"/>
      <c r="F57" s="8"/>
      <c r="G57" s="8"/>
      <c r="H57" s="8"/>
      <c r="I57" s="15"/>
      <c r="J57" s="15"/>
      <c r="K57" s="8"/>
      <c r="L57" s="8"/>
      <c r="M57" s="8"/>
      <c r="N57" s="64"/>
      <c r="O57" s="8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 s="238" customFormat="1">
      <c r="A58" s="7"/>
      <c r="B58" s="7"/>
      <c r="C58" s="8" t="s">
        <v>790</v>
      </c>
      <c r="D58" s="9">
        <v>55</v>
      </c>
      <c r="E58" s="8"/>
      <c r="F58" s="8"/>
      <c r="G58" s="8"/>
      <c r="H58" s="8"/>
      <c r="I58" s="15"/>
      <c r="J58" s="15"/>
      <c r="K58" s="8"/>
      <c r="L58" s="8"/>
      <c r="M58" s="8"/>
      <c r="N58" s="64"/>
      <c r="O58" s="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 s="238" customFormat="1">
      <c r="A59" s="7"/>
      <c r="B59" s="7"/>
      <c r="C59" s="8" t="s">
        <v>791</v>
      </c>
      <c r="D59" s="9">
        <v>56</v>
      </c>
      <c r="E59" s="8"/>
      <c r="F59" s="8"/>
      <c r="G59" s="8"/>
      <c r="H59" s="8"/>
      <c r="I59" s="15"/>
      <c r="J59" s="15"/>
      <c r="K59" s="8"/>
      <c r="L59" s="8"/>
      <c r="M59" s="8"/>
      <c r="N59" s="64"/>
      <c r="O59" s="8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 s="238" customFormat="1">
      <c r="A60" s="7"/>
      <c r="B60" s="7"/>
      <c r="C60" s="7" t="s">
        <v>792</v>
      </c>
      <c r="D60" s="587">
        <v>57</v>
      </c>
      <c r="E60" s="7"/>
      <c r="F60" s="7"/>
      <c r="G60" s="7"/>
      <c r="H60" s="7"/>
      <c r="I60" s="268"/>
      <c r="J60" s="268"/>
      <c r="K60" s="7"/>
      <c r="L60" s="7"/>
      <c r="M60" s="7"/>
      <c r="N60" s="584"/>
      <c r="O60" s="7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 s="238" customFormat="1">
      <c r="A61" s="7"/>
      <c r="B61" s="7"/>
      <c r="C61" s="7" t="s">
        <v>793</v>
      </c>
      <c r="D61" s="587">
        <v>58</v>
      </c>
      <c r="E61" s="7"/>
      <c r="F61" s="7"/>
      <c r="G61" s="7"/>
      <c r="H61" s="7"/>
      <c r="I61" s="268"/>
      <c r="J61" s="268"/>
      <c r="K61" s="7"/>
      <c r="L61" s="7"/>
      <c r="M61" s="7"/>
      <c r="N61" s="584"/>
      <c r="O61" s="7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 s="238" customFormat="1">
      <c r="A62" s="7"/>
      <c r="B62" s="7"/>
      <c r="C62" s="7" t="s">
        <v>794</v>
      </c>
      <c r="D62" s="587">
        <v>59</v>
      </c>
      <c r="E62" s="7"/>
      <c r="F62" s="7"/>
      <c r="G62" s="7"/>
      <c r="H62" s="7"/>
      <c r="I62" s="268"/>
      <c r="J62" s="268"/>
      <c r="K62" s="7"/>
      <c r="L62" s="7"/>
      <c r="M62" s="7"/>
      <c r="N62" s="584"/>
      <c r="O62" s="7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 s="238" customFormat="1">
      <c r="A63" s="7"/>
      <c r="B63" s="7"/>
      <c r="C63" s="7" t="s">
        <v>795</v>
      </c>
      <c r="D63" s="587">
        <v>60</v>
      </c>
      <c r="E63" s="7"/>
      <c r="F63" s="7"/>
      <c r="G63" s="7"/>
      <c r="H63" s="7"/>
      <c r="I63" s="268"/>
      <c r="J63" s="268"/>
      <c r="K63" s="7"/>
      <c r="L63" s="7"/>
      <c r="M63" s="7"/>
      <c r="N63" s="584"/>
      <c r="O63" s="7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 s="238" customFormat="1">
      <c r="A64" s="7"/>
      <c r="B64" s="7"/>
      <c r="C64" s="7" t="s">
        <v>796</v>
      </c>
      <c r="D64" s="587">
        <v>61</v>
      </c>
      <c r="E64" s="7"/>
      <c r="F64" s="7"/>
      <c r="G64" s="7"/>
      <c r="H64" s="7"/>
      <c r="I64" s="268"/>
      <c r="J64" s="268"/>
      <c r="K64" s="7"/>
      <c r="L64" s="7"/>
      <c r="M64" s="7"/>
      <c r="N64" s="584"/>
      <c r="O64" s="7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 s="238" customFormat="1">
      <c r="A65" s="7"/>
      <c r="B65" s="7"/>
      <c r="C65" s="7" t="s">
        <v>797</v>
      </c>
      <c r="D65" s="587">
        <v>62</v>
      </c>
      <c r="E65" s="7"/>
      <c r="F65" s="7"/>
      <c r="G65" s="7"/>
      <c r="H65" s="7"/>
      <c r="I65" s="268"/>
      <c r="J65" s="268"/>
      <c r="K65" s="7"/>
      <c r="L65" s="7"/>
      <c r="M65" s="7"/>
      <c r="N65" s="584"/>
      <c r="O65" s="7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 s="238" customFormat="1">
      <c r="A66" s="7"/>
      <c r="B66" s="7"/>
      <c r="C66" s="590" t="s">
        <v>798</v>
      </c>
      <c r="D66" s="591">
        <v>63</v>
      </c>
      <c r="E66" s="590"/>
      <c r="F66" s="590"/>
      <c r="G66" s="590"/>
      <c r="H66" s="7"/>
      <c r="I66" s="268"/>
      <c r="J66" s="268"/>
      <c r="K66" s="590"/>
      <c r="L66" s="590"/>
      <c r="M66" s="590"/>
      <c r="N66" s="600"/>
      <c r="O66" s="590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1:37" s="238" customFormat="1">
      <c r="A67" s="7"/>
      <c r="B67" s="7"/>
      <c r="C67" s="7" t="s">
        <v>799</v>
      </c>
      <c r="D67" s="587">
        <v>64</v>
      </c>
      <c r="E67" s="7"/>
      <c r="F67" s="7"/>
      <c r="G67" s="7"/>
      <c r="H67" s="7"/>
      <c r="I67" s="268"/>
      <c r="J67" s="268"/>
      <c r="K67" s="7"/>
      <c r="L67" s="7"/>
      <c r="M67" s="7"/>
      <c r="N67" s="584"/>
      <c r="O67" s="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1:37" s="238" customFormat="1">
      <c r="A68" s="7"/>
      <c r="B68" s="7"/>
      <c r="C68" s="19" t="s">
        <v>800</v>
      </c>
      <c r="D68" s="18">
        <v>65</v>
      </c>
      <c r="E68" s="19"/>
      <c r="F68" s="19"/>
      <c r="G68" s="19"/>
      <c r="H68" s="8"/>
      <c r="I68" s="15"/>
      <c r="J68" s="15"/>
      <c r="K68" s="19"/>
      <c r="L68" s="19"/>
      <c r="M68" s="19"/>
      <c r="N68" s="586"/>
      <c r="O68" s="19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1:37" s="238" customFormat="1">
      <c r="A69" s="7"/>
      <c r="B69" s="7"/>
      <c r="C69" s="8" t="s">
        <v>801</v>
      </c>
      <c r="D69" s="9">
        <v>66</v>
      </c>
      <c r="E69" s="8"/>
      <c r="F69" s="8"/>
      <c r="G69" s="8"/>
      <c r="H69" s="8"/>
      <c r="I69" s="15"/>
      <c r="J69" s="15"/>
      <c r="K69" s="8"/>
      <c r="L69" s="8"/>
      <c r="M69" s="8"/>
      <c r="N69" s="64"/>
      <c r="O69" s="8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1:37" s="238" customFormat="1">
      <c r="A70" s="7"/>
      <c r="B70" s="7"/>
      <c r="C70" s="8" t="s">
        <v>802</v>
      </c>
      <c r="D70" s="9">
        <v>67</v>
      </c>
      <c r="E70" s="8"/>
      <c r="F70" s="8"/>
      <c r="G70" s="8"/>
      <c r="H70" s="8"/>
      <c r="I70" s="15"/>
      <c r="J70" s="15"/>
      <c r="K70" s="8"/>
      <c r="L70" s="8"/>
      <c r="M70" s="8"/>
      <c r="N70" s="64"/>
      <c r="O70" s="8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1:37" s="238" customFormat="1">
      <c r="A71" s="7"/>
      <c r="B71" s="7"/>
      <c r="C71" s="8" t="s">
        <v>803</v>
      </c>
      <c r="D71" s="9">
        <v>68</v>
      </c>
      <c r="E71" s="8"/>
      <c r="F71" s="8"/>
      <c r="G71" s="8"/>
      <c r="H71" s="8"/>
      <c r="I71" s="15"/>
      <c r="J71" s="15"/>
      <c r="K71" s="8"/>
      <c r="L71" s="8"/>
      <c r="M71" s="8"/>
      <c r="N71" s="64"/>
      <c r="O71" s="8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1:37" s="238" customFormat="1">
      <c r="A72" s="7"/>
      <c r="B72" s="7"/>
      <c r="C72" s="8" t="s">
        <v>804</v>
      </c>
      <c r="D72" s="9">
        <v>69</v>
      </c>
      <c r="E72" s="8"/>
      <c r="F72" s="8"/>
      <c r="G72" s="8"/>
      <c r="H72" s="8"/>
      <c r="I72" s="15"/>
      <c r="J72" s="15"/>
      <c r="K72" s="8"/>
      <c r="L72" s="8"/>
      <c r="M72" s="8"/>
      <c r="N72" s="64"/>
      <c r="O72" s="8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1:37" s="238" customFormat="1">
      <c r="A73" s="7"/>
      <c r="B73" s="7"/>
      <c r="C73" s="8" t="s">
        <v>805</v>
      </c>
      <c r="D73" s="9">
        <v>70</v>
      </c>
      <c r="E73" s="8"/>
      <c r="F73" s="8"/>
      <c r="G73" s="8"/>
      <c r="H73" s="8"/>
      <c r="I73" s="15"/>
      <c r="J73" s="15"/>
      <c r="K73" s="8"/>
      <c r="L73" s="8"/>
      <c r="M73" s="8"/>
      <c r="N73" s="64"/>
      <c r="O73" s="8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1:37" s="238" customFormat="1">
      <c r="A74" s="7"/>
      <c r="B74" s="7"/>
      <c r="C74" s="8" t="s">
        <v>806</v>
      </c>
      <c r="D74" s="9">
        <v>71</v>
      </c>
      <c r="E74" s="8"/>
      <c r="F74" s="8"/>
      <c r="G74" s="8"/>
      <c r="H74" s="8"/>
      <c r="I74" s="15"/>
      <c r="J74" s="15"/>
      <c r="K74" s="8"/>
      <c r="L74" s="8"/>
      <c r="M74" s="8"/>
      <c r="N74" s="64"/>
      <c r="O74" s="8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 spans="1:37" s="238" customFormat="1">
      <c r="A75" s="7"/>
      <c r="B75" s="7"/>
      <c r="C75" s="8" t="s">
        <v>807</v>
      </c>
      <c r="D75" s="9">
        <v>72</v>
      </c>
      <c r="E75" s="8"/>
      <c r="F75" s="8"/>
      <c r="G75" s="8"/>
      <c r="H75" s="8"/>
      <c r="I75" s="15"/>
      <c r="J75" s="15"/>
      <c r="K75" s="8"/>
      <c r="L75" s="8"/>
      <c r="M75" s="8"/>
      <c r="N75" s="64"/>
      <c r="O75" s="8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 spans="1:37" s="238" customFormat="1">
      <c r="A76" s="7"/>
      <c r="B76" s="7"/>
      <c r="C76" s="7" t="s">
        <v>233</v>
      </c>
      <c r="D76" s="587">
        <v>73</v>
      </c>
      <c r="E76" s="7"/>
      <c r="F76" s="7"/>
      <c r="G76" s="7"/>
      <c r="H76" s="7"/>
      <c r="I76" s="268"/>
      <c r="J76" s="268"/>
      <c r="K76" s="268"/>
      <c r="L76" s="268"/>
      <c r="M76" s="268"/>
      <c r="N76" s="584"/>
      <c r="O76" s="268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 spans="1:37" s="238" customFormat="1">
      <c r="A77" s="7"/>
      <c r="B77" s="7"/>
      <c r="C77" s="7" t="s">
        <v>234</v>
      </c>
      <c r="D77" s="587">
        <v>74</v>
      </c>
      <c r="E77" s="7"/>
      <c r="F77" s="7"/>
      <c r="G77" s="7"/>
      <c r="H77" s="7"/>
      <c r="I77" s="268"/>
      <c r="J77" s="268"/>
      <c r="K77" s="268"/>
      <c r="L77" s="268"/>
      <c r="M77" s="268"/>
      <c r="N77" s="584"/>
      <c r="O77" s="268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 spans="1:37" s="238" customFormat="1">
      <c r="A78" s="7"/>
      <c r="B78" s="7"/>
      <c r="C78" s="7" t="s">
        <v>235</v>
      </c>
      <c r="D78" s="587">
        <v>75</v>
      </c>
      <c r="E78" s="7"/>
      <c r="F78" s="7"/>
      <c r="G78" s="7"/>
      <c r="H78" s="7"/>
      <c r="I78" s="268"/>
      <c r="J78" s="268"/>
      <c r="K78" s="583"/>
      <c r="L78" s="583"/>
      <c r="M78" s="583"/>
      <c r="N78" s="584"/>
      <c r="O78" s="583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 spans="1:37" s="238" customFormat="1">
      <c r="A79" s="7"/>
      <c r="B79" s="7"/>
      <c r="C79" s="7" t="s">
        <v>236</v>
      </c>
      <c r="D79" s="587">
        <v>76</v>
      </c>
      <c r="E79" s="7"/>
      <c r="F79" s="7"/>
      <c r="G79" s="7"/>
      <c r="H79" s="7"/>
      <c r="I79" s="268"/>
      <c r="J79" s="268"/>
      <c r="K79" s="583"/>
      <c r="L79" s="583"/>
      <c r="M79" s="583"/>
      <c r="N79" s="584"/>
      <c r="O79" s="583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1:37" s="238" customFormat="1">
      <c r="A80" s="7"/>
      <c r="B80" s="7"/>
      <c r="C80" s="7" t="s">
        <v>237</v>
      </c>
      <c r="D80" s="587">
        <v>77</v>
      </c>
      <c r="E80" s="7"/>
      <c r="F80" s="7"/>
      <c r="G80" s="7"/>
      <c r="H80" s="7"/>
      <c r="I80" s="268"/>
      <c r="J80" s="268"/>
      <c r="K80" s="583"/>
      <c r="L80" s="583"/>
      <c r="M80" s="583"/>
      <c r="N80" s="584"/>
      <c r="O80" s="583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1:37" s="238" customFormat="1">
      <c r="A81" s="7"/>
      <c r="B81" s="7"/>
      <c r="C81" s="7" t="s">
        <v>238</v>
      </c>
      <c r="D81" s="587">
        <v>78</v>
      </c>
      <c r="E81" s="7"/>
      <c r="F81" s="7"/>
      <c r="G81" s="7"/>
      <c r="H81" s="7"/>
      <c r="I81" s="268"/>
      <c r="J81" s="268"/>
      <c r="K81" s="7"/>
      <c r="L81" s="7"/>
      <c r="M81" s="7"/>
      <c r="N81" s="584"/>
      <c r="O81" s="7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238" customFormat="1">
      <c r="A82" s="7"/>
      <c r="B82" s="7"/>
      <c r="C82" s="7" t="s">
        <v>239</v>
      </c>
      <c r="D82" s="587">
        <v>79</v>
      </c>
      <c r="E82" s="7"/>
      <c r="F82" s="7"/>
      <c r="G82" s="7"/>
      <c r="H82" s="7"/>
      <c r="I82" s="268"/>
      <c r="J82" s="268"/>
      <c r="K82" s="7"/>
      <c r="L82" s="7"/>
      <c r="M82" s="7"/>
      <c r="N82" s="584"/>
      <c r="O82" s="7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 s="238" customFormat="1">
      <c r="A83" s="7"/>
      <c r="B83" s="7"/>
      <c r="C83" s="7" t="s">
        <v>240</v>
      </c>
      <c r="D83" s="587">
        <v>80</v>
      </c>
      <c r="E83" s="7"/>
      <c r="F83" s="7"/>
      <c r="G83" s="7"/>
      <c r="H83" s="7"/>
      <c r="I83" s="268"/>
      <c r="J83" s="268"/>
      <c r="K83" s="7"/>
      <c r="L83" s="7"/>
      <c r="M83" s="7"/>
      <c r="N83" s="584"/>
      <c r="O83" s="7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 s="238" customFormat="1">
      <c r="A84" s="7"/>
      <c r="B84" s="7"/>
      <c r="C84" s="8" t="s">
        <v>241</v>
      </c>
      <c r="D84" s="9">
        <v>81</v>
      </c>
      <c r="E84" s="8"/>
      <c r="F84" s="8"/>
      <c r="G84" s="8"/>
      <c r="H84" s="8"/>
      <c r="I84" s="15"/>
      <c r="J84" s="15"/>
      <c r="K84" s="8"/>
      <c r="L84" s="8"/>
      <c r="M84" s="8"/>
      <c r="N84" s="64"/>
      <c r="O84" s="8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1:37" s="238" customFormat="1">
      <c r="A85" s="7"/>
      <c r="B85" s="7"/>
      <c r="C85" s="8" t="s">
        <v>242</v>
      </c>
      <c r="D85" s="9">
        <v>82</v>
      </c>
      <c r="E85" s="8"/>
      <c r="F85" s="8"/>
      <c r="G85" s="8"/>
      <c r="H85" s="8"/>
      <c r="I85" s="15"/>
      <c r="J85" s="15"/>
      <c r="K85" s="8"/>
      <c r="L85" s="8"/>
      <c r="M85" s="8"/>
      <c r="N85" s="64"/>
      <c r="O85" s="8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37" s="238" customFormat="1">
      <c r="A86" s="7"/>
      <c r="B86" s="7"/>
      <c r="C86" s="8" t="s">
        <v>243</v>
      </c>
      <c r="D86" s="9">
        <v>83</v>
      </c>
      <c r="E86" s="8"/>
      <c r="F86" s="8"/>
      <c r="G86" s="8"/>
      <c r="H86" s="8"/>
      <c r="I86" s="15"/>
      <c r="J86" s="15"/>
      <c r="K86" s="8"/>
      <c r="L86" s="8"/>
      <c r="M86" s="8"/>
      <c r="N86" s="64"/>
      <c r="O86" s="8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1:37" s="238" customFormat="1">
      <c r="A87" s="7"/>
      <c r="B87" s="7"/>
      <c r="C87" s="8" t="s">
        <v>244</v>
      </c>
      <c r="D87" s="9">
        <v>84</v>
      </c>
      <c r="E87" s="8"/>
      <c r="F87" s="8"/>
      <c r="G87" s="8"/>
      <c r="H87" s="8"/>
      <c r="I87" s="15"/>
      <c r="J87" s="15"/>
      <c r="K87" s="8"/>
      <c r="L87" s="8"/>
      <c r="M87" s="8"/>
      <c r="N87" s="64"/>
      <c r="O87" s="8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1:37" s="238" customFormat="1">
      <c r="A88" s="7"/>
      <c r="B88" s="7"/>
      <c r="C88" s="8" t="s">
        <v>245</v>
      </c>
      <c r="D88" s="9">
        <v>85</v>
      </c>
      <c r="E88" s="8"/>
      <c r="F88" s="8"/>
      <c r="G88" s="8"/>
      <c r="H88" s="8"/>
      <c r="I88" s="15"/>
      <c r="J88" s="15"/>
      <c r="K88" s="8"/>
      <c r="L88" s="8"/>
      <c r="M88" s="8"/>
      <c r="N88" s="64"/>
      <c r="O88" s="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1:37" s="238" customFormat="1">
      <c r="A89" s="7"/>
      <c r="B89" s="7"/>
      <c r="C89" s="8" t="s">
        <v>246</v>
      </c>
      <c r="D89" s="9">
        <v>86</v>
      </c>
      <c r="E89" s="8"/>
      <c r="F89" s="8"/>
      <c r="G89" s="8"/>
      <c r="H89" s="8"/>
      <c r="I89" s="15"/>
      <c r="J89" s="15"/>
      <c r="K89" s="8"/>
      <c r="L89" s="8"/>
      <c r="M89" s="8"/>
      <c r="N89" s="64"/>
      <c r="O89" s="8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 s="238" customFormat="1">
      <c r="A90" s="7"/>
      <c r="B90" s="7"/>
      <c r="C90" s="73" t="s">
        <v>247</v>
      </c>
      <c r="D90" s="71">
        <v>87</v>
      </c>
      <c r="E90" s="73"/>
      <c r="F90" s="73"/>
      <c r="G90" s="73"/>
      <c r="H90" s="8"/>
      <c r="I90" s="15"/>
      <c r="J90" s="15"/>
      <c r="K90" s="73"/>
      <c r="L90" s="73"/>
      <c r="M90" s="73"/>
      <c r="N90" s="598"/>
      <c r="O90" s="73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1:37" s="238" customFormat="1">
      <c r="A91" s="7"/>
      <c r="B91" s="7"/>
      <c r="C91" s="8" t="s">
        <v>248</v>
      </c>
      <c r="D91" s="9">
        <v>88</v>
      </c>
      <c r="E91" s="8"/>
      <c r="F91" s="8"/>
      <c r="G91" s="8"/>
      <c r="H91" s="8"/>
      <c r="I91" s="15"/>
      <c r="J91" s="15"/>
      <c r="K91" s="8"/>
      <c r="L91" s="8"/>
      <c r="M91" s="8"/>
      <c r="N91" s="64"/>
      <c r="O91" s="8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 s="238" customFormat="1">
      <c r="A92" s="7"/>
      <c r="B92" s="7"/>
      <c r="C92" s="588" t="s">
        <v>249</v>
      </c>
      <c r="D92" s="589">
        <v>89</v>
      </c>
      <c r="E92" s="588"/>
      <c r="F92" s="588"/>
      <c r="G92" s="588"/>
      <c r="H92" s="7"/>
      <c r="I92" s="268"/>
      <c r="J92" s="268"/>
      <c r="K92" s="588"/>
      <c r="L92" s="588"/>
      <c r="M92" s="588"/>
      <c r="N92" s="599"/>
      <c r="O92" s="588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 s="238" customFormat="1">
      <c r="A93" s="7"/>
      <c r="B93" s="7"/>
      <c r="C93" s="7" t="s">
        <v>250</v>
      </c>
      <c r="D93" s="587">
        <v>90</v>
      </c>
      <c r="E93" s="7"/>
      <c r="F93" s="7"/>
      <c r="G93" s="7"/>
      <c r="H93" s="7"/>
      <c r="I93" s="268"/>
      <c r="J93" s="268"/>
      <c r="K93" s="7"/>
      <c r="L93" s="7"/>
      <c r="M93" s="7"/>
      <c r="N93" s="584"/>
      <c r="O93" s="7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1:37" s="238" customFormat="1">
      <c r="A94" s="7"/>
      <c r="B94" s="7"/>
      <c r="C94" s="7" t="s">
        <v>251</v>
      </c>
      <c r="D94" s="587">
        <v>91</v>
      </c>
      <c r="E94" s="7"/>
      <c r="F94" s="7"/>
      <c r="G94" s="7"/>
      <c r="H94" s="7"/>
      <c r="I94" s="268"/>
      <c r="J94" s="268"/>
      <c r="K94" s="7"/>
      <c r="L94" s="7"/>
      <c r="M94" s="7"/>
      <c r="N94" s="584"/>
      <c r="O94" s="7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 s="238" customFormat="1">
      <c r="A95" s="7"/>
      <c r="B95" s="7"/>
      <c r="C95" s="7" t="s">
        <v>252</v>
      </c>
      <c r="D95" s="587">
        <v>92</v>
      </c>
      <c r="E95" s="7"/>
      <c r="F95" s="7"/>
      <c r="G95" s="7"/>
      <c r="H95" s="7"/>
      <c r="I95" s="268"/>
      <c r="J95" s="268"/>
      <c r="K95" s="7"/>
      <c r="L95" s="7"/>
      <c r="M95" s="7"/>
      <c r="N95" s="584"/>
      <c r="O95" s="7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 s="238" customFormat="1">
      <c r="A96" s="7"/>
      <c r="B96" s="7"/>
      <c r="C96" s="7" t="s">
        <v>253</v>
      </c>
      <c r="D96" s="587">
        <v>93</v>
      </c>
      <c r="E96" s="7"/>
      <c r="F96" s="7"/>
      <c r="G96" s="7"/>
      <c r="H96" s="7"/>
      <c r="I96" s="268"/>
      <c r="J96" s="268"/>
      <c r="K96" s="7"/>
      <c r="L96" s="7"/>
      <c r="M96" s="7"/>
      <c r="N96" s="584"/>
      <c r="O96" s="7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 s="238" customFormat="1">
      <c r="A97" s="7"/>
      <c r="B97" s="7"/>
      <c r="C97" s="7" t="s">
        <v>254</v>
      </c>
      <c r="D97" s="587">
        <v>94</v>
      </c>
      <c r="E97" s="7"/>
      <c r="F97" s="7"/>
      <c r="G97" s="7"/>
      <c r="H97" s="7"/>
      <c r="I97" s="268"/>
      <c r="J97" s="268"/>
      <c r="K97" s="7"/>
      <c r="L97" s="7"/>
      <c r="M97" s="7"/>
      <c r="N97" s="584"/>
      <c r="O97" s="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s="238" customFormat="1">
      <c r="A98" s="7"/>
      <c r="B98" s="7"/>
      <c r="C98" s="7" t="s">
        <v>255</v>
      </c>
      <c r="D98" s="587">
        <v>95</v>
      </c>
      <c r="E98" s="7"/>
      <c r="F98" s="7"/>
      <c r="G98" s="7"/>
      <c r="H98" s="7"/>
      <c r="I98" s="268"/>
      <c r="J98" s="268"/>
      <c r="K98" s="7"/>
      <c r="L98" s="7"/>
      <c r="M98" s="7"/>
      <c r="N98" s="584"/>
      <c r="O98" s="7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s="238" customFormat="1">
      <c r="A99" s="7"/>
      <c r="B99" s="7"/>
      <c r="C99" s="7" t="s">
        <v>256</v>
      </c>
      <c r="D99" s="587">
        <v>96</v>
      </c>
      <c r="E99" s="7"/>
      <c r="F99" s="7"/>
      <c r="G99" s="7"/>
      <c r="H99" s="7"/>
      <c r="I99" s="268"/>
      <c r="J99" s="268"/>
      <c r="K99" s="7"/>
      <c r="L99" s="7"/>
      <c r="M99" s="7"/>
      <c r="N99" s="584"/>
      <c r="O99" s="7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</sheetData>
  <customSheetViews>
    <customSheetView guid="{A4BD9991-0908-4EDC-898A-8A5DE615ED00}" scale="85">
      <selection activeCell="N11" sqref="N11"/>
      <pageMargins left="0.7" right="0.7" top="0.75" bottom="0.75" header="0.3" footer="0.3"/>
    </customSheetView>
  </customSheetViews>
  <mergeCells count="1">
    <mergeCell ref="A1:O2"/>
  </mergeCells>
  <phoneticPr fontId="6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C369-A0BF-474D-A061-5C4854999898}">
  <sheetPr codeName="Sheet7">
    <tabColor theme="5" tint="-0.249977111117893"/>
  </sheetPr>
  <dimension ref="A1:AK99"/>
  <sheetViews>
    <sheetView zoomScale="85" zoomScaleNormal="85" workbookViewId="0">
      <selection activeCell="K5" sqref="K5"/>
    </sheetView>
  </sheetViews>
  <sheetFormatPr defaultRowHeight="15"/>
  <cols>
    <col min="6" max="6" width="10.85546875" customWidth="1"/>
    <col min="8" max="8" width="10.42578125" customWidth="1"/>
    <col min="12" max="13" width="8.5703125" customWidth="1"/>
    <col min="14" max="15" width="10.42578125" customWidth="1"/>
  </cols>
  <sheetData>
    <row r="1" spans="1:16" ht="15.6" customHeight="1">
      <c r="A1" s="759" t="s">
        <v>1127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</row>
    <row r="2" spans="1:16" ht="15.6" customHeight="1">
      <c r="A2" s="756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</row>
    <row r="3" spans="1:16" ht="90">
      <c r="A3" s="580" t="s">
        <v>574</v>
      </c>
      <c r="B3" s="580" t="s">
        <v>597</v>
      </c>
      <c r="C3" s="265" t="s">
        <v>816</v>
      </c>
      <c r="D3" s="266" t="s">
        <v>193</v>
      </c>
      <c r="E3" s="580" t="s">
        <v>192</v>
      </c>
      <c r="F3" s="580" t="s">
        <v>273</v>
      </c>
      <c r="G3" s="580" t="s">
        <v>575</v>
      </c>
      <c r="H3" s="580" t="s">
        <v>577</v>
      </c>
      <c r="I3" s="580" t="s">
        <v>578</v>
      </c>
      <c r="J3" s="580" t="s">
        <v>576</v>
      </c>
      <c r="K3" s="580" t="s">
        <v>579</v>
      </c>
      <c r="L3" s="579" t="s">
        <v>1128</v>
      </c>
      <c r="M3" s="579" t="s">
        <v>1129</v>
      </c>
      <c r="N3" s="267" t="s">
        <v>810</v>
      </c>
      <c r="O3" s="579" t="s">
        <v>1130</v>
      </c>
      <c r="P3" s="580" t="s">
        <v>1111</v>
      </c>
    </row>
    <row r="4" spans="1:16">
      <c r="A4" s="1"/>
      <c r="B4" s="1"/>
      <c r="C4" s="8" t="s">
        <v>736</v>
      </c>
      <c r="D4" s="9">
        <v>1</v>
      </c>
      <c r="E4" s="8"/>
      <c r="F4" s="8"/>
      <c r="G4" s="8"/>
      <c r="H4" s="8"/>
      <c r="I4" s="15"/>
      <c r="J4" s="15"/>
      <c r="K4" s="15"/>
      <c r="L4" s="15"/>
      <c r="M4" s="15"/>
      <c r="N4" s="64"/>
      <c r="O4" s="15"/>
    </row>
    <row r="5" spans="1:16">
      <c r="A5" s="1"/>
      <c r="B5" s="1"/>
      <c r="C5" s="8" t="s">
        <v>737</v>
      </c>
      <c r="D5" s="9">
        <v>2</v>
      </c>
      <c r="E5" s="8"/>
      <c r="F5" s="8"/>
      <c r="G5" s="8"/>
      <c r="H5" s="8"/>
      <c r="I5" s="15"/>
      <c r="J5" s="15"/>
      <c r="K5" s="15"/>
      <c r="L5" s="15"/>
      <c r="M5" s="15"/>
      <c r="N5" s="64"/>
      <c r="O5" s="15"/>
    </row>
    <row r="6" spans="1:16">
      <c r="A6" s="1"/>
      <c r="B6" s="1"/>
      <c r="C6" s="8" t="s">
        <v>738</v>
      </c>
      <c r="D6" s="9">
        <v>3</v>
      </c>
      <c r="E6" s="8"/>
      <c r="F6" s="8"/>
      <c r="G6" s="8"/>
      <c r="H6" s="8"/>
      <c r="I6" s="15"/>
      <c r="J6" s="15"/>
      <c r="K6" s="14"/>
      <c r="L6" s="14"/>
      <c r="M6" s="14"/>
      <c r="N6" s="64"/>
      <c r="O6" s="14"/>
    </row>
    <row r="7" spans="1:16">
      <c r="A7" s="1"/>
      <c r="B7" s="1"/>
      <c r="C7" s="8" t="s">
        <v>739</v>
      </c>
      <c r="D7" s="9">
        <v>4</v>
      </c>
      <c r="E7" s="8"/>
      <c r="F7" s="8"/>
      <c r="G7" s="8"/>
      <c r="H7" s="8"/>
      <c r="I7" s="15"/>
      <c r="J7" s="15"/>
      <c r="K7" s="14"/>
      <c r="L7" s="14"/>
      <c r="M7" s="14"/>
      <c r="N7" s="64"/>
      <c r="O7" s="14"/>
    </row>
    <row r="8" spans="1:16">
      <c r="A8" s="1"/>
      <c r="B8" s="1"/>
      <c r="C8" s="8" t="s">
        <v>740</v>
      </c>
      <c r="D8" s="9">
        <v>5</v>
      </c>
      <c r="E8" s="8"/>
      <c r="F8" s="8"/>
      <c r="G8" s="8"/>
      <c r="H8" s="8"/>
      <c r="I8" s="15"/>
      <c r="J8" s="15"/>
      <c r="K8" s="14"/>
      <c r="L8" s="14"/>
      <c r="M8" s="14"/>
      <c r="N8" s="64"/>
      <c r="O8" s="14"/>
    </row>
    <row r="9" spans="1:16">
      <c r="A9" s="1"/>
      <c r="B9" s="1"/>
      <c r="C9" s="8" t="s">
        <v>741</v>
      </c>
      <c r="D9" s="9">
        <v>6</v>
      </c>
      <c r="E9" s="8"/>
      <c r="F9" s="8"/>
      <c r="G9" s="8"/>
      <c r="H9" s="8"/>
      <c r="I9" s="15"/>
      <c r="J9" s="15"/>
      <c r="K9" s="8"/>
      <c r="L9" s="8"/>
      <c r="M9" s="8"/>
      <c r="N9" s="64"/>
      <c r="O9" s="8"/>
    </row>
    <row r="10" spans="1:16">
      <c r="A10" s="1"/>
      <c r="B10" s="1"/>
      <c r="C10" s="8" t="s">
        <v>742</v>
      </c>
      <c r="D10" s="9">
        <v>7</v>
      </c>
      <c r="E10" s="8"/>
      <c r="F10" s="8"/>
      <c r="G10" s="8"/>
      <c r="H10" s="8"/>
      <c r="I10" s="15"/>
      <c r="J10" s="15"/>
      <c r="K10" s="8"/>
      <c r="L10" s="8"/>
      <c r="M10" s="8"/>
      <c r="N10" s="64"/>
      <c r="O10" s="8"/>
    </row>
    <row r="11" spans="1:16">
      <c r="A11" s="1"/>
      <c r="B11" s="1"/>
      <c r="C11" s="8" t="s">
        <v>743</v>
      </c>
      <c r="D11" s="9">
        <v>8</v>
      </c>
      <c r="E11" s="8"/>
      <c r="F11" s="8"/>
      <c r="G11" s="8"/>
      <c r="H11" s="8"/>
      <c r="I11" s="15"/>
      <c r="J11" s="15"/>
      <c r="K11" s="8"/>
      <c r="L11" s="8"/>
      <c r="M11" s="8"/>
      <c r="N11" s="64"/>
      <c r="O11" s="8"/>
    </row>
    <row r="12" spans="1:16">
      <c r="A12" s="1"/>
      <c r="B12" s="1"/>
      <c r="C12" s="1" t="s">
        <v>744</v>
      </c>
      <c r="D12" s="10">
        <v>9</v>
      </c>
      <c r="E12" s="1"/>
      <c r="F12" s="1"/>
      <c r="G12" s="1"/>
      <c r="H12" s="1"/>
      <c r="I12" s="268"/>
      <c r="J12" s="6"/>
      <c r="K12" s="1"/>
      <c r="L12" s="1"/>
      <c r="M12" s="1"/>
      <c r="N12" s="22"/>
      <c r="O12" s="1"/>
    </row>
    <row r="13" spans="1:16">
      <c r="A13" s="1"/>
      <c r="B13" s="1"/>
      <c r="C13" s="1" t="s">
        <v>745</v>
      </c>
      <c r="D13" s="10">
        <v>10</v>
      </c>
      <c r="E13" s="1"/>
      <c r="F13" s="1"/>
      <c r="G13" s="1"/>
      <c r="H13" s="1"/>
      <c r="I13" s="268"/>
      <c r="J13" s="6"/>
      <c r="K13" s="1"/>
      <c r="L13" s="1"/>
      <c r="M13" s="1"/>
      <c r="N13" s="22"/>
      <c r="O13" s="1"/>
    </row>
    <row r="14" spans="1:16">
      <c r="A14" s="1"/>
      <c r="B14" s="1"/>
      <c r="C14" s="1" t="s">
        <v>746</v>
      </c>
      <c r="D14" s="10">
        <v>11</v>
      </c>
      <c r="E14" s="1"/>
      <c r="F14" s="1"/>
      <c r="G14" s="1"/>
      <c r="H14" s="1"/>
      <c r="I14" s="268"/>
      <c r="J14" s="6"/>
      <c r="K14" s="1"/>
      <c r="L14" s="1"/>
      <c r="M14" s="1"/>
      <c r="N14" s="22"/>
      <c r="O14" s="1"/>
    </row>
    <row r="15" spans="1:16">
      <c r="A15" s="1"/>
      <c r="B15" s="1"/>
      <c r="C15" s="1" t="s">
        <v>747</v>
      </c>
      <c r="D15" s="10">
        <v>12</v>
      </c>
      <c r="E15" s="1"/>
      <c r="F15" s="1"/>
      <c r="G15" s="1"/>
      <c r="H15" s="1"/>
      <c r="I15" s="268"/>
      <c r="J15" s="6"/>
      <c r="K15" s="1"/>
      <c r="L15" s="1"/>
      <c r="M15" s="1"/>
      <c r="N15" s="22"/>
      <c r="O15" s="1"/>
    </row>
    <row r="16" spans="1:16">
      <c r="A16" s="1"/>
      <c r="B16" s="1"/>
      <c r="C16" s="1" t="s">
        <v>748</v>
      </c>
      <c r="D16" s="10">
        <v>13</v>
      </c>
      <c r="E16" s="1"/>
      <c r="F16" s="1"/>
      <c r="G16" s="1"/>
      <c r="H16" s="1"/>
      <c r="I16" s="268"/>
      <c r="J16" s="6"/>
      <c r="K16" s="1"/>
      <c r="L16" s="1"/>
      <c r="M16" s="1"/>
      <c r="N16" s="22"/>
      <c r="O16" s="1"/>
    </row>
    <row r="17" spans="1:37">
      <c r="A17" s="1"/>
      <c r="B17" s="1"/>
      <c r="C17" s="1" t="s">
        <v>749</v>
      </c>
      <c r="D17" s="10">
        <v>14</v>
      </c>
      <c r="E17" s="1"/>
      <c r="F17" s="1"/>
      <c r="G17" s="1"/>
      <c r="H17" s="1"/>
      <c r="I17" s="268"/>
      <c r="J17" s="6"/>
      <c r="K17" s="1"/>
      <c r="L17" s="1"/>
      <c r="M17" s="1"/>
      <c r="N17" s="22"/>
      <c r="O17" s="1"/>
    </row>
    <row r="18" spans="1:37">
      <c r="A18" s="1"/>
      <c r="B18" s="1"/>
      <c r="C18" s="17" t="s">
        <v>750</v>
      </c>
      <c r="D18" s="16">
        <v>15</v>
      </c>
      <c r="E18" s="17"/>
      <c r="F18" s="17"/>
      <c r="G18" s="17"/>
      <c r="H18" s="1"/>
      <c r="I18" s="268"/>
      <c r="J18" s="6"/>
      <c r="K18" s="17"/>
      <c r="L18" s="17"/>
      <c r="M18" s="17"/>
      <c r="N18" s="585"/>
      <c r="O18" s="17"/>
    </row>
    <row r="19" spans="1:37">
      <c r="A19" s="1"/>
      <c r="B19" s="1"/>
      <c r="C19" s="1" t="s">
        <v>751</v>
      </c>
      <c r="D19" s="10">
        <v>16</v>
      </c>
      <c r="E19" s="1"/>
      <c r="F19" s="1"/>
      <c r="G19" s="1"/>
      <c r="H19" s="1"/>
      <c r="I19" s="268"/>
      <c r="J19" s="6"/>
      <c r="K19" s="1"/>
      <c r="L19" s="1"/>
      <c r="M19" s="1"/>
      <c r="N19" s="22"/>
      <c r="O19" s="1"/>
    </row>
    <row r="20" spans="1:37">
      <c r="A20" s="1"/>
      <c r="B20" s="1"/>
      <c r="C20" s="19" t="s">
        <v>752</v>
      </c>
      <c r="D20" s="18">
        <v>17</v>
      </c>
      <c r="E20" s="19"/>
      <c r="F20" s="19"/>
      <c r="G20" s="19"/>
      <c r="H20" s="8"/>
      <c r="I20" s="15"/>
      <c r="J20" s="15"/>
      <c r="K20" s="19"/>
      <c r="L20" s="19"/>
      <c r="M20" s="19"/>
      <c r="N20" s="586"/>
      <c r="O20" s="19"/>
    </row>
    <row r="21" spans="1:37">
      <c r="A21" s="1"/>
      <c r="B21" s="1"/>
      <c r="C21" s="8" t="s">
        <v>753</v>
      </c>
      <c r="D21" s="9">
        <v>18</v>
      </c>
      <c r="E21" s="8"/>
      <c r="F21" s="8"/>
      <c r="G21" s="8"/>
      <c r="H21" s="8"/>
      <c r="I21" s="15"/>
      <c r="J21" s="15"/>
      <c r="K21" s="8"/>
      <c r="L21" s="8"/>
      <c r="M21" s="8"/>
      <c r="N21" s="64"/>
      <c r="O21" s="8"/>
    </row>
    <row r="22" spans="1:37">
      <c r="A22" s="1"/>
      <c r="B22" s="1"/>
      <c r="C22" s="8" t="s">
        <v>754</v>
      </c>
      <c r="D22" s="9">
        <v>19</v>
      </c>
      <c r="E22" s="8"/>
      <c r="F22" s="8"/>
      <c r="G22" s="8"/>
      <c r="H22" s="8"/>
      <c r="I22" s="15"/>
      <c r="J22" s="15"/>
      <c r="K22" s="8"/>
      <c r="L22" s="8"/>
      <c r="M22" s="8"/>
      <c r="N22" s="64"/>
      <c r="O22" s="8"/>
    </row>
    <row r="23" spans="1:37">
      <c r="A23" s="1"/>
      <c r="B23" s="1"/>
      <c r="C23" s="8" t="s">
        <v>755</v>
      </c>
      <c r="D23" s="9">
        <v>20</v>
      </c>
      <c r="E23" s="8"/>
      <c r="F23" s="8"/>
      <c r="G23" s="8"/>
      <c r="H23" s="8"/>
      <c r="I23" s="15"/>
      <c r="J23" s="15"/>
      <c r="K23" s="8"/>
      <c r="L23" s="8"/>
      <c r="M23" s="8"/>
      <c r="N23" s="64"/>
      <c r="O23" s="8"/>
    </row>
    <row r="24" spans="1:37">
      <c r="A24" s="1"/>
      <c r="B24" s="1"/>
      <c r="C24" s="8" t="s">
        <v>756</v>
      </c>
      <c r="D24" s="9">
        <v>21</v>
      </c>
      <c r="E24" s="8"/>
      <c r="F24" s="8"/>
      <c r="G24" s="8"/>
      <c r="H24" s="8"/>
      <c r="I24" s="15"/>
      <c r="J24" s="15"/>
      <c r="K24" s="8"/>
      <c r="L24" s="8"/>
      <c r="M24" s="8"/>
      <c r="N24" s="64"/>
      <c r="O24" s="8"/>
    </row>
    <row r="25" spans="1:37">
      <c r="A25" s="1"/>
      <c r="B25" s="1"/>
      <c r="C25" s="8" t="s">
        <v>757</v>
      </c>
      <c r="D25" s="9">
        <v>22</v>
      </c>
      <c r="E25" s="8"/>
      <c r="F25" s="8"/>
      <c r="G25" s="8"/>
      <c r="H25" s="8"/>
      <c r="I25" s="15"/>
      <c r="J25" s="15"/>
      <c r="K25" s="8"/>
      <c r="L25" s="8"/>
      <c r="M25" s="8"/>
      <c r="N25" s="64"/>
      <c r="O25" s="8"/>
    </row>
    <row r="26" spans="1:37">
      <c r="A26" s="1"/>
      <c r="B26" s="1"/>
      <c r="C26" s="8" t="s">
        <v>758</v>
      </c>
      <c r="D26" s="9">
        <v>23</v>
      </c>
      <c r="E26" s="8"/>
      <c r="F26" s="8"/>
      <c r="G26" s="8"/>
      <c r="H26" s="8"/>
      <c r="I26" s="15"/>
      <c r="J26" s="15"/>
      <c r="K26" s="8"/>
      <c r="L26" s="8"/>
      <c r="M26" s="8"/>
      <c r="N26" s="64"/>
      <c r="O26" s="8"/>
    </row>
    <row r="27" spans="1:37">
      <c r="A27" s="1"/>
      <c r="B27" s="1"/>
      <c r="C27" s="8" t="s">
        <v>759</v>
      </c>
      <c r="D27" s="9">
        <v>24</v>
      </c>
      <c r="E27" s="8"/>
      <c r="F27" s="8"/>
      <c r="G27" s="8"/>
      <c r="H27" s="8"/>
      <c r="I27" s="15"/>
      <c r="J27" s="15"/>
      <c r="K27" s="8"/>
      <c r="L27" s="8"/>
      <c r="M27" s="8"/>
      <c r="N27" s="64"/>
      <c r="O27" s="8"/>
    </row>
    <row r="28" spans="1:37" s="238" customFormat="1">
      <c r="A28" s="7"/>
      <c r="B28" s="7"/>
      <c r="C28" s="7" t="s">
        <v>760</v>
      </c>
      <c r="D28" s="587">
        <v>25</v>
      </c>
      <c r="E28" s="7"/>
      <c r="F28" s="7"/>
      <c r="G28" s="7"/>
      <c r="H28" s="7"/>
      <c r="I28" s="268"/>
      <c r="J28" s="268"/>
      <c r="K28" s="268"/>
      <c r="L28" s="268"/>
      <c r="M28" s="268"/>
      <c r="N28" s="584"/>
      <c r="O28" s="26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7" s="238" customFormat="1">
      <c r="A29" s="7"/>
      <c r="B29" s="7"/>
      <c r="C29" s="7" t="s">
        <v>761</v>
      </c>
      <c r="D29" s="587">
        <v>26</v>
      </c>
      <c r="E29" s="7"/>
      <c r="F29" s="7"/>
      <c r="G29" s="7"/>
      <c r="H29" s="7"/>
      <c r="I29" s="268"/>
      <c r="J29" s="268"/>
      <c r="K29" s="268"/>
      <c r="L29" s="268"/>
      <c r="M29" s="268"/>
      <c r="N29" s="584"/>
      <c r="O29" s="268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37" s="238" customFormat="1">
      <c r="A30" s="7"/>
      <c r="B30" s="7"/>
      <c r="C30" s="7" t="s">
        <v>762</v>
      </c>
      <c r="D30" s="587">
        <v>27</v>
      </c>
      <c r="E30" s="7"/>
      <c r="F30" s="7"/>
      <c r="G30" s="7"/>
      <c r="H30" s="7"/>
      <c r="I30" s="268"/>
      <c r="J30" s="268"/>
      <c r="K30" s="583"/>
      <c r="L30" s="583"/>
      <c r="M30" s="583"/>
      <c r="N30" s="584"/>
      <c r="O30" s="583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s="238" customFormat="1">
      <c r="A31" s="7"/>
      <c r="B31" s="7"/>
      <c r="C31" s="7" t="s">
        <v>763</v>
      </c>
      <c r="D31" s="587">
        <v>28</v>
      </c>
      <c r="E31" s="7"/>
      <c r="F31" s="7"/>
      <c r="G31" s="7"/>
      <c r="H31" s="7"/>
      <c r="I31" s="268"/>
      <c r="J31" s="268"/>
      <c r="K31" s="583"/>
      <c r="L31" s="583"/>
      <c r="M31" s="583"/>
      <c r="N31" s="584"/>
      <c r="O31" s="583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s="238" customFormat="1">
      <c r="A32" s="7"/>
      <c r="B32" s="7"/>
      <c r="C32" s="7" t="s">
        <v>764</v>
      </c>
      <c r="D32" s="587">
        <v>29</v>
      </c>
      <c r="E32" s="7"/>
      <c r="F32" s="7"/>
      <c r="G32" s="7"/>
      <c r="H32" s="7"/>
      <c r="I32" s="268"/>
      <c r="J32" s="268"/>
      <c r="K32" s="583"/>
      <c r="L32" s="583"/>
      <c r="M32" s="583"/>
      <c r="N32" s="584"/>
      <c r="O32" s="583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s="238" customFormat="1">
      <c r="A33" s="7"/>
      <c r="B33" s="7"/>
      <c r="C33" s="7" t="s">
        <v>765</v>
      </c>
      <c r="D33" s="587">
        <v>30</v>
      </c>
      <c r="E33" s="7"/>
      <c r="F33" s="7"/>
      <c r="G33" s="7"/>
      <c r="H33" s="7"/>
      <c r="I33" s="268"/>
      <c r="J33" s="268"/>
      <c r="K33" s="7"/>
      <c r="L33" s="7"/>
      <c r="M33" s="7"/>
      <c r="N33" s="584"/>
      <c r="O33" s="7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238" customFormat="1">
      <c r="A34" s="7"/>
      <c r="B34" s="7"/>
      <c r="C34" s="7" t="s">
        <v>766</v>
      </c>
      <c r="D34" s="587">
        <v>31</v>
      </c>
      <c r="E34" s="7"/>
      <c r="F34" s="7"/>
      <c r="G34" s="7"/>
      <c r="H34" s="7"/>
      <c r="I34" s="268"/>
      <c r="J34" s="268"/>
      <c r="K34" s="7"/>
      <c r="L34" s="7"/>
      <c r="M34" s="7"/>
      <c r="N34" s="584"/>
      <c r="O34" s="7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238" customFormat="1">
      <c r="A35" s="7"/>
      <c r="B35" s="7"/>
      <c r="C35" s="7" t="s">
        <v>767</v>
      </c>
      <c r="D35" s="587">
        <v>32</v>
      </c>
      <c r="E35" s="7"/>
      <c r="F35" s="7"/>
      <c r="G35" s="7"/>
      <c r="H35" s="7"/>
      <c r="I35" s="268"/>
      <c r="J35" s="268"/>
      <c r="K35" s="7"/>
      <c r="L35" s="7"/>
      <c r="M35" s="7"/>
      <c r="N35" s="584"/>
      <c r="O35" s="7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>
      <c r="A36" s="1"/>
      <c r="B36" s="1"/>
      <c r="C36" s="8" t="s">
        <v>768</v>
      </c>
      <c r="D36" s="9">
        <v>33</v>
      </c>
      <c r="E36" s="8"/>
      <c r="F36" s="8"/>
      <c r="G36" s="8"/>
      <c r="H36" s="8"/>
      <c r="I36" s="15"/>
      <c r="J36" s="15"/>
      <c r="K36" s="8"/>
      <c r="L36" s="8"/>
      <c r="M36" s="8"/>
      <c r="N36" s="64"/>
      <c r="O36" s="8"/>
    </row>
    <row r="37" spans="1:37">
      <c r="A37" s="1"/>
      <c r="B37" s="1"/>
      <c r="C37" s="8" t="s">
        <v>769</v>
      </c>
      <c r="D37" s="9">
        <v>34</v>
      </c>
      <c r="E37" s="8"/>
      <c r="F37" s="8"/>
      <c r="G37" s="8"/>
      <c r="H37" s="8"/>
      <c r="I37" s="15"/>
      <c r="J37" s="15"/>
      <c r="K37" s="8"/>
      <c r="L37" s="8"/>
      <c r="M37" s="8"/>
      <c r="N37" s="64"/>
      <c r="O37" s="8"/>
    </row>
    <row r="38" spans="1:37">
      <c r="A38" s="1"/>
      <c r="B38" s="1"/>
      <c r="C38" s="8" t="s">
        <v>770</v>
      </c>
      <c r="D38" s="9">
        <v>35</v>
      </c>
      <c r="E38" s="8"/>
      <c r="F38" s="8"/>
      <c r="G38" s="8"/>
      <c r="H38" s="8"/>
      <c r="I38" s="15"/>
      <c r="J38" s="15"/>
      <c r="K38" s="8"/>
      <c r="L38" s="8"/>
      <c r="M38" s="8"/>
      <c r="N38" s="64"/>
      <c r="O38" s="8"/>
    </row>
    <row r="39" spans="1:37">
      <c r="A39" s="1"/>
      <c r="B39" s="1"/>
      <c r="C39" s="8" t="s">
        <v>771</v>
      </c>
      <c r="D39" s="9">
        <v>36</v>
      </c>
      <c r="E39" s="8"/>
      <c r="F39" s="8"/>
      <c r="G39" s="8"/>
      <c r="H39" s="8"/>
      <c r="I39" s="15"/>
      <c r="J39" s="15"/>
      <c r="K39" s="8"/>
      <c r="L39" s="8"/>
      <c r="M39" s="8"/>
      <c r="N39" s="64"/>
      <c r="O39" s="8"/>
    </row>
    <row r="40" spans="1:37">
      <c r="A40" s="1"/>
      <c r="B40" s="1"/>
      <c r="C40" s="8" t="s">
        <v>772</v>
      </c>
      <c r="D40" s="9">
        <v>37</v>
      </c>
      <c r="E40" s="8"/>
      <c r="F40" s="8"/>
      <c r="G40" s="8"/>
      <c r="H40" s="8"/>
      <c r="I40" s="15"/>
      <c r="J40" s="15"/>
      <c r="K40" s="8"/>
      <c r="L40" s="8"/>
      <c r="M40" s="8"/>
      <c r="N40" s="64"/>
      <c r="O40" s="8"/>
    </row>
    <row r="41" spans="1:37">
      <c r="A41" s="1"/>
      <c r="B41" s="1"/>
      <c r="C41" s="8" t="s">
        <v>773</v>
      </c>
      <c r="D41" s="9">
        <v>38</v>
      </c>
      <c r="E41" s="8"/>
      <c r="F41" s="8"/>
      <c r="G41" s="8"/>
      <c r="H41" s="8"/>
      <c r="I41" s="15"/>
      <c r="J41" s="15"/>
      <c r="K41" s="8"/>
      <c r="L41" s="8"/>
      <c r="M41" s="8"/>
      <c r="N41" s="64"/>
      <c r="O41" s="8"/>
    </row>
    <row r="42" spans="1:37">
      <c r="A42" s="1"/>
      <c r="B42" s="1"/>
      <c r="C42" s="73" t="s">
        <v>774</v>
      </c>
      <c r="D42" s="71">
        <v>39</v>
      </c>
      <c r="E42" s="73"/>
      <c r="F42" s="73"/>
      <c r="G42" s="73"/>
      <c r="H42" s="8"/>
      <c r="I42" s="15"/>
      <c r="J42" s="15"/>
      <c r="K42" s="73"/>
      <c r="L42" s="73"/>
      <c r="M42" s="73"/>
      <c r="N42" s="598"/>
      <c r="O42" s="73"/>
    </row>
    <row r="43" spans="1:37">
      <c r="A43" s="1"/>
      <c r="B43" s="1"/>
      <c r="C43" s="8" t="s">
        <v>775</v>
      </c>
      <c r="D43" s="9">
        <v>40</v>
      </c>
      <c r="E43" s="8"/>
      <c r="F43" s="8"/>
      <c r="G43" s="8"/>
      <c r="H43" s="8"/>
      <c r="I43" s="15"/>
      <c r="J43" s="15"/>
      <c r="K43" s="8"/>
      <c r="L43" s="8"/>
      <c r="M43" s="8"/>
      <c r="N43" s="64"/>
      <c r="O43" s="8"/>
    </row>
    <row r="44" spans="1:37" s="238" customFormat="1">
      <c r="A44" s="7"/>
      <c r="B44" s="7"/>
      <c r="C44" s="588" t="s">
        <v>776</v>
      </c>
      <c r="D44" s="589">
        <v>41</v>
      </c>
      <c r="E44" s="588"/>
      <c r="F44" s="588"/>
      <c r="G44" s="588"/>
      <c r="H44" s="7"/>
      <c r="I44" s="268"/>
      <c r="J44" s="268"/>
      <c r="K44" s="588"/>
      <c r="L44" s="588"/>
      <c r="M44" s="588"/>
      <c r="N44" s="599"/>
      <c r="O44" s="588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1:37" s="238" customFormat="1">
      <c r="A45" s="7"/>
      <c r="B45" s="7"/>
      <c r="C45" s="7" t="s">
        <v>777</v>
      </c>
      <c r="D45" s="587">
        <v>42</v>
      </c>
      <c r="E45" s="7"/>
      <c r="F45" s="7"/>
      <c r="G45" s="7"/>
      <c r="H45" s="7"/>
      <c r="I45" s="268"/>
      <c r="J45" s="268"/>
      <c r="K45" s="7"/>
      <c r="L45" s="7"/>
      <c r="M45" s="7"/>
      <c r="N45" s="584"/>
      <c r="O45" s="7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1:37" s="238" customFormat="1">
      <c r="A46" s="7"/>
      <c r="B46" s="7"/>
      <c r="C46" s="7" t="s">
        <v>778</v>
      </c>
      <c r="D46" s="587">
        <v>43</v>
      </c>
      <c r="E46" s="7"/>
      <c r="F46" s="7"/>
      <c r="G46" s="7"/>
      <c r="H46" s="7"/>
      <c r="I46" s="268"/>
      <c r="J46" s="268"/>
      <c r="K46" s="7"/>
      <c r="L46" s="7"/>
      <c r="M46" s="7"/>
      <c r="N46" s="584"/>
      <c r="O46" s="7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1:37" s="238" customFormat="1">
      <c r="A47" s="7"/>
      <c r="B47" s="7"/>
      <c r="C47" s="7" t="s">
        <v>779</v>
      </c>
      <c r="D47" s="587">
        <v>44</v>
      </c>
      <c r="E47" s="7"/>
      <c r="F47" s="7"/>
      <c r="G47" s="7"/>
      <c r="H47" s="7"/>
      <c r="I47" s="268"/>
      <c r="J47" s="268"/>
      <c r="K47" s="7"/>
      <c r="L47" s="7"/>
      <c r="M47" s="7"/>
      <c r="N47" s="584"/>
      <c r="O47" s="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s="238" customFormat="1">
      <c r="A48" s="7"/>
      <c r="B48" s="7"/>
      <c r="C48" s="7" t="s">
        <v>780</v>
      </c>
      <c r="D48" s="587">
        <v>45</v>
      </c>
      <c r="E48" s="7"/>
      <c r="F48" s="7"/>
      <c r="G48" s="7"/>
      <c r="H48" s="7"/>
      <c r="I48" s="268"/>
      <c r="J48" s="268"/>
      <c r="K48" s="7"/>
      <c r="L48" s="7"/>
      <c r="M48" s="7"/>
      <c r="N48" s="584"/>
      <c r="O48" s="7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238" customFormat="1">
      <c r="A49" s="7"/>
      <c r="B49" s="7"/>
      <c r="C49" s="7" t="s">
        <v>781</v>
      </c>
      <c r="D49" s="587">
        <v>46</v>
      </c>
      <c r="E49" s="7"/>
      <c r="F49" s="7"/>
      <c r="G49" s="7"/>
      <c r="H49" s="7"/>
      <c r="I49" s="268"/>
      <c r="J49" s="268"/>
      <c r="K49" s="7"/>
      <c r="L49" s="7"/>
      <c r="M49" s="7"/>
      <c r="N49" s="584"/>
      <c r="O49" s="7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s="238" customFormat="1">
      <c r="A50" s="7"/>
      <c r="B50" s="7"/>
      <c r="C50" s="7" t="s">
        <v>782</v>
      </c>
      <c r="D50" s="587">
        <v>47</v>
      </c>
      <c r="E50" s="7"/>
      <c r="F50" s="7"/>
      <c r="G50" s="7"/>
      <c r="H50" s="7"/>
      <c r="I50" s="268"/>
      <c r="J50" s="268"/>
      <c r="K50" s="7"/>
      <c r="L50" s="7"/>
      <c r="M50" s="7"/>
      <c r="N50" s="584"/>
      <c r="O50" s="7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s="238" customFormat="1">
      <c r="A51" s="7"/>
      <c r="B51" s="7"/>
      <c r="C51" s="7" t="s">
        <v>783</v>
      </c>
      <c r="D51" s="587">
        <v>48</v>
      </c>
      <c r="E51" s="7"/>
      <c r="F51" s="7"/>
      <c r="G51" s="7"/>
      <c r="H51" s="7"/>
      <c r="I51" s="268"/>
      <c r="J51" s="268"/>
      <c r="K51" s="7"/>
      <c r="L51" s="7"/>
      <c r="M51" s="7"/>
      <c r="N51" s="584"/>
      <c r="O51" s="7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238" customFormat="1">
      <c r="A52" s="7"/>
      <c r="B52" s="7"/>
      <c r="C52" s="8" t="s">
        <v>784</v>
      </c>
      <c r="D52" s="9">
        <v>49</v>
      </c>
      <c r="E52" s="8"/>
      <c r="F52" s="8"/>
      <c r="G52" s="8"/>
      <c r="H52" s="8"/>
      <c r="I52" s="15"/>
      <c r="J52" s="15"/>
      <c r="K52" s="15"/>
      <c r="L52" s="15"/>
      <c r="M52" s="15"/>
      <c r="N52" s="64"/>
      <c r="O52" s="15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s="238" customFormat="1">
      <c r="A53" s="7"/>
      <c r="B53" s="7"/>
      <c r="C53" s="8" t="s">
        <v>785</v>
      </c>
      <c r="D53" s="9">
        <v>50</v>
      </c>
      <c r="E53" s="8"/>
      <c r="F53" s="8"/>
      <c r="G53" s="8"/>
      <c r="H53" s="8"/>
      <c r="I53" s="15"/>
      <c r="J53" s="15"/>
      <c r="K53" s="15"/>
      <c r="L53" s="15"/>
      <c r="M53" s="15"/>
      <c r="N53" s="64"/>
      <c r="O53" s="15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 s="238" customFormat="1">
      <c r="A54" s="7"/>
      <c r="B54" s="7"/>
      <c r="C54" s="8" t="s">
        <v>786</v>
      </c>
      <c r="D54" s="9">
        <v>51</v>
      </c>
      <c r="E54" s="8"/>
      <c r="F54" s="8"/>
      <c r="G54" s="8"/>
      <c r="H54" s="8"/>
      <c r="I54" s="15"/>
      <c r="J54" s="15"/>
      <c r="K54" s="14"/>
      <c r="L54" s="14"/>
      <c r="M54" s="14"/>
      <c r="N54" s="64"/>
      <c r="O54" s="1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s="238" customFormat="1">
      <c r="A55" s="7"/>
      <c r="B55" s="7"/>
      <c r="C55" s="8" t="s">
        <v>787</v>
      </c>
      <c r="D55" s="9">
        <v>52</v>
      </c>
      <c r="E55" s="8"/>
      <c r="F55" s="8"/>
      <c r="G55" s="8"/>
      <c r="H55" s="8"/>
      <c r="I55" s="15"/>
      <c r="J55" s="15"/>
      <c r="K55" s="14"/>
      <c r="L55" s="14"/>
      <c r="M55" s="14"/>
      <c r="N55" s="64"/>
      <c r="O55" s="14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 s="238" customFormat="1">
      <c r="A56" s="7"/>
      <c r="B56" s="7"/>
      <c r="C56" s="8" t="s">
        <v>788</v>
      </c>
      <c r="D56" s="9">
        <v>53</v>
      </c>
      <c r="E56" s="8"/>
      <c r="F56" s="8"/>
      <c r="G56" s="8"/>
      <c r="H56" s="8"/>
      <c r="I56" s="15"/>
      <c r="J56" s="15"/>
      <c r="K56" s="14"/>
      <c r="L56" s="14"/>
      <c r="M56" s="14"/>
      <c r="N56" s="64"/>
      <c r="O56" s="14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 s="238" customFormat="1">
      <c r="A57" s="7"/>
      <c r="B57" s="7"/>
      <c r="C57" s="8" t="s">
        <v>789</v>
      </c>
      <c r="D57" s="9">
        <v>54</v>
      </c>
      <c r="E57" s="8"/>
      <c r="F57" s="8"/>
      <c r="G57" s="8"/>
      <c r="H57" s="8"/>
      <c r="I57" s="15"/>
      <c r="J57" s="15"/>
      <c r="K57" s="8"/>
      <c r="L57" s="8"/>
      <c r="M57" s="8"/>
      <c r="N57" s="64"/>
      <c r="O57" s="8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 s="238" customFormat="1">
      <c r="A58" s="7"/>
      <c r="B58" s="7"/>
      <c r="C58" s="8" t="s">
        <v>790</v>
      </c>
      <c r="D58" s="9">
        <v>55</v>
      </c>
      <c r="E58" s="8"/>
      <c r="F58" s="8"/>
      <c r="G58" s="8"/>
      <c r="H58" s="8"/>
      <c r="I58" s="15"/>
      <c r="J58" s="15"/>
      <c r="K58" s="8"/>
      <c r="L58" s="8"/>
      <c r="M58" s="8"/>
      <c r="N58" s="64"/>
      <c r="O58" s="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 s="238" customFormat="1">
      <c r="A59" s="7"/>
      <c r="B59" s="7"/>
      <c r="C59" s="8" t="s">
        <v>791</v>
      </c>
      <c r="D59" s="9">
        <v>56</v>
      </c>
      <c r="E59" s="8"/>
      <c r="F59" s="8"/>
      <c r="G59" s="8"/>
      <c r="H59" s="8"/>
      <c r="I59" s="15"/>
      <c r="J59" s="15"/>
      <c r="K59" s="8"/>
      <c r="L59" s="8"/>
      <c r="M59" s="8"/>
      <c r="N59" s="64"/>
      <c r="O59" s="8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 s="238" customFormat="1">
      <c r="A60" s="7"/>
      <c r="B60" s="7"/>
      <c r="C60" s="7" t="s">
        <v>792</v>
      </c>
      <c r="D60" s="587">
        <v>57</v>
      </c>
      <c r="E60" s="7"/>
      <c r="F60" s="7"/>
      <c r="G60" s="7"/>
      <c r="H60" s="7"/>
      <c r="I60" s="268"/>
      <c r="J60" s="268"/>
      <c r="K60" s="7"/>
      <c r="L60" s="7"/>
      <c r="M60" s="7"/>
      <c r="N60" s="584"/>
      <c r="O60" s="7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 s="238" customFormat="1">
      <c r="A61" s="7"/>
      <c r="B61" s="7"/>
      <c r="C61" s="7" t="s">
        <v>793</v>
      </c>
      <c r="D61" s="587">
        <v>58</v>
      </c>
      <c r="E61" s="7"/>
      <c r="F61" s="7"/>
      <c r="G61" s="7"/>
      <c r="H61" s="7"/>
      <c r="I61" s="268"/>
      <c r="J61" s="268"/>
      <c r="K61" s="7"/>
      <c r="L61" s="7"/>
      <c r="M61" s="7"/>
      <c r="N61" s="584"/>
      <c r="O61" s="7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 s="238" customFormat="1">
      <c r="A62" s="7"/>
      <c r="B62" s="7"/>
      <c r="C62" s="7" t="s">
        <v>794</v>
      </c>
      <c r="D62" s="587">
        <v>59</v>
      </c>
      <c r="E62" s="7"/>
      <c r="F62" s="7"/>
      <c r="G62" s="7"/>
      <c r="H62" s="7"/>
      <c r="I62" s="268"/>
      <c r="J62" s="268"/>
      <c r="K62" s="7"/>
      <c r="L62" s="7"/>
      <c r="M62" s="7"/>
      <c r="N62" s="584"/>
      <c r="O62" s="7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 s="238" customFormat="1">
      <c r="A63" s="7"/>
      <c r="B63" s="7"/>
      <c r="C63" s="7" t="s">
        <v>795</v>
      </c>
      <c r="D63" s="587">
        <v>60</v>
      </c>
      <c r="E63" s="7"/>
      <c r="F63" s="7"/>
      <c r="G63" s="7"/>
      <c r="H63" s="7"/>
      <c r="I63" s="268"/>
      <c r="J63" s="268"/>
      <c r="K63" s="7"/>
      <c r="L63" s="7"/>
      <c r="M63" s="7"/>
      <c r="N63" s="584"/>
      <c r="O63" s="7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 s="238" customFormat="1">
      <c r="A64" s="7"/>
      <c r="B64" s="7"/>
      <c r="C64" s="7" t="s">
        <v>796</v>
      </c>
      <c r="D64" s="587">
        <v>61</v>
      </c>
      <c r="E64" s="7"/>
      <c r="F64" s="7"/>
      <c r="G64" s="7"/>
      <c r="H64" s="7"/>
      <c r="I64" s="268"/>
      <c r="J64" s="268"/>
      <c r="K64" s="7"/>
      <c r="L64" s="7"/>
      <c r="M64" s="7"/>
      <c r="N64" s="584"/>
      <c r="O64" s="7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 s="238" customFormat="1">
      <c r="A65" s="7"/>
      <c r="B65" s="7"/>
      <c r="C65" s="7" t="s">
        <v>797</v>
      </c>
      <c r="D65" s="587">
        <v>62</v>
      </c>
      <c r="E65" s="7"/>
      <c r="F65" s="7"/>
      <c r="G65" s="7"/>
      <c r="H65" s="7"/>
      <c r="I65" s="268"/>
      <c r="J65" s="268"/>
      <c r="K65" s="7"/>
      <c r="L65" s="7"/>
      <c r="M65" s="7"/>
      <c r="N65" s="584"/>
      <c r="O65" s="7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 s="238" customFormat="1">
      <c r="A66" s="7"/>
      <c r="B66" s="7"/>
      <c r="C66" s="590" t="s">
        <v>798</v>
      </c>
      <c r="D66" s="591">
        <v>63</v>
      </c>
      <c r="E66" s="590"/>
      <c r="F66" s="590"/>
      <c r="G66" s="590"/>
      <c r="H66" s="7"/>
      <c r="I66" s="268"/>
      <c r="J66" s="268"/>
      <c r="K66" s="590"/>
      <c r="L66" s="590"/>
      <c r="M66" s="590"/>
      <c r="N66" s="600"/>
      <c r="O66" s="590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1:37" s="238" customFormat="1">
      <c r="A67" s="7"/>
      <c r="B67" s="7"/>
      <c r="C67" s="7" t="s">
        <v>799</v>
      </c>
      <c r="D67" s="587">
        <v>64</v>
      </c>
      <c r="E67" s="7"/>
      <c r="F67" s="7"/>
      <c r="G67" s="7"/>
      <c r="H67" s="7"/>
      <c r="I67" s="268"/>
      <c r="J67" s="268"/>
      <c r="K67" s="7"/>
      <c r="L67" s="7"/>
      <c r="M67" s="7"/>
      <c r="N67" s="584"/>
      <c r="O67" s="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1:37" s="238" customFormat="1">
      <c r="A68" s="7"/>
      <c r="B68" s="7"/>
      <c r="C68" s="19" t="s">
        <v>800</v>
      </c>
      <c r="D68" s="18">
        <v>65</v>
      </c>
      <c r="E68" s="19"/>
      <c r="F68" s="19"/>
      <c r="G68" s="19"/>
      <c r="H68" s="8"/>
      <c r="I68" s="15"/>
      <c r="J68" s="15"/>
      <c r="K68" s="19"/>
      <c r="L68" s="19"/>
      <c r="M68" s="19"/>
      <c r="N68" s="586"/>
      <c r="O68" s="19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1:37" s="238" customFormat="1">
      <c r="A69" s="7"/>
      <c r="B69" s="7"/>
      <c r="C69" s="8" t="s">
        <v>801</v>
      </c>
      <c r="D69" s="9">
        <v>66</v>
      </c>
      <c r="E69" s="8"/>
      <c r="F69" s="8"/>
      <c r="G69" s="8"/>
      <c r="H69" s="8"/>
      <c r="I69" s="15"/>
      <c r="J69" s="15"/>
      <c r="K69" s="8"/>
      <c r="L69" s="8"/>
      <c r="M69" s="8"/>
      <c r="N69" s="64"/>
      <c r="O69" s="8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1:37" s="238" customFormat="1">
      <c r="A70" s="7"/>
      <c r="B70" s="7"/>
      <c r="C70" s="8" t="s">
        <v>802</v>
      </c>
      <c r="D70" s="9">
        <v>67</v>
      </c>
      <c r="E70" s="8"/>
      <c r="F70" s="8"/>
      <c r="G70" s="8"/>
      <c r="H70" s="8"/>
      <c r="I70" s="15"/>
      <c r="J70" s="15"/>
      <c r="K70" s="8"/>
      <c r="L70" s="8"/>
      <c r="M70" s="8"/>
      <c r="N70" s="64"/>
      <c r="O70" s="8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1:37" s="238" customFormat="1">
      <c r="A71" s="7"/>
      <c r="B71" s="7"/>
      <c r="C71" s="8" t="s">
        <v>803</v>
      </c>
      <c r="D71" s="9">
        <v>68</v>
      </c>
      <c r="E71" s="8"/>
      <c r="F71" s="8"/>
      <c r="G71" s="8"/>
      <c r="H71" s="8"/>
      <c r="I71" s="15"/>
      <c r="J71" s="15"/>
      <c r="K71" s="8"/>
      <c r="L71" s="8"/>
      <c r="M71" s="8"/>
      <c r="N71" s="64"/>
      <c r="O71" s="8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1:37" s="238" customFormat="1">
      <c r="A72" s="7"/>
      <c r="B72" s="7"/>
      <c r="C72" s="8" t="s">
        <v>804</v>
      </c>
      <c r="D72" s="9">
        <v>69</v>
      </c>
      <c r="E72" s="8"/>
      <c r="F72" s="8"/>
      <c r="G72" s="8"/>
      <c r="H72" s="8"/>
      <c r="I72" s="15"/>
      <c r="J72" s="15"/>
      <c r="K72" s="8"/>
      <c r="L72" s="8"/>
      <c r="M72" s="8"/>
      <c r="N72" s="64"/>
      <c r="O72" s="8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1:37" s="238" customFormat="1">
      <c r="A73" s="7"/>
      <c r="B73" s="7"/>
      <c r="C73" s="8" t="s">
        <v>805</v>
      </c>
      <c r="D73" s="9">
        <v>70</v>
      </c>
      <c r="E73" s="8"/>
      <c r="F73" s="8"/>
      <c r="G73" s="8"/>
      <c r="H73" s="8"/>
      <c r="I73" s="15"/>
      <c r="J73" s="15"/>
      <c r="K73" s="8"/>
      <c r="L73" s="8"/>
      <c r="M73" s="8"/>
      <c r="N73" s="64"/>
      <c r="O73" s="8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1:37" s="238" customFormat="1">
      <c r="A74" s="7"/>
      <c r="B74" s="7"/>
      <c r="C74" s="8" t="s">
        <v>806</v>
      </c>
      <c r="D74" s="9">
        <v>71</v>
      </c>
      <c r="E74" s="8"/>
      <c r="F74" s="8"/>
      <c r="G74" s="8"/>
      <c r="H74" s="8"/>
      <c r="I74" s="15"/>
      <c r="J74" s="15"/>
      <c r="K74" s="8"/>
      <c r="L74" s="8"/>
      <c r="M74" s="8"/>
      <c r="N74" s="64"/>
      <c r="O74" s="8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 spans="1:37" s="238" customFormat="1">
      <c r="A75" s="7"/>
      <c r="B75" s="7"/>
      <c r="C75" s="8" t="s">
        <v>807</v>
      </c>
      <c r="D75" s="9">
        <v>72</v>
      </c>
      <c r="E75" s="8"/>
      <c r="F75" s="8"/>
      <c r="G75" s="8"/>
      <c r="H75" s="8"/>
      <c r="I75" s="15"/>
      <c r="J75" s="15"/>
      <c r="K75" s="8"/>
      <c r="L75" s="8"/>
      <c r="M75" s="8"/>
      <c r="N75" s="64"/>
      <c r="O75" s="8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 spans="1:37" s="238" customFormat="1">
      <c r="A76" s="7"/>
      <c r="B76" s="7"/>
      <c r="C76" s="7" t="s">
        <v>233</v>
      </c>
      <c r="D76" s="587">
        <v>73</v>
      </c>
      <c r="E76" s="7"/>
      <c r="F76" s="7"/>
      <c r="G76" s="7"/>
      <c r="H76" s="7"/>
      <c r="I76" s="268"/>
      <c r="J76" s="268"/>
      <c r="K76" s="268"/>
      <c r="L76" s="268"/>
      <c r="M76" s="268"/>
      <c r="N76" s="584"/>
      <c r="O76" s="268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 spans="1:37" s="238" customFormat="1">
      <c r="A77" s="7"/>
      <c r="B77" s="7"/>
      <c r="C77" s="7" t="s">
        <v>234</v>
      </c>
      <c r="D77" s="587">
        <v>74</v>
      </c>
      <c r="E77" s="7"/>
      <c r="F77" s="7"/>
      <c r="G77" s="7"/>
      <c r="H77" s="7"/>
      <c r="I77" s="268"/>
      <c r="J77" s="268"/>
      <c r="K77" s="268"/>
      <c r="L77" s="268"/>
      <c r="M77" s="268"/>
      <c r="N77" s="584"/>
      <c r="O77" s="268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 spans="1:37" s="238" customFormat="1">
      <c r="A78" s="7"/>
      <c r="B78" s="7"/>
      <c r="C78" s="7" t="s">
        <v>235</v>
      </c>
      <c r="D78" s="587">
        <v>75</v>
      </c>
      <c r="E78" s="7"/>
      <c r="F78" s="7"/>
      <c r="G78" s="7"/>
      <c r="H78" s="7"/>
      <c r="I78" s="268"/>
      <c r="J78" s="268"/>
      <c r="K78" s="583"/>
      <c r="L78" s="583"/>
      <c r="M78" s="583"/>
      <c r="N78" s="584"/>
      <c r="O78" s="583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 spans="1:37" s="238" customFormat="1">
      <c r="A79" s="7"/>
      <c r="B79" s="7"/>
      <c r="C79" s="7" t="s">
        <v>236</v>
      </c>
      <c r="D79" s="587">
        <v>76</v>
      </c>
      <c r="E79" s="7"/>
      <c r="F79" s="7"/>
      <c r="G79" s="7"/>
      <c r="H79" s="7"/>
      <c r="I79" s="268"/>
      <c r="J79" s="268"/>
      <c r="K79" s="583"/>
      <c r="L79" s="583"/>
      <c r="M79" s="583"/>
      <c r="N79" s="584"/>
      <c r="O79" s="583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1:37" s="238" customFormat="1">
      <c r="A80" s="7"/>
      <c r="B80" s="7"/>
      <c r="C80" s="7" t="s">
        <v>237</v>
      </c>
      <c r="D80" s="587">
        <v>77</v>
      </c>
      <c r="E80" s="7"/>
      <c r="F80" s="7"/>
      <c r="G80" s="7"/>
      <c r="H80" s="7"/>
      <c r="I80" s="268"/>
      <c r="J80" s="268"/>
      <c r="K80" s="583"/>
      <c r="L80" s="583"/>
      <c r="M80" s="583"/>
      <c r="N80" s="584"/>
      <c r="O80" s="583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1:37" s="238" customFormat="1">
      <c r="A81" s="7"/>
      <c r="B81" s="7"/>
      <c r="C81" s="7" t="s">
        <v>238</v>
      </c>
      <c r="D81" s="587">
        <v>78</v>
      </c>
      <c r="E81" s="7"/>
      <c r="F81" s="7"/>
      <c r="G81" s="7"/>
      <c r="H81" s="7"/>
      <c r="I81" s="268"/>
      <c r="J81" s="268"/>
      <c r="K81" s="7"/>
      <c r="L81" s="7"/>
      <c r="M81" s="7"/>
      <c r="N81" s="584"/>
      <c r="O81" s="7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238" customFormat="1">
      <c r="A82" s="7"/>
      <c r="B82" s="7"/>
      <c r="C82" s="7" t="s">
        <v>239</v>
      </c>
      <c r="D82" s="587">
        <v>79</v>
      </c>
      <c r="E82" s="7"/>
      <c r="F82" s="7"/>
      <c r="G82" s="7"/>
      <c r="H82" s="7"/>
      <c r="I82" s="268"/>
      <c r="J82" s="268"/>
      <c r="K82" s="7"/>
      <c r="L82" s="7"/>
      <c r="M82" s="7"/>
      <c r="N82" s="584"/>
      <c r="O82" s="7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 s="238" customFormat="1">
      <c r="A83" s="7"/>
      <c r="B83" s="7"/>
      <c r="C83" s="7" t="s">
        <v>240</v>
      </c>
      <c r="D83" s="587">
        <v>80</v>
      </c>
      <c r="E83" s="7"/>
      <c r="F83" s="7"/>
      <c r="G83" s="7"/>
      <c r="H83" s="7"/>
      <c r="I83" s="268"/>
      <c r="J83" s="268"/>
      <c r="K83" s="7"/>
      <c r="L83" s="7"/>
      <c r="M83" s="7"/>
      <c r="N83" s="584"/>
      <c r="O83" s="7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 s="238" customFormat="1">
      <c r="A84" s="7"/>
      <c r="B84" s="7"/>
      <c r="C84" s="8" t="s">
        <v>241</v>
      </c>
      <c r="D84" s="9">
        <v>81</v>
      </c>
      <c r="E84" s="8"/>
      <c r="F84" s="8"/>
      <c r="G84" s="8"/>
      <c r="H84" s="8"/>
      <c r="I84" s="15"/>
      <c r="J84" s="15"/>
      <c r="K84" s="8"/>
      <c r="L84" s="8"/>
      <c r="M84" s="8"/>
      <c r="N84" s="64"/>
      <c r="O84" s="8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1:37" s="238" customFormat="1">
      <c r="A85" s="7"/>
      <c r="B85" s="7"/>
      <c r="C85" s="8" t="s">
        <v>242</v>
      </c>
      <c r="D85" s="9">
        <v>82</v>
      </c>
      <c r="E85" s="8"/>
      <c r="F85" s="8"/>
      <c r="G85" s="8"/>
      <c r="H85" s="8"/>
      <c r="I85" s="15"/>
      <c r="J85" s="15"/>
      <c r="K85" s="8"/>
      <c r="L85" s="8"/>
      <c r="M85" s="8"/>
      <c r="N85" s="64"/>
      <c r="O85" s="8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37" s="238" customFormat="1">
      <c r="A86" s="7"/>
      <c r="B86" s="7"/>
      <c r="C86" s="8" t="s">
        <v>243</v>
      </c>
      <c r="D86" s="9">
        <v>83</v>
      </c>
      <c r="E86" s="8"/>
      <c r="F86" s="8"/>
      <c r="G86" s="8"/>
      <c r="H86" s="8"/>
      <c r="I86" s="15"/>
      <c r="J86" s="15"/>
      <c r="K86" s="8"/>
      <c r="L86" s="8"/>
      <c r="M86" s="8"/>
      <c r="N86" s="64"/>
      <c r="O86" s="8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1:37" s="238" customFormat="1">
      <c r="A87" s="7"/>
      <c r="B87" s="7"/>
      <c r="C87" s="8" t="s">
        <v>244</v>
      </c>
      <c r="D87" s="9">
        <v>84</v>
      </c>
      <c r="E87" s="8"/>
      <c r="F87" s="8"/>
      <c r="G87" s="8"/>
      <c r="H87" s="8"/>
      <c r="I87" s="15"/>
      <c r="J87" s="15"/>
      <c r="K87" s="8"/>
      <c r="L87" s="8"/>
      <c r="M87" s="8"/>
      <c r="N87" s="64"/>
      <c r="O87" s="8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1:37" s="238" customFormat="1">
      <c r="A88" s="7"/>
      <c r="B88" s="7"/>
      <c r="C88" s="8" t="s">
        <v>245</v>
      </c>
      <c r="D88" s="9">
        <v>85</v>
      </c>
      <c r="E88" s="8"/>
      <c r="F88" s="8"/>
      <c r="G88" s="8"/>
      <c r="H88" s="8"/>
      <c r="I88" s="15"/>
      <c r="J88" s="15"/>
      <c r="K88" s="8"/>
      <c r="L88" s="8"/>
      <c r="M88" s="8"/>
      <c r="N88" s="64"/>
      <c r="O88" s="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1:37" s="238" customFormat="1">
      <c r="A89" s="7"/>
      <c r="B89" s="7"/>
      <c r="C89" s="8" t="s">
        <v>246</v>
      </c>
      <c r="D89" s="9">
        <v>86</v>
      </c>
      <c r="E89" s="8"/>
      <c r="F89" s="8"/>
      <c r="G89" s="8"/>
      <c r="H89" s="8"/>
      <c r="I89" s="15"/>
      <c r="J89" s="15"/>
      <c r="K89" s="8"/>
      <c r="L89" s="8"/>
      <c r="M89" s="8"/>
      <c r="N89" s="64"/>
      <c r="O89" s="8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 s="238" customFormat="1">
      <c r="A90" s="7"/>
      <c r="B90" s="7"/>
      <c r="C90" s="73" t="s">
        <v>247</v>
      </c>
      <c r="D90" s="71">
        <v>87</v>
      </c>
      <c r="E90" s="73"/>
      <c r="F90" s="73"/>
      <c r="G90" s="73"/>
      <c r="H90" s="8"/>
      <c r="I90" s="15"/>
      <c r="J90" s="15"/>
      <c r="K90" s="73"/>
      <c r="L90" s="73"/>
      <c r="M90" s="73"/>
      <c r="N90" s="598"/>
      <c r="O90" s="73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1:37" s="238" customFormat="1">
      <c r="A91" s="7"/>
      <c r="B91" s="7"/>
      <c r="C91" s="8" t="s">
        <v>248</v>
      </c>
      <c r="D91" s="9">
        <v>88</v>
      </c>
      <c r="E91" s="8"/>
      <c r="F91" s="8"/>
      <c r="G91" s="8"/>
      <c r="H91" s="8"/>
      <c r="I91" s="15"/>
      <c r="J91" s="15"/>
      <c r="K91" s="8"/>
      <c r="L91" s="8"/>
      <c r="M91" s="8"/>
      <c r="N91" s="64"/>
      <c r="O91" s="8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 s="238" customFormat="1">
      <c r="A92" s="7"/>
      <c r="B92" s="7"/>
      <c r="C92" s="588" t="s">
        <v>249</v>
      </c>
      <c r="D92" s="589">
        <v>89</v>
      </c>
      <c r="E92" s="588"/>
      <c r="F92" s="588"/>
      <c r="G92" s="588"/>
      <c r="H92" s="7"/>
      <c r="I92" s="268"/>
      <c r="J92" s="268"/>
      <c r="K92" s="588"/>
      <c r="L92" s="588"/>
      <c r="M92" s="588"/>
      <c r="N92" s="599"/>
      <c r="O92" s="588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 s="238" customFormat="1">
      <c r="A93" s="7"/>
      <c r="B93" s="7"/>
      <c r="C93" s="7" t="s">
        <v>250</v>
      </c>
      <c r="D93" s="587">
        <v>90</v>
      </c>
      <c r="E93" s="7"/>
      <c r="F93" s="7"/>
      <c r="G93" s="7"/>
      <c r="H93" s="7"/>
      <c r="I93" s="268"/>
      <c r="J93" s="268"/>
      <c r="K93" s="7"/>
      <c r="L93" s="7"/>
      <c r="M93" s="7"/>
      <c r="N93" s="584"/>
      <c r="O93" s="7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1:37" s="238" customFormat="1">
      <c r="A94" s="7"/>
      <c r="B94" s="7"/>
      <c r="C94" s="7" t="s">
        <v>251</v>
      </c>
      <c r="D94" s="587">
        <v>91</v>
      </c>
      <c r="E94" s="7"/>
      <c r="F94" s="7"/>
      <c r="G94" s="7"/>
      <c r="H94" s="7"/>
      <c r="I94" s="268"/>
      <c r="J94" s="268"/>
      <c r="K94" s="7"/>
      <c r="L94" s="7"/>
      <c r="M94" s="7"/>
      <c r="N94" s="584"/>
      <c r="O94" s="7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 s="238" customFormat="1">
      <c r="A95" s="7"/>
      <c r="B95" s="7"/>
      <c r="C95" s="7" t="s">
        <v>252</v>
      </c>
      <c r="D95" s="587">
        <v>92</v>
      </c>
      <c r="E95" s="7"/>
      <c r="F95" s="7"/>
      <c r="G95" s="7"/>
      <c r="H95" s="7"/>
      <c r="I95" s="268"/>
      <c r="J95" s="268"/>
      <c r="K95" s="7"/>
      <c r="L95" s="7"/>
      <c r="M95" s="7"/>
      <c r="N95" s="584"/>
      <c r="O95" s="7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 s="238" customFormat="1">
      <c r="A96" s="7"/>
      <c r="B96" s="7"/>
      <c r="C96" s="7" t="s">
        <v>253</v>
      </c>
      <c r="D96" s="587">
        <v>93</v>
      </c>
      <c r="E96" s="7"/>
      <c r="F96" s="7"/>
      <c r="G96" s="7"/>
      <c r="H96" s="7"/>
      <c r="I96" s="268"/>
      <c r="J96" s="268"/>
      <c r="K96" s="7"/>
      <c r="L96" s="7"/>
      <c r="M96" s="7"/>
      <c r="N96" s="584"/>
      <c r="O96" s="7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 s="238" customFormat="1">
      <c r="A97" s="7"/>
      <c r="B97" s="7"/>
      <c r="C97" s="7" t="s">
        <v>254</v>
      </c>
      <c r="D97" s="587">
        <v>94</v>
      </c>
      <c r="E97" s="7"/>
      <c r="F97" s="7"/>
      <c r="G97" s="7"/>
      <c r="H97" s="7"/>
      <c r="I97" s="268"/>
      <c r="J97" s="268"/>
      <c r="K97" s="7"/>
      <c r="L97" s="7"/>
      <c r="M97" s="7"/>
      <c r="N97" s="584"/>
      <c r="O97" s="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s="238" customFormat="1">
      <c r="A98" s="7"/>
      <c r="B98" s="7"/>
      <c r="C98" s="7" t="s">
        <v>255</v>
      </c>
      <c r="D98" s="587">
        <v>95</v>
      </c>
      <c r="E98" s="7"/>
      <c r="F98" s="7"/>
      <c r="G98" s="7"/>
      <c r="H98" s="7"/>
      <c r="I98" s="268"/>
      <c r="J98" s="268"/>
      <c r="K98" s="7"/>
      <c r="L98" s="7"/>
      <c r="M98" s="7"/>
      <c r="N98" s="584"/>
      <c r="O98" s="7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s="238" customFormat="1">
      <c r="A99" s="7"/>
      <c r="B99" s="7"/>
      <c r="C99" s="7" t="s">
        <v>256</v>
      </c>
      <c r="D99" s="587">
        <v>96</v>
      </c>
      <c r="E99" s="7"/>
      <c r="F99" s="7"/>
      <c r="G99" s="7"/>
      <c r="H99" s="7"/>
      <c r="I99" s="268"/>
      <c r="J99" s="268"/>
      <c r="K99" s="7"/>
      <c r="L99" s="7"/>
      <c r="M99" s="7"/>
      <c r="N99" s="584"/>
      <c r="O99" s="7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</sheetData>
  <customSheetViews>
    <customSheetView guid="{A4BD9991-0908-4EDC-898A-8A5DE615ED00}" scale="85">
      <selection activeCell="K5" sqref="K5"/>
      <pageMargins left="0.7" right="0.7" top="0.75" bottom="0.75" header="0.3" footer="0.3"/>
    </customSheetView>
  </customSheetViews>
  <mergeCells count="1">
    <mergeCell ref="A1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243D-E7D6-434D-A449-B1D539A6AF63}">
  <sheetPr codeName="Sheet9">
    <tabColor theme="4" tint="0.39997558519241921"/>
  </sheetPr>
  <dimension ref="A1:AM99"/>
  <sheetViews>
    <sheetView zoomScale="85" zoomScaleNormal="85" workbookViewId="0">
      <selection activeCell="K17" sqref="K17"/>
    </sheetView>
  </sheetViews>
  <sheetFormatPr defaultRowHeight="15"/>
  <cols>
    <col min="6" max="6" width="10.85546875" customWidth="1"/>
    <col min="8" max="8" width="10.42578125" customWidth="1"/>
    <col min="12" max="12" width="14" customWidth="1"/>
    <col min="13" max="14" width="8.5703125" customWidth="1"/>
    <col min="15" max="15" width="10.42578125" customWidth="1"/>
    <col min="16" max="16" width="8.85546875" customWidth="1"/>
    <col min="17" max="17" width="9" customWidth="1"/>
  </cols>
  <sheetData>
    <row r="1" spans="1:18" ht="15.6" customHeight="1">
      <c r="A1" s="759" t="s">
        <v>1140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</row>
    <row r="2" spans="1:18" ht="15.6" customHeight="1">
      <c r="A2" s="756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7"/>
      <c r="Q2" s="757"/>
    </row>
    <row r="3" spans="1:18" ht="90">
      <c r="A3" s="580" t="s">
        <v>574</v>
      </c>
      <c r="B3" s="580" t="s">
        <v>597</v>
      </c>
      <c r="C3" s="265" t="s">
        <v>816</v>
      </c>
      <c r="D3" s="266" t="s">
        <v>193</v>
      </c>
      <c r="E3" s="580" t="s">
        <v>192</v>
      </c>
      <c r="F3" s="580" t="s">
        <v>273</v>
      </c>
      <c r="G3" s="580" t="s">
        <v>575</v>
      </c>
      <c r="H3" s="580" t="s">
        <v>577</v>
      </c>
      <c r="I3" s="580" t="s">
        <v>1132</v>
      </c>
      <c r="J3" s="580" t="s">
        <v>576</v>
      </c>
      <c r="K3" s="580" t="s">
        <v>1133</v>
      </c>
      <c r="L3" s="579" t="s">
        <v>1139</v>
      </c>
      <c r="M3" s="579" t="s">
        <v>1112</v>
      </c>
      <c r="N3" s="579" t="s">
        <v>1136</v>
      </c>
      <c r="O3" s="267" t="s">
        <v>810</v>
      </c>
      <c r="P3" s="579" t="s">
        <v>1134</v>
      </c>
      <c r="Q3" s="579" t="s">
        <v>1135</v>
      </c>
      <c r="R3" s="580" t="s">
        <v>1111</v>
      </c>
    </row>
    <row r="4" spans="1:18">
      <c r="A4" s="1"/>
      <c r="B4" s="1"/>
      <c r="C4" s="8" t="s">
        <v>736</v>
      </c>
      <c r="D4" s="9">
        <v>1</v>
      </c>
      <c r="E4" s="8"/>
      <c r="F4" s="8"/>
      <c r="G4" s="8"/>
      <c r="H4" s="8"/>
      <c r="I4" s="15"/>
      <c r="J4" s="15"/>
      <c r="K4" s="15"/>
      <c r="L4" s="15"/>
      <c r="M4" s="15"/>
      <c r="N4" s="15"/>
      <c r="O4" s="64"/>
      <c r="P4" s="15"/>
      <c r="Q4" s="15"/>
    </row>
    <row r="5" spans="1:18">
      <c r="A5" s="1"/>
      <c r="B5" s="1"/>
      <c r="C5" s="8" t="s">
        <v>737</v>
      </c>
      <c r="D5" s="9">
        <v>2</v>
      </c>
      <c r="E5" s="8"/>
      <c r="F5" s="8"/>
      <c r="G5" s="8"/>
      <c r="H5" s="8"/>
      <c r="I5" s="15"/>
      <c r="J5" s="15"/>
      <c r="K5" s="15"/>
      <c r="L5" s="15"/>
      <c r="M5" s="15"/>
      <c r="N5" s="15"/>
      <c r="O5" s="64"/>
      <c r="P5" s="15"/>
      <c r="Q5" s="15"/>
    </row>
    <row r="6" spans="1:18">
      <c r="A6" s="1"/>
      <c r="B6" s="1"/>
      <c r="C6" s="8" t="s">
        <v>738</v>
      </c>
      <c r="D6" s="9">
        <v>3</v>
      </c>
      <c r="E6" s="8"/>
      <c r="F6" s="8"/>
      <c r="G6" s="8"/>
      <c r="H6" s="8"/>
      <c r="I6" s="15"/>
      <c r="J6" s="15"/>
      <c r="K6" s="14"/>
      <c r="L6" s="14"/>
      <c r="M6" s="14"/>
      <c r="N6" s="14"/>
      <c r="O6" s="64"/>
      <c r="P6" s="14"/>
      <c r="Q6" s="14"/>
    </row>
    <row r="7" spans="1:18">
      <c r="A7" s="1"/>
      <c r="B7" s="1"/>
      <c r="C7" s="8" t="s">
        <v>739</v>
      </c>
      <c r="D7" s="9">
        <v>4</v>
      </c>
      <c r="E7" s="8"/>
      <c r="F7" s="8"/>
      <c r="G7" s="8"/>
      <c r="H7" s="8"/>
      <c r="I7" s="15"/>
      <c r="J7" s="15"/>
      <c r="K7" s="14"/>
      <c r="L7" s="14"/>
      <c r="M7" s="14"/>
      <c r="N7" s="14"/>
      <c r="O7" s="64"/>
      <c r="P7" s="14"/>
      <c r="Q7" s="14"/>
    </row>
    <row r="8" spans="1:18">
      <c r="A8" s="1"/>
      <c r="B8" s="1"/>
      <c r="C8" s="8" t="s">
        <v>740</v>
      </c>
      <c r="D8" s="9">
        <v>5</v>
      </c>
      <c r="E8" s="8"/>
      <c r="F8" s="8"/>
      <c r="G8" s="8"/>
      <c r="H8" s="8"/>
      <c r="I8" s="15"/>
      <c r="J8" s="15"/>
      <c r="K8" s="14"/>
      <c r="L8" s="14"/>
      <c r="M8" s="14"/>
      <c r="N8" s="14"/>
      <c r="O8" s="64"/>
      <c r="P8" s="14"/>
      <c r="Q8" s="14"/>
    </row>
    <row r="9" spans="1:18">
      <c r="A9" s="1"/>
      <c r="B9" s="1"/>
      <c r="C9" s="8" t="s">
        <v>741</v>
      </c>
      <c r="D9" s="9">
        <v>6</v>
      </c>
      <c r="E9" s="8"/>
      <c r="F9" s="8"/>
      <c r="G9" s="8"/>
      <c r="H9" s="8"/>
      <c r="I9" s="15"/>
      <c r="J9" s="15"/>
      <c r="K9" s="8"/>
      <c r="L9" s="8"/>
      <c r="M9" s="8"/>
      <c r="N9" s="8"/>
      <c r="O9" s="64"/>
      <c r="P9" s="8"/>
      <c r="Q9" s="8"/>
    </row>
    <row r="10" spans="1:18">
      <c r="A10" s="1"/>
      <c r="B10" s="1"/>
      <c r="C10" s="8" t="s">
        <v>742</v>
      </c>
      <c r="D10" s="9">
        <v>7</v>
      </c>
      <c r="E10" s="8"/>
      <c r="F10" s="8"/>
      <c r="G10" s="8"/>
      <c r="H10" s="8"/>
      <c r="I10" s="15"/>
      <c r="J10" s="15"/>
      <c r="K10" s="8"/>
      <c r="L10" s="8"/>
      <c r="M10" s="8"/>
      <c r="N10" s="8"/>
      <c r="O10" s="64"/>
      <c r="P10" s="8"/>
      <c r="Q10" s="8"/>
    </row>
    <row r="11" spans="1:18">
      <c r="A11" s="1"/>
      <c r="B11" s="1"/>
      <c r="C11" s="8" t="s">
        <v>743</v>
      </c>
      <c r="D11" s="9">
        <v>8</v>
      </c>
      <c r="E11" s="8"/>
      <c r="F11" s="8"/>
      <c r="G11" s="8"/>
      <c r="H11" s="8"/>
      <c r="I11" s="15"/>
      <c r="J11" s="15"/>
      <c r="K11" s="8"/>
      <c r="L11" s="8"/>
      <c r="M11" s="8"/>
      <c r="N11" s="8"/>
      <c r="O11" s="64"/>
      <c r="P11" s="8"/>
      <c r="Q11" s="8"/>
    </row>
    <row r="12" spans="1:18">
      <c r="A12" s="1"/>
      <c r="B12" s="1"/>
      <c r="C12" s="1" t="s">
        <v>744</v>
      </c>
      <c r="D12" s="10">
        <v>9</v>
      </c>
      <c r="E12" s="1"/>
      <c r="F12" s="1"/>
      <c r="G12" s="1"/>
      <c r="H12" s="1"/>
      <c r="I12" s="268"/>
      <c r="J12" s="6"/>
      <c r="K12" s="1"/>
      <c r="L12" s="1"/>
      <c r="M12" s="1"/>
      <c r="N12" s="1"/>
      <c r="O12" s="22"/>
      <c r="P12" s="1"/>
      <c r="Q12" s="1"/>
    </row>
    <row r="13" spans="1:18">
      <c r="A13" s="1"/>
      <c r="B13" s="1"/>
      <c r="C13" s="1" t="s">
        <v>745</v>
      </c>
      <c r="D13" s="10">
        <v>10</v>
      </c>
      <c r="E13" s="1"/>
      <c r="F13" s="1"/>
      <c r="G13" s="1"/>
      <c r="H13" s="1"/>
      <c r="I13" s="268"/>
      <c r="J13" s="6"/>
      <c r="K13" s="1"/>
      <c r="L13" s="1"/>
      <c r="M13" s="1"/>
      <c r="N13" s="1"/>
      <c r="O13" s="22"/>
      <c r="P13" s="1"/>
      <c r="Q13" s="1"/>
    </row>
    <row r="14" spans="1:18">
      <c r="A14" s="1"/>
      <c r="B14" s="1"/>
      <c r="C14" s="1" t="s">
        <v>746</v>
      </c>
      <c r="D14" s="10">
        <v>11</v>
      </c>
      <c r="E14" s="1"/>
      <c r="F14" s="1"/>
      <c r="G14" s="1"/>
      <c r="H14" s="1"/>
      <c r="I14" s="268"/>
      <c r="J14" s="6"/>
      <c r="K14" s="1"/>
      <c r="L14" s="1"/>
      <c r="M14" s="1"/>
      <c r="N14" s="1"/>
      <c r="O14" s="22"/>
      <c r="P14" s="1"/>
      <c r="Q14" s="1"/>
    </row>
    <row r="15" spans="1:18">
      <c r="A15" s="1"/>
      <c r="B15" s="1"/>
      <c r="C15" s="1" t="s">
        <v>747</v>
      </c>
      <c r="D15" s="10">
        <v>12</v>
      </c>
      <c r="E15" s="1"/>
      <c r="F15" s="1"/>
      <c r="G15" s="1"/>
      <c r="H15" s="1"/>
      <c r="I15" s="268"/>
      <c r="J15" s="6"/>
      <c r="K15" s="1"/>
      <c r="L15" s="1"/>
      <c r="M15" s="1"/>
      <c r="N15" s="1"/>
      <c r="O15" s="22"/>
      <c r="P15" s="1"/>
      <c r="Q15" s="1"/>
    </row>
    <row r="16" spans="1:18">
      <c r="A16" s="1"/>
      <c r="B16" s="1"/>
      <c r="C16" s="1" t="s">
        <v>748</v>
      </c>
      <c r="D16" s="10">
        <v>13</v>
      </c>
      <c r="E16" s="1"/>
      <c r="F16" s="1"/>
      <c r="G16" s="1"/>
      <c r="H16" s="1"/>
      <c r="I16" s="268"/>
      <c r="J16" s="6"/>
      <c r="K16" s="1"/>
      <c r="L16" s="1"/>
      <c r="M16" s="1"/>
      <c r="N16" s="1"/>
      <c r="O16" s="22"/>
      <c r="P16" s="1"/>
      <c r="Q16" s="1"/>
    </row>
    <row r="17" spans="1:39">
      <c r="A17" s="1"/>
      <c r="B17" s="1"/>
      <c r="C17" s="1" t="s">
        <v>749</v>
      </c>
      <c r="D17" s="10">
        <v>14</v>
      </c>
      <c r="E17" s="1"/>
      <c r="F17" s="1"/>
      <c r="G17" s="1"/>
      <c r="H17" s="1"/>
      <c r="I17" s="268"/>
      <c r="J17" s="6"/>
      <c r="K17" s="1"/>
      <c r="L17" s="1"/>
      <c r="M17" s="1"/>
      <c r="N17" s="1"/>
      <c r="O17" s="22"/>
      <c r="P17" s="1"/>
      <c r="Q17" s="1"/>
    </row>
    <row r="18" spans="1:39">
      <c r="A18" s="1"/>
      <c r="B18" s="1"/>
      <c r="C18" s="17" t="s">
        <v>750</v>
      </c>
      <c r="D18" s="16">
        <v>15</v>
      </c>
      <c r="E18" s="17"/>
      <c r="F18" s="17"/>
      <c r="G18" s="17"/>
      <c r="H18" s="1"/>
      <c r="I18" s="268"/>
      <c r="J18" s="6"/>
      <c r="K18" s="17"/>
      <c r="L18" s="17"/>
      <c r="M18" s="17"/>
      <c r="N18" s="17"/>
      <c r="O18" s="585"/>
      <c r="P18" s="17"/>
      <c r="Q18" s="17"/>
    </row>
    <row r="19" spans="1:39">
      <c r="A19" s="1"/>
      <c r="B19" s="1"/>
      <c r="C19" s="1" t="s">
        <v>751</v>
      </c>
      <c r="D19" s="10">
        <v>16</v>
      </c>
      <c r="E19" s="1"/>
      <c r="F19" s="1"/>
      <c r="G19" s="1"/>
      <c r="H19" s="1"/>
      <c r="I19" s="268"/>
      <c r="J19" s="6"/>
      <c r="K19" s="1"/>
      <c r="L19" s="1"/>
      <c r="M19" s="1"/>
      <c r="N19" s="1"/>
      <c r="O19" s="22"/>
      <c r="P19" s="1"/>
      <c r="Q19" s="1"/>
    </row>
    <row r="20" spans="1:39">
      <c r="A20" s="1"/>
      <c r="B20" s="1"/>
      <c r="C20" s="19" t="s">
        <v>752</v>
      </c>
      <c r="D20" s="18">
        <v>17</v>
      </c>
      <c r="E20" s="19"/>
      <c r="F20" s="19"/>
      <c r="G20" s="19"/>
      <c r="H20" s="8"/>
      <c r="I20" s="15"/>
      <c r="J20" s="15"/>
      <c r="K20" s="19"/>
      <c r="L20" s="19"/>
      <c r="M20" s="19"/>
      <c r="N20" s="19"/>
      <c r="O20" s="586"/>
      <c r="P20" s="19"/>
      <c r="Q20" s="19"/>
    </row>
    <row r="21" spans="1:39">
      <c r="A21" s="1"/>
      <c r="B21" s="1"/>
      <c r="C21" s="8" t="s">
        <v>753</v>
      </c>
      <c r="D21" s="9">
        <v>18</v>
      </c>
      <c r="E21" s="8"/>
      <c r="F21" s="8"/>
      <c r="G21" s="8"/>
      <c r="H21" s="8"/>
      <c r="I21" s="15"/>
      <c r="J21" s="15"/>
      <c r="K21" s="8"/>
      <c r="L21" s="8"/>
      <c r="M21" s="8"/>
      <c r="N21" s="8"/>
      <c r="O21" s="64"/>
      <c r="P21" s="8"/>
      <c r="Q21" s="8"/>
    </row>
    <row r="22" spans="1:39">
      <c r="A22" s="1"/>
      <c r="B22" s="1"/>
      <c r="C22" s="8" t="s">
        <v>754</v>
      </c>
      <c r="D22" s="9">
        <v>19</v>
      </c>
      <c r="E22" s="8"/>
      <c r="F22" s="8"/>
      <c r="G22" s="8"/>
      <c r="H22" s="8"/>
      <c r="I22" s="15"/>
      <c r="J22" s="15"/>
      <c r="K22" s="8"/>
      <c r="L22" s="8"/>
      <c r="M22" s="8"/>
      <c r="N22" s="8"/>
      <c r="O22" s="64"/>
      <c r="P22" s="8"/>
      <c r="Q22" s="8"/>
    </row>
    <row r="23" spans="1:39">
      <c r="A23" s="1"/>
      <c r="B23" s="1"/>
      <c r="C23" s="8" t="s">
        <v>755</v>
      </c>
      <c r="D23" s="9">
        <v>20</v>
      </c>
      <c r="E23" s="8"/>
      <c r="F23" s="8"/>
      <c r="G23" s="8"/>
      <c r="H23" s="8"/>
      <c r="I23" s="15"/>
      <c r="J23" s="15"/>
      <c r="K23" s="8"/>
      <c r="L23" s="8"/>
      <c r="M23" s="8"/>
      <c r="N23" s="8"/>
      <c r="O23" s="64"/>
      <c r="P23" s="8"/>
      <c r="Q23" s="8"/>
    </row>
    <row r="24" spans="1:39">
      <c r="A24" s="1"/>
      <c r="B24" s="1"/>
      <c r="C24" s="8" t="s">
        <v>756</v>
      </c>
      <c r="D24" s="9">
        <v>21</v>
      </c>
      <c r="E24" s="8"/>
      <c r="F24" s="8"/>
      <c r="G24" s="8"/>
      <c r="H24" s="8"/>
      <c r="I24" s="15"/>
      <c r="J24" s="15"/>
      <c r="K24" s="8"/>
      <c r="L24" s="8"/>
      <c r="M24" s="8"/>
      <c r="N24" s="8"/>
      <c r="O24" s="64"/>
      <c r="P24" s="8"/>
      <c r="Q24" s="8"/>
    </row>
    <row r="25" spans="1:39">
      <c r="A25" s="1"/>
      <c r="B25" s="1"/>
      <c r="C25" s="8" t="s">
        <v>757</v>
      </c>
      <c r="D25" s="9">
        <v>22</v>
      </c>
      <c r="E25" s="8"/>
      <c r="F25" s="8"/>
      <c r="G25" s="8"/>
      <c r="H25" s="8"/>
      <c r="I25" s="15"/>
      <c r="J25" s="15"/>
      <c r="K25" s="8"/>
      <c r="L25" s="8"/>
      <c r="M25" s="8"/>
      <c r="N25" s="8"/>
      <c r="O25" s="64"/>
      <c r="P25" s="8"/>
      <c r="Q25" s="8"/>
    </row>
    <row r="26" spans="1:39">
      <c r="A26" s="1"/>
      <c r="B26" s="1"/>
      <c r="C26" s="8" t="s">
        <v>758</v>
      </c>
      <c r="D26" s="9">
        <v>23</v>
      </c>
      <c r="E26" s="8"/>
      <c r="F26" s="8"/>
      <c r="G26" s="8"/>
      <c r="H26" s="8"/>
      <c r="I26" s="15"/>
      <c r="J26" s="15"/>
      <c r="K26" s="8"/>
      <c r="L26" s="8"/>
      <c r="M26" s="8"/>
      <c r="N26" s="8"/>
      <c r="O26" s="64"/>
      <c r="P26" s="8"/>
      <c r="Q26" s="8"/>
    </row>
    <row r="27" spans="1:39">
      <c r="A27" s="1"/>
      <c r="B27" s="1"/>
      <c r="C27" s="8" t="s">
        <v>759</v>
      </c>
      <c r="D27" s="9">
        <v>24</v>
      </c>
      <c r="E27" s="8"/>
      <c r="F27" s="8"/>
      <c r="G27" s="8"/>
      <c r="H27" s="8"/>
      <c r="I27" s="15"/>
      <c r="J27" s="15"/>
      <c r="K27" s="8"/>
      <c r="L27" s="8"/>
      <c r="M27" s="8"/>
      <c r="N27" s="8"/>
      <c r="O27" s="64"/>
      <c r="P27" s="8"/>
      <c r="Q27" s="8"/>
    </row>
    <row r="28" spans="1:39" s="238" customFormat="1">
      <c r="A28" s="7"/>
      <c r="B28" s="7"/>
      <c r="C28" s="7" t="s">
        <v>760</v>
      </c>
      <c r="D28" s="587">
        <v>25</v>
      </c>
      <c r="E28" s="7"/>
      <c r="F28" s="7"/>
      <c r="G28" s="7"/>
      <c r="H28" s="7"/>
      <c r="I28" s="268"/>
      <c r="J28" s="268"/>
      <c r="K28" s="268"/>
      <c r="L28" s="268"/>
      <c r="M28" s="268"/>
      <c r="N28" s="268"/>
      <c r="O28" s="584"/>
      <c r="P28" s="268"/>
      <c r="Q28" s="26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238" customFormat="1">
      <c r="A29" s="7"/>
      <c r="B29" s="7"/>
      <c r="C29" s="7" t="s">
        <v>761</v>
      </c>
      <c r="D29" s="587">
        <v>26</v>
      </c>
      <c r="E29" s="7"/>
      <c r="F29" s="7"/>
      <c r="G29" s="7"/>
      <c r="H29" s="7"/>
      <c r="I29" s="268"/>
      <c r="J29" s="268"/>
      <c r="K29" s="268"/>
      <c r="L29" s="268"/>
      <c r="M29" s="268"/>
      <c r="N29" s="268"/>
      <c r="O29" s="584"/>
      <c r="P29" s="268"/>
      <c r="Q29" s="268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38" customFormat="1">
      <c r="A30" s="7"/>
      <c r="B30" s="7"/>
      <c r="C30" s="7" t="s">
        <v>762</v>
      </c>
      <c r="D30" s="587">
        <v>27</v>
      </c>
      <c r="E30" s="7"/>
      <c r="F30" s="7"/>
      <c r="G30" s="7"/>
      <c r="H30" s="7"/>
      <c r="I30" s="268"/>
      <c r="J30" s="268"/>
      <c r="K30" s="583"/>
      <c r="L30" s="583"/>
      <c r="M30" s="583"/>
      <c r="N30" s="583"/>
      <c r="O30" s="584"/>
      <c r="P30" s="583"/>
      <c r="Q30" s="583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238" customFormat="1">
      <c r="A31" s="7"/>
      <c r="B31" s="7"/>
      <c r="C31" s="7" t="s">
        <v>763</v>
      </c>
      <c r="D31" s="587">
        <v>28</v>
      </c>
      <c r="E31" s="7"/>
      <c r="F31" s="7"/>
      <c r="G31" s="7"/>
      <c r="H31" s="7"/>
      <c r="I31" s="268"/>
      <c r="J31" s="268"/>
      <c r="K31" s="583"/>
      <c r="L31" s="583"/>
      <c r="M31" s="583"/>
      <c r="N31" s="583"/>
      <c r="O31" s="584"/>
      <c r="P31" s="583"/>
      <c r="Q31" s="583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38" customFormat="1">
      <c r="A32" s="7"/>
      <c r="B32" s="7"/>
      <c r="C32" s="7" t="s">
        <v>764</v>
      </c>
      <c r="D32" s="587">
        <v>29</v>
      </c>
      <c r="E32" s="7"/>
      <c r="F32" s="7"/>
      <c r="G32" s="7"/>
      <c r="H32" s="7"/>
      <c r="I32" s="268"/>
      <c r="J32" s="268"/>
      <c r="K32" s="583"/>
      <c r="L32" s="583"/>
      <c r="M32" s="583"/>
      <c r="N32" s="583"/>
      <c r="O32" s="584"/>
      <c r="P32" s="583"/>
      <c r="Q32" s="583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s="238" customFormat="1">
      <c r="A33" s="7"/>
      <c r="B33" s="7"/>
      <c r="C33" s="7" t="s">
        <v>765</v>
      </c>
      <c r="D33" s="587">
        <v>30</v>
      </c>
      <c r="E33" s="7"/>
      <c r="F33" s="7"/>
      <c r="G33" s="7"/>
      <c r="H33" s="7"/>
      <c r="I33" s="268"/>
      <c r="J33" s="268"/>
      <c r="K33" s="7"/>
      <c r="L33" s="7"/>
      <c r="M33" s="7"/>
      <c r="N33" s="7"/>
      <c r="O33" s="584"/>
      <c r="P33" s="7"/>
      <c r="Q33" s="7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s="238" customFormat="1">
      <c r="A34" s="7"/>
      <c r="B34" s="7"/>
      <c r="C34" s="7" t="s">
        <v>766</v>
      </c>
      <c r="D34" s="587">
        <v>31</v>
      </c>
      <c r="E34" s="7"/>
      <c r="F34" s="7"/>
      <c r="G34" s="7"/>
      <c r="H34" s="7"/>
      <c r="I34" s="268"/>
      <c r="J34" s="268"/>
      <c r="K34" s="7"/>
      <c r="L34" s="7"/>
      <c r="M34" s="7"/>
      <c r="N34" s="7"/>
      <c r="O34" s="584"/>
      <c r="P34" s="7"/>
      <c r="Q34" s="7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s="238" customFormat="1">
      <c r="A35" s="7"/>
      <c r="B35" s="7"/>
      <c r="C35" s="7" t="s">
        <v>767</v>
      </c>
      <c r="D35" s="587">
        <v>32</v>
      </c>
      <c r="E35" s="7"/>
      <c r="F35" s="7"/>
      <c r="G35" s="7"/>
      <c r="H35" s="7"/>
      <c r="I35" s="268"/>
      <c r="J35" s="268"/>
      <c r="K35" s="7"/>
      <c r="L35" s="7"/>
      <c r="M35" s="7"/>
      <c r="N35" s="7"/>
      <c r="O35" s="584"/>
      <c r="P35" s="7"/>
      <c r="Q35" s="7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>
      <c r="A36" s="1"/>
      <c r="B36" s="1"/>
      <c r="C36" s="8" t="s">
        <v>768</v>
      </c>
      <c r="D36" s="9">
        <v>33</v>
      </c>
      <c r="E36" s="8"/>
      <c r="F36" s="8"/>
      <c r="G36" s="8"/>
      <c r="H36" s="8"/>
      <c r="I36" s="15"/>
      <c r="J36" s="15"/>
      <c r="K36" s="8"/>
      <c r="L36" s="8"/>
      <c r="M36" s="8"/>
      <c r="N36" s="8"/>
      <c r="O36" s="64"/>
      <c r="P36" s="8"/>
      <c r="Q36" s="8"/>
    </row>
    <row r="37" spans="1:39">
      <c r="A37" s="1"/>
      <c r="B37" s="1"/>
      <c r="C37" s="8" t="s">
        <v>769</v>
      </c>
      <c r="D37" s="9">
        <v>34</v>
      </c>
      <c r="E37" s="8"/>
      <c r="F37" s="8"/>
      <c r="G37" s="8"/>
      <c r="H37" s="8"/>
      <c r="I37" s="15"/>
      <c r="J37" s="15"/>
      <c r="K37" s="8"/>
      <c r="L37" s="8"/>
      <c r="M37" s="8"/>
      <c r="N37" s="8"/>
      <c r="O37" s="64"/>
      <c r="P37" s="8"/>
      <c r="Q37" s="8"/>
    </row>
    <row r="38" spans="1:39">
      <c r="A38" s="1"/>
      <c r="B38" s="1"/>
      <c r="C38" s="8" t="s">
        <v>770</v>
      </c>
      <c r="D38" s="9">
        <v>35</v>
      </c>
      <c r="E38" s="8"/>
      <c r="F38" s="8"/>
      <c r="G38" s="8"/>
      <c r="H38" s="8"/>
      <c r="I38" s="15"/>
      <c r="J38" s="15"/>
      <c r="K38" s="8"/>
      <c r="L38" s="8"/>
      <c r="M38" s="8"/>
      <c r="N38" s="8"/>
      <c r="O38" s="64"/>
      <c r="P38" s="8"/>
      <c r="Q38" s="8"/>
    </row>
    <row r="39" spans="1:39">
      <c r="A39" s="1"/>
      <c r="B39" s="1"/>
      <c r="C39" s="8" t="s">
        <v>771</v>
      </c>
      <c r="D39" s="9">
        <v>36</v>
      </c>
      <c r="E39" s="8"/>
      <c r="F39" s="8"/>
      <c r="G39" s="8"/>
      <c r="H39" s="8"/>
      <c r="I39" s="15"/>
      <c r="J39" s="15"/>
      <c r="K39" s="8"/>
      <c r="L39" s="8"/>
      <c r="M39" s="8"/>
      <c r="N39" s="8"/>
      <c r="O39" s="64"/>
      <c r="P39" s="8"/>
      <c r="Q39" s="8"/>
    </row>
    <row r="40" spans="1:39">
      <c r="A40" s="1"/>
      <c r="B40" s="1"/>
      <c r="C40" s="8" t="s">
        <v>772</v>
      </c>
      <c r="D40" s="9">
        <v>37</v>
      </c>
      <c r="E40" s="8"/>
      <c r="F40" s="8"/>
      <c r="G40" s="8"/>
      <c r="H40" s="8"/>
      <c r="I40" s="15"/>
      <c r="J40" s="15"/>
      <c r="K40" s="8"/>
      <c r="L40" s="8"/>
      <c r="M40" s="8"/>
      <c r="N40" s="8"/>
      <c r="O40" s="64"/>
      <c r="P40" s="8"/>
      <c r="Q40" s="8"/>
    </row>
    <row r="41" spans="1:39">
      <c r="A41" s="1"/>
      <c r="B41" s="1"/>
      <c r="C41" s="8" t="s">
        <v>773</v>
      </c>
      <c r="D41" s="9">
        <v>38</v>
      </c>
      <c r="E41" s="8"/>
      <c r="F41" s="8"/>
      <c r="G41" s="8"/>
      <c r="H41" s="8"/>
      <c r="I41" s="15"/>
      <c r="J41" s="15"/>
      <c r="K41" s="8"/>
      <c r="L41" s="8"/>
      <c r="M41" s="8"/>
      <c r="N41" s="8"/>
      <c r="O41" s="64"/>
      <c r="P41" s="8"/>
      <c r="Q41" s="8"/>
    </row>
    <row r="42" spans="1:39">
      <c r="A42" s="1"/>
      <c r="B42" s="1"/>
      <c r="C42" s="73" t="s">
        <v>774</v>
      </c>
      <c r="D42" s="71">
        <v>39</v>
      </c>
      <c r="E42" s="73"/>
      <c r="F42" s="73"/>
      <c r="G42" s="73"/>
      <c r="H42" s="8"/>
      <c r="I42" s="15"/>
      <c r="J42" s="15"/>
      <c r="K42" s="73"/>
      <c r="L42" s="73"/>
      <c r="M42" s="73"/>
      <c r="N42" s="73"/>
      <c r="O42" s="598"/>
      <c r="P42" s="73"/>
      <c r="Q42" s="73"/>
    </row>
    <row r="43" spans="1:39">
      <c r="A43" s="1"/>
      <c r="B43" s="1"/>
      <c r="C43" s="8" t="s">
        <v>775</v>
      </c>
      <c r="D43" s="9">
        <v>40</v>
      </c>
      <c r="E43" s="8"/>
      <c r="F43" s="8"/>
      <c r="G43" s="8"/>
      <c r="H43" s="8"/>
      <c r="I43" s="15"/>
      <c r="J43" s="15"/>
      <c r="K43" s="8"/>
      <c r="L43" s="8"/>
      <c r="M43" s="8"/>
      <c r="N43" s="8"/>
      <c r="O43" s="64"/>
      <c r="P43" s="8"/>
      <c r="Q43" s="8"/>
    </row>
    <row r="44" spans="1:39" s="238" customFormat="1">
      <c r="A44" s="7"/>
      <c r="B44" s="7"/>
      <c r="C44" s="588" t="s">
        <v>776</v>
      </c>
      <c r="D44" s="589">
        <v>41</v>
      </c>
      <c r="E44" s="588"/>
      <c r="F44" s="588"/>
      <c r="G44" s="588"/>
      <c r="H44" s="7"/>
      <c r="I44" s="268"/>
      <c r="J44" s="268"/>
      <c r="K44" s="588"/>
      <c r="L44" s="588"/>
      <c r="M44" s="588"/>
      <c r="N44" s="588"/>
      <c r="O44" s="599"/>
      <c r="P44" s="588"/>
      <c r="Q44" s="588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 s="238" customFormat="1">
      <c r="A45" s="7"/>
      <c r="B45" s="7"/>
      <c r="C45" s="7" t="s">
        <v>777</v>
      </c>
      <c r="D45" s="587">
        <v>42</v>
      </c>
      <c r="E45" s="7"/>
      <c r="F45" s="7"/>
      <c r="G45" s="7"/>
      <c r="H45" s="7"/>
      <c r="I45" s="268"/>
      <c r="J45" s="268"/>
      <c r="K45" s="7"/>
      <c r="L45" s="7"/>
      <c r="M45" s="7"/>
      <c r="N45" s="7"/>
      <c r="O45" s="584"/>
      <c r="P45" s="7"/>
      <c r="Q45" s="7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s="238" customFormat="1">
      <c r="A46" s="7"/>
      <c r="B46" s="7"/>
      <c r="C46" s="7" t="s">
        <v>778</v>
      </c>
      <c r="D46" s="587">
        <v>43</v>
      </c>
      <c r="E46" s="7"/>
      <c r="F46" s="7"/>
      <c r="G46" s="7"/>
      <c r="H46" s="7"/>
      <c r="I46" s="268"/>
      <c r="J46" s="268"/>
      <c r="K46" s="7"/>
      <c r="L46" s="7"/>
      <c r="M46" s="7"/>
      <c r="N46" s="7"/>
      <c r="O46" s="584"/>
      <c r="P46" s="7"/>
      <c r="Q46" s="7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 s="238" customFormat="1">
      <c r="A47" s="7"/>
      <c r="B47" s="7"/>
      <c r="C47" s="7" t="s">
        <v>779</v>
      </c>
      <c r="D47" s="587">
        <v>44</v>
      </c>
      <c r="E47" s="7"/>
      <c r="F47" s="7"/>
      <c r="G47" s="7"/>
      <c r="H47" s="7"/>
      <c r="I47" s="268"/>
      <c r="J47" s="268"/>
      <c r="K47" s="7"/>
      <c r="L47" s="7"/>
      <c r="M47" s="7"/>
      <c r="N47" s="7"/>
      <c r="O47" s="584"/>
      <c r="P47" s="7"/>
      <c r="Q47" s="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 s="238" customFormat="1">
      <c r="A48" s="7"/>
      <c r="B48" s="7"/>
      <c r="C48" s="7" t="s">
        <v>780</v>
      </c>
      <c r="D48" s="587">
        <v>45</v>
      </c>
      <c r="E48" s="7"/>
      <c r="F48" s="7"/>
      <c r="G48" s="7"/>
      <c r="H48" s="7"/>
      <c r="I48" s="268"/>
      <c r="J48" s="268"/>
      <c r="K48" s="7"/>
      <c r="L48" s="7"/>
      <c r="M48" s="7"/>
      <c r="N48" s="7"/>
      <c r="O48" s="584"/>
      <c r="P48" s="7"/>
      <c r="Q48" s="7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 s="238" customFormat="1">
      <c r="A49" s="7"/>
      <c r="B49" s="7"/>
      <c r="C49" s="7" t="s">
        <v>781</v>
      </c>
      <c r="D49" s="587">
        <v>46</v>
      </c>
      <c r="E49" s="7"/>
      <c r="F49" s="7"/>
      <c r="G49" s="7"/>
      <c r="H49" s="7"/>
      <c r="I49" s="268"/>
      <c r="J49" s="268"/>
      <c r="K49" s="7"/>
      <c r="L49" s="7"/>
      <c r="M49" s="7"/>
      <c r="N49" s="7"/>
      <c r="O49" s="584"/>
      <c r="P49" s="7"/>
      <c r="Q49" s="7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 s="238" customFormat="1">
      <c r="A50" s="7"/>
      <c r="B50" s="7"/>
      <c r="C50" s="7" t="s">
        <v>782</v>
      </c>
      <c r="D50" s="587">
        <v>47</v>
      </c>
      <c r="E50" s="7"/>
      <c r="F50" s="7"/>
      <c r="G50" s="7"/>
      <c r="H50" s="7"/>
      <c r="I50" s="268"/>
      <c r="J50" s="268"/>
      <c r="K50" s="7"/>
      <c r="L50" s="7"/>
      <c r="M50" s="7"/>
      <c r="N50" s="7"/>
      <c r="O50" s="584"/>
      <c r="P50" s="7"/>
      <c r="Q50" s="7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 s="238" customFormat="1">
      <c r="A51" s="7"/>
      <c r="B51" s="7"/>
      <c r="C51" s="7" t="s">
        <v>783</v>
      </c>
      <c r="D51" s="587">
        <v>48</v>
      </c>
      <c r="E51" s="7"/>
      <c r="F51" s="7"/>
      <c r="G51" s="7"/>
      <c r="H51" s="7"/>
      <c r="I51" s="268"/>
      <c r="J51" s="268"/>
      <c r="K51" s="7"/>
      <c r="L51" s="7"/>
      <c r="M51" s="7"/>
      <c r="N51" s="7"/>
      <c r="O51" s="584"/>
      <c r="P51" s="7"/>
      <c r="Q51" s="7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 s="238" customFormat="1">
      <c r="A52" s="7"/>
      <c r="B52" s="7"/>
      <c r="C52" s="8" t="s">
        <v>784</v>
      </c>
      <c r="D52" s="9">
        <v>49</v>
      </c>
      <c r="E52" s="8"/>
      <c r="F52" s="8"/>
      <c r="G52" s="8"/>
      <c r="H52" s="8"/>
      <c r="I52" s="15"/>
      <c r="J52" s="15"/>
      <c r="K52" s="15"/>
      <c r="L52" s="15"/>
      <c r="M52" s="15"/>
      <c r="N52" s="15"/>
      <c r="O52" s="64"/>
      <c r="P52" s="15"/>
      <c r="Q52" s="15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 s="238" customFormat="1">
      <c r="A53" s="7"/>
      <c r="B53" s="7"/>
      <c r="C53" s="8" t="s">
        <v>785</v>
      </c>
      <c r="D53" s="9">
        <v>50</v>
      </c>
      <c r="E53" s="8"/>
      <c r="F53" s="8"/>
      <c r="G53" s="8"/>
      <c r="H53" s="8"/>
      <c r="I53" s="15"/>
      <c r="J53" s="15"/>
      <c r="K53" s="15"/>
      <c r="L53" s="15"/>
      <c r="M53" s="15"/>
      <c r="N53" s="15"/>
      <c r="O53" s="64"/>
      <c r="P53" s="15"/>
      <c r="Q53" s="15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238" customFormat="1">
      <c r="A54" s="7"/>
      <c r="B54" s="7"/>
      <c r="C54" s="8" t="s">
        <v>786</v>
      </c>
      <c r="D54" s="9">
        <v>51</v>
      </c>
      <c r="E54" s="8"/>
      <c r="F54" s="8"/>
      <c r="G54" s="8"/>
      <c r="H54" s="8"/>
      <c r="I54" s="15"/>
      <c r="J54" s="15"/>
      <c r="K54" s="14"/>
      <c r="L54" s="14"/>
      <c r="M54" s="14"/>
      <c r="N54" s="14"/>
      <c r="O54" s="64"/>
      <c r="P54" s="14"/>
      <c r="Q54" s="1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 s="238" customFormat="1">
      <c r="A55" s="7"/>
      <c r="B55" s="7"/>
      <c r="C55" s="8" t="s">
        <v>787</v>
      </c>
      <c r="D55" s="9">
        <v>52</v>
      </c>
      <c r="E55" s="8"/>
      <c r="F55" s="8"/>
      <c r="G55" s="8"/>
      <c r="H55" s="8"/>
      <c r="I55" s="15"/>
      <c r="J55" s="15"/>
      <c r="K55" s="14"/>
      <c r="L55" s="14"/>
      <c r="M55" s="14"/>
      <c r="N55" s="14"/>
      <c r="O55" s="64"/>
      <c r="P55" s="14"/>
      <c r="Q55" s="14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 s="238" customFormat="1">
      <c r="A56" s="7"/>
      <c r="B56" s="7"/>
      <c r="C56" s="8" t="s">
        <v>788</v>
      </c>
      <c r="D56" s="9">
        <v>53</v>
      </c>
      <c r="E56" s="8"/>
      <c r="F56" s="8"/>
      <c r="G56" s="8"/>
      <c r="H56" s="8"/>
      <c r="I56" s="15"/>
      <c r="J56" s="15"/>
      <c r="K56" s="14"/>
      <c r="L56" s="14"/>
      <c r="M56" s="14"/>
      <c r="N56" s="14"/>
      <c r="O56" s="64"/>
      <c r="P56" s="14"/>
      <c r="Q56" s="14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 s="238" customFormat="1">
      <c r="A57" s="7"/>
      <c r="B57" s="7"/>
      <c r="C57" s="8" t="s">
        <v>789</v>
      </c>
      <c r="D57" s="9">
        <v>54</v>
      </c>
      <c r="E57" s="8"/>
      <c r="F57" s="8"/>
      <c r="G57" s="8"/>
      <c r="H57" s="8"/>
      <c r="I57" s="15"/>
      <c r="J57" s="15"/>
      <c r="K57" s="8"/>
      <c r="L57" s="8"/>
      <c r="M57" s="8"/>
      <c r="N57" s="8"/>
      <c r="O57" s="64"/>
      <c r="P57" s="8"/>
      <c r="Q57" s="8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 s="238" customFormat="1">
      <c r="A58" s="7"/>
      <c r="B58" s="7"/>
      <c r="C58" s="8" t="s">
        <v>790</v>
      </c>
      <c r="D58" s="9">
        <v>55</v>
      </c>
      <c r="E58" s="8"/>
      <c r="F58" s="8"/>
      <c r="G58" s="8"/>
      <c r="H58" s="8"/>
      <c r="I58" s="15"/>
      <c r="J58" s="15"/>
      <c r="K58" s="8"/>
      <c r="L58" s="8"/>
      <c r="M58" s="8"/>
      <c r="N58" s="8"/>
      <c r="O58" s="64"/>
      <c r="P58" s="8"/>
      <c r="Q58" s="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s="238" customFormat="1">
      <c r="A59" s="7"/>
      <c r="B59" s="7"/>
      <c r="C59" s="8" t="s">
        <v>791</v>
      </c>
      <c r="D59" s="9">
        <v>56</v>
      </c>
      <c r="E59" s="8"/>
      <c r="F59" s="8"/>
      <c r="G59" s="8"/>
      <c r="H59" s="8"/>
      <c r="I59" s="15"/>
      <c r="J59" s="15"/>
      <c r="K59" s="8"/>
      <c r="L59" s="8"/>
      <c r="M59" s="8"/>
      <c r="N59" s="8"/>
      <c r="O59" s="64"/>
      <c r="P59" s="8"/>
      <c r="Q59" s="8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 s="238" customFormat="1">
      <c r="A60" s="7"/>
      <c r="B60" s="7"/>
      <c r="C60" s="7" t="s">
        <v>792</v>
      </c>
      <c r="D60" s="587">
        <v>57</v>
      </c>
      <c r="E60" s="7"/>
      <c r="F60" s="7"/>
      <c r="G60" s="7"/>
      <c r="H60" s="7"/>
      <c r="I60" s="268"/>
      <c r="J60" s="268"/>
      <c r="K60" s="7"/>
      <c r="L60" s="7"/>
      <c r="M60" s="7"/>
      <c r="N60" s="7"/>
      <c r="O60" s="584"/>
      <c r="P60" s="7"/>
      <c r="Q60" s="7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 s="238" customFormat="1">
      <c r="A61" s="7"/>
      <c r="B61" s="7"/>
      <c r="C61" s="7" t="s">
        <v>793</v>
      </c>
      <c r="D61" s="587">
        <v>58</v>
      </c>
      <c r="E61" s="7"/>
      <c r="F61" s="7"/>
      <c r="G61" s="7"/>
      <c r="H61" s="7"/>
      <c r="I61" s="268"/>
      <c r="J61" s="268"/>
      <c r="K61" s="7"/>
      <c r="L61" s="7"/>
      <c r="M61" s="7"/>
      <c r="N61" s="7"/>
      <c r="O61" s="584"/>
      <c r="P61" s="7"/>
      <c r="Q61" s="7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1:39" s="238" customFormat="1">
      <c r="A62" s="7"/>
      <c r="B62" s="7"/>
      <c r="C62" s="7" t="s">
        <v>794</v>
      </c>
      <c r="D62" s="587">
        <v>59</v>
      </c>
      <c r="E62" s="7"/>
      <c r="F62" s="7"/>
      <c r="G62" s="7"/>
      <c r="H62" s="7"/>
      <c r="I62" s="268"/>
      <c r="J62" s="268"/>
      <c r="K62" s="7"/>
      <c r="L62" s="7"/>
      <c r="M62" s="7"/>
      <c r="N62" s="7"/>
      <c r="O62" s="584"/>
      <c r="P62" s="7"/>
      <c r="Q62" s="7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 s="238" customFormat="1">
      <c r="A63" s="7"/>
      <c r="B63" s="7"/>
      <c r="C63" s="7" t="s">
        <v>795</v>
      </c>
      <c r="D63" s="587">
        <v>60</v>
      </c>
      <c r="E63" s="7"/>
      <c r="F63" s="7"/>
      <c r="G63" s="7"/>
      <c r="H63" s="7"/>
      <c r="I63" s="268"/>
      <c r="J63" s="268"/>
      <c r="K63" s="7"/>
      <c r="L63" s="7"/>
      <c r="M63" s="7"/>
      <c r="N63" s="7"/>
      <c r="O63" s="584"/>
      <c r="P63" s="7"/>
      <c r="Q63" s="7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1:39" s="238" customFormat="1">
      <c r="A64" s="7"/>
      <c r="B64" s="7"/>
      <c r="C64" s="7" t="s">
        <v>796</v>
      </c>
      <c r="D64" s="587">
        <v>61</v>
      </c>
      <c r="E64" s="7"/>
      <c r="F64" s="7"/>
      <c r="G64" s="7"/>
      <c r="H64" s="7"/>
      <c r="I64" s="268"/>
      <c r="J64" s="268"/>
      <c r="K64" s="7"/>
      <c r="L64" s="7"/>
      <c r="M64" s="7"/>
      <c r="N64" s="7"/>
      <c r="O64" s="584"/>
      <c r="P64" s="7"/>
      <c r="Q64" s="7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1:39" s="238" customFormat="1">
      <c r="A65" s="7"/>
      <c r="B65" s="7"/>
      <c r="C65" s="7" t="s">
        <v>797</v>
      </c>
      <c r="D65" s="587">
        <v>62</v>
      </c>
      <c r="E65" s="7"/>
      <c r="F65" s="7"/>
      <c r="G65" s="7"/>
      <c r="H65" s="7"/>
      <c r="I65" s="268"/>
      <c r="J65" s="268"/>
      <c r="K65" s="7"/>
      <c r="L65" s="7"/>
      <c r="M65" s="7"/>
      <c r="N65" s="7"/>
      <c r="O65" s="584"/>
      <c r="P65" s="7"/>
      <c r="Q65" s="7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 s="238" customFormat="1">
      <c r="A66" s="7"/>
      <c r="B66" s="7"/>
      <c r="C66" s="590" t="s">
        <v>798</v>
      </c>
      <c r="D66" s="591">
        <v>63</v>
      </c>
      <c r="E66" s="590"/>
      <c r="F66" s="590"/>
      <c r="G66" s="590"/>
      <c r="H66" s="7"/>
      <c r="I66" s="268"/>
      <c r="J66" s="268"/>
      <c r="K66" s="590"/>
      <c r="L66" s="590"/>
      <c r="M66" s="590"/>
      <c r="N66" s="590"/>
      <c r="O66" s="600"/>
      <c r="P66" s="590"/>
      <c r="Q66" s="590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1:39" s="238" customFormat="1">
      <c r="A67" s="7"/>
      <c r="B67" s="7"/>
      <c r="C67" s="7" t="s">
        <v>799</v>
      </c>
      <c r="D67" s="587">
        <v>64</v>
      </c>
      <c r="E67" s="7"/>
      <c r="F67" s="7"/>
      <c r="G67" s="7"/>
      <c r="H67" s="7"/>
      <c r="I67" s="268"/>
      <c r="J67" s="268"/>
      <c r="K67" s="7"/>
      <c r="L67" s="7"/>
      <c r="M67" s="7"/>
      <c r="N67" s="7"/>
      <c r="O67" s="584"/>
      <c r="P67" s="7"/>
      <c r="Q67" s="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 s="238" customFormat="1">
      <c r="A68" s="7"/>
      <c r="B68" s="7"/>
      <c r="C68" s="19" t="s">
        <v>800</v>
      </c>
      <c r="D68" s="18">
        <v>65</v>
      </c>
      <c r="E68" s="19"/>
      <c r="F68" s="19"/>
      <c r="G68" s="19"/>
      <c r="H68" s="8"/>
      <c r="I68" s="15"/>
      <c r="J68" s="15"/>
      <c r="K68" s="19"/>
      <c r="L68" s="19"/>
      <c r="M68" s="19"/>
      <c r="N68" s="19"/>
      <c r="O68" s="586"/>
      <c r="P68" s="19"/>
      <c r="Q68" s="19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 s="238" customFormat="1">
      <c r="A69" s="7"/>
      <c r="B69" s="7"/>
      <c r="C69" s="8" t="s">
        <v>801</v>
      </c>
      <c r="D69" s="9">
        <v>66</v>
      </c>
      <c r="E69" s="8"/>
      <c r="F69" s="8"/>
      <c r="G69" s="8"/>
      <c r="H69" s="8"/>
      <c r="I69" s="15"/>
      <c r="J69" s="15"/>
      <c r="K69" s="8"/>
      <c r="L69" s="8"/>
      <c r="M69" s="8"/>
      <c r="N69" s="8"/>
      <c r="O69" s="64"/>
      <c r="P69" s="8"/>
      <c r="Q69" s="8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1:39" s="238" customFormat="1">
      <c r="A70" s="7"/>
      <c r="B70" s="7"/>
      <c r="C70" s="8" t="s">
        <v>802</v>
      </c>
      <c r="D70" s="9">
        <v>67</v>
      </c>
      <c r="E70" s="8"/>
      <c r="F70" s="8"/>
      <c r="G70" s="8"/>
      <c r="H70" s="8"/>
      <c r="I70" s="15"/>
      <c r="J70" s="15"/>
      <c r="K70" s="8"/>
      <c r="L70" s="8"/>
      <c r="M70" s="8"/>
      <c r="N70" s="8"/>
      <c r="O70" s="64"/>
      <c r="P70" s="8"/>
      <c r="Q70" s="8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 s="238" customFormat="1">
      <c r="A71" s="7"/>
      <c r="B71" s="7"/>
      <c r="C71" s="8" t="s">
        <v>803</v>
      </c>
      <c r="D71" s="9">
        <v>68</v>
      </c>
      <c r="E71" s="8"/>
      <c r="F71" s="8"/>
      <c r="G71" s="8"/>
      <c r="H71" s="8"/>
      <c r="I71" s="15"/>
      <c r="J71" s="15"/>
      <c r="K71" s="8"/>
      <c r="L71" s="8"/>
      <c r="M71" s="8"/>
      <c r="N71" s="8"/>
      <c r="O71" s="64"/>
      <c r="P71" s="8"/>
      <c r="Q71" s="8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 s="238" customFormat="1">
      <c r="A72" s="7"/>
      <c r="B72" s="7"/>
      <c r="C72" s="8" t="s">
        <v>804</v>
      </c>
      <c r="D72" s="9">
        <v>69</v>
      </c>
      <c r="E72" s="8"/>
      <c r="F72" s="8"/>
      <c r="G72" s="8"/>
      <c r="H72" s="8"/>
      <c r="I72" s="15"/>
      <c r="J72" s="15"/>
      <c r="K72" s="8"/>
      <c r="L72" s="8"/>
      <c r="M72" s="8"/>
      <c r="N72" s="8"/>
      <c r="O72" s="64"/>
      <c r="P72" s="8"/>
      <c r="Q72" s="8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 s="238" customFormat="1">
      <c r="A73" s="7"/>
      <c r="B73" s="7"/>
      <c r="C73" s="8" t="s">
        <v>805</v>
      </c>
      <c r="D73" s="9">
        <v>70</v>
      </c>
      <c r="E73" s="8"/>
      <c r="F73" s="8"/>
      <c r="G73" s="8"/>
      <c r="H73" s="8"/>
      <c r="I73" s="15"/>
      <c r="J73" s="15"/>
      <c r="K73" s="8"/>
      <c r="L73" s="8"/>
      <c r="M73" s="8"/>
      <c r="N73" s="8"/>
      <c r="O73" s="64"/>
      <c r="P73" s="8"/>
      <c r="Q73" s="8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1:39" s="238" customFormat="1">
      <c r="A74" s="7"/>
      <c r="B74" s="7"/>
      <c r="C74" s="8" t="s">
        <v>806</v>
      </c>
      <c r="D74" s="9">
        <v>71</v>
      </c>
      <c r="E74" s="8"/>
      <c r="F74" s="8"/>
      <c r="G74" s="8"/>
      <c r="H74" s="8"/>
      <c r="I74" s="15"/>
      <c r="J74" s="15"/>
      <c r="K74" s="8"/>
      <c r="L74" s="8"/>
      <c r="M74" s="8"/>
      <c r="N74" s="8"/>
      <c r="O74" s="64"/>
      <c r="P74" s="8"/>
      <c r="Q74" s="8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 s="238" customFormat="1">
      <c r="A75" s="7"/>
      <c r="B75" s="7"/>
      <c r="C75" s="8" t="s">
        <v>807</v>
      </c>
      <c r="D75" s="9">
        <v>72</v>
      </c>
      <c r="E75" s="8"/>
      <c r="F75" s="8"/>
      <c r="G75" s="8"/>
      <c r="H75" s="8"/>
      <c r="I75" s="15"/>
      <c r="J75" s="15"/>
      <c r="K75" s="8"/>
      <c r="L75" s="8"/>
      <c r="M75" s="8"/>
      <c r="N75" s="8"/>
      <c r="O75" s="64"/>
      <c r="P75" s="8"/>
      <c r="Q75" s="8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 s="238" customFormat="1">
      <c r="A76" s="7"/>
      <c r="B76" s="7"/>
      <c r="C76" s="7" t="s">
        <v>233</v>
      </c>
      <c r="D76" s="587">
        <v>73</v>
      </c>
      <c r="E76" s="7"/>
      <c r="F76" s="7"/>
      <c r="G76" s="7"/>
      <c r="H76" s="7"/>
      <c r="I76" s="268"/>
      <c r="J76" s="268"/>
      <c r="K76" s="268"/>
      <c r="L76" s="268"/>
      <c r="M76" s="268"/>
      <c r="N76" s="268"/>
      <c r="O76" s="584"/>
      <c r="P76" s="268"/>
      <c r="Q76" s="268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 s="238" customFormat="1">
      <c r="A77" s="7"/>
      <c r="B77" s="7"/>
      <c r="C77" s="7" t="s">
        <v>234</v>
      </c>
      <c r="D77" s="587">
        <v>74</v>
      </c>
      <c r="E77" s="7"/>
      <c r="F77" s="7"/>
      <c r="G77" s="7"/>
      <c r="H77" s="7"/>
      <c r="I77" s="268"/>
      <c r="J77" s="268"/>
      <c r="K77" s="268"/>
      <c r="L77" s="268"/>
      <c r="M77" s="268"/>
      <c r="N77" s="268"/>
      <c r="O77" s="584"/>
      <c r="P77" s="268"/>
      <c r="Q77" s="268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 s="238" customFormat="1">
      <c r="A78" s="7"/>
      <c r="B78" s="7"/>
      <c r="C78" s="7" t="s">
        <v>235</v>
      </c>
      <c r="D78" s="587">
        <v>75</v>
      </c>
      <c r="E78" s="7"/>
      <c r="F78" s="7"/>
      <c r="G78" s="7"/>
      <c r="H78" s="7"/>
      <c r="I78" s="268"/>
      <c r="J78" s="268"/>
      <c r="K78" s="583"/>
      <c r="L78" s="583"/>
      <c r="M78" s="583"/>
      <c r="N78" s="583"/>
      <c r="O78" s="584"/>
      <c r="P78" s="583"/>
      <c r="Q78" s="583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 s="238" customFormat="1">
      <c r="A79" s="7"/>
      <c r="B79" s="7"/>
      <c r="C79" s="7" t="s">
        <v>236</v>
      </c>
      <c r="D79" s="587">
        <v>76</v>
      </c>
      <c r="E79" s="7"/>
      <c r="F79" s="7"/>
      <c r="G79" s="7"/>
      <c r="H79" s="7"/>
      <c r="I79" s="268"/>
      <c r="J79" s="268"/>
      <c r="K79" s="583"/>
      <c r="L79" s="583"/>
      <c r="M79" s="583"/>
      <c r="N79" s="583"/>
      <c r="O79" s="584"/>
      <c r="P79" s="583"/>
      <c r="Q79" s="583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1:39" s="238" customFormat="1">
      <c r="A80" s="7"/>
      <c r="B80" s="7"/>
      <c r="C80" s="7" t="s">
        <v>237</v>
      </c>
      <c r="D80" s="587">
        <v>77</v>
      </c>
      <c r="E80" s="7"/>
      <c r="F80" s="7"/>
      <c r="G80" s="7"/>
      <c r="H80" s="7"/>
      <c r="I80" s="268"/>
      <c r="J80" s="268"/>
      <c r="K80" s="583"/>
      <c r="L80" s="583"/>
      <c r="M80" s="583"/>
      <c r="N80" s="583"/>
      <c r="O80" s="584"/>
      <c r="P80" s="583"/>
      <c r="Q80" s="583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 s="238" customFormat="1">
      <c r="A81" s="7"/>
      <c r="B81" s="7"/>
      <c r="C81" s="7" t="s">
        <v>238</v>
      </c>
      <c r="D81" s="587">
        <v>78</v>
      </c>
      <c r="E81" s="7"/>
      <c r="F81" s="7"/>
      <c r="G81" s="7"/>
      <c r="H81" s="7"/>
      <c r="I81" s="268"/>
      <c r="J81" s="268"/>
      <c r="K81" s="7"/>
      <c r="L81" s="7"/>
      <c r="M81" s="7"/>
      <c r="N81" s="7"/>
      <c r="O81" s="584"/>
      <c r="P81" s="7"/>
      <c r="Q81" s="7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1:39" s="238" customFormat="1">
      <c r="A82" s="7"/>
      <c r="B82" s="7"/>
      <c r="C82" s="7" t="s">
        <v>239</v>
      </c>
      <c r="D82" s="587">
        <v>79</v>
      </c>
      <c r="E82" s="7"/>
      <c r="F82" s="7"/>
      <c r="G82" s="7"/>
      <c r="H82" s="7"/>
      <c r="I82" s="268"/>
      <c r="J82" s="268"/>
      <c r="K82" s="7"/>
      <c r="L82" s="7"/>
      <c r="M82" s="7"/>
      <c r="N82" s="7"/>
      <c r="O82" s="584"/>
      <c r="P82" s="7"/>
      <c r="Q82" s="7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 s="238" customFormat="1">
      <c r="A83" s="7"/>
      <c r="B83" s="7"/>
      <c r="C83" s="7" t="s">
        <v>240</v>
      </c>
      <c r="D83" s="587">
        <v>80</v>
      </c>
      <c r="E83" s="7"/>
      <c r="F83" s="7"/>
      <c r="G83" s="7"/>
      <c r="H83" s="7"/>
      <c r="I83" s="268"/>
      <c r="J83" s="268"/>
      <c r="K83" s="7"/>
      <c r="L83" s="7"/>
      <c r="M83" s="7"/>
      <c r="N83" s="7"/>
      <c r="O83" s="584"/>
      <c r="P83" s="7"/>
      <c r="Q83" s="7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238" customFormat="1">
      <c r="A84" s="7"/>
      <c r="B84" s="7"/>
      <c r="C84" s="8" t="s">
        <v>241</v>
      </c>
      <c r="D84" s="9">
        <v>81</v>
      </c>
      <c r="E84" s="8"/>
      <c r="F84" s="8"/>
      <c r="G84" s="8"/>
      <c r="H84" s="8"/>
      <c r="I84" s="15"/>
      <c r="J84" s="15"/>
      <c r="K84" s="8"/>
      <c r="L84" s="8"/>
      <c r="M84" s="8"/>
      <c r="N84" s="8"/>
      <c r="O84" s="64"/>
      <c r="P84" s="8"/>
      <c r="Q84" s="8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1:39" s="238" customFormat="1">
      <c r="A85" s="7"/>
      <c r="B85" s="7"/>
      <c r="C85" s="8" t="s">
        <v>242</v>
      </c>
      <c r="D85" s="9">
        <v>82</v>
      </c>
      <c r="E85" s="8"/>
      <c r="F85" s="8"/>
      <c r="G85" s="8"/>
      <c r="H85" s="8"/>
      <c r="I85" s="15"/>
      <c r="J85" s="15"/>
      <c r="K85" s="8"/>
      <c r="L85" s="8"/>
      <c r="M85" s="8"/>
      <c r="N85" s="8"/>
      <c r="O85" s="64"/>
      <c r="P85" s="8"/>
      <c r="Q85" s="8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 s="238" customFormat="1">
      <c r="A86" s="7"/>
      <c r="B86" s="7"/>
      <c r="C86" s="8" t="s">
        <v>243</v>
      </c>
      <c r="D86" s="9">
        <v>83</v>
      </c>
      <c r="E86" s="8"/>
      <c r="F86" s="8"/>
      <c r="G86" s="8"/>
      <c r="H86" s="8"/>
      <c r="I86" s="15"/>
      <c r="J86" s="15"/>
      <c r="K86" s="8"/>
      <c r="L86" s="8"/>
      <c r="M86" s="8"/>
      <c r="N86" s="8"/>
      <c r="O86" s="64"/>
      <c r="P86" s="8"/>
      <c r="Q86" s="8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1:39" s="238" customFormat="1">
      <c r="A87" s="7"/>
      <c r="B87" s="7"/>
      <c r="C87" s="8" t="s">
        <v>244</v>
      </c>
      <c r="D87" s="9">
        <v>84</v>
      </c>
      <c r="E87" s="8"/>
      <c r="F87" s="8"/>
      <c r="G87" s="8"/>
      <c r="H87" s="8"/>
      <c r="I87" s="15"/>
      <c r="J87" s="15"/>
      <c r="K87" s="8"/>
      <c r="L87" s="8"/>
      <c r="M87" s="8"/>
      <c r="N87" s="8"/>
      <c r="O87" s="64"/>
      <c r="P87" s="8"/>
      <c r="Q87" s="8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1:39" s="238" customFormat="1">
      <c r="A88" s="7"/>
      <c r="B88" s="7"/>
      <c r="C88" s="8" t="s">
        <v>245</v>
      </c>
      <c r="D88" s="9">
        <v>85</v>
      </c>
      <c r="E88" s="8"/>
      <c r="F88" s="8"/>
      <c r="G88" s="8"/>
      <c r="H88" s="8"/>
      <c r="I88" s="15"/>
      <c r="J88" s="15"/>
      <c r="K88" s="8"/>
      <c r="L88" s="8"/>
      <c r="M88" s="8"/>
      <c r="N88" s="8"/>
      <c r="O88" s="64"/>
      <c r="P88" s="8"/>
      <c r="Q88" s="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 s="238" customFormat="1">
      <c r="A89" s="7"/>
      <c r="B89" s="7"/>
      <c r="C89" s="8" t="s">
        <v>246</v>
      </c>
      <c r="D89" s="9">
        <v>86</v>
      </c>
      <c r="E89" s="8"/>
      <c r="F89" s="8"/>
      <c r="G89" s="8"/>
      <c r="H89" s="8"/>
      <c r="I89" s="15"/>
      <c r="J89" s="15"/>
      <c r="K89" s="8"/>
      <c r="L89" s="8"/>
      <c r="M89" s="8"/>
      <c r="N89" s="8"/>
      <c r="O89" s="64"/>
      <c r="P89" s="8"/>
      <c r="Q89" s="8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 s="238" customFormat="1">
      <c r="A90" s="7"/>
      <c r="B90" s="7"/>
      <c r="C90" s="73" t="s">
        <v>247</v>
      </c>
      <c r="D90" s="71">
        <v>87</v>
      </c>
      <c r="E90" s="73"/>
      <c r="F90" s="73"/>
      <c r="G90" s="73"/>
      <c r="H90" s="8"/>
      <c r="I90" s="15"/>
      <c r="J90" s="15"/>
      <c r="K90" s="73"/>
      <c r="L90" s="73"/>
      <c r="M90" s="73"/>
      <c r="N90" s="73"/>
      <c r="O90" s="598"/>
      <c r="P90" s="73"/>
      <c r="Q90" s="73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 s="238" customFormat="1">
      <c r="A91" s="7"/>
      <c r="B91" s="7"/>
      <c r="C91" s="8" t="s">
        <v>248</v>
      </c>
      <c r="D91" s="9">
        <v>88</v>
      </c>
      <c r="E91" s="8"/>
      <c r="F91" s="8"/>
      <c r="G91" s="8"/>
      <c r="H91" s="8"/>
      <c r="I91" s="15"/>
      <c r="J91" s="15"/>
      <c r="K91" s="8"/>
      <c r="L91" s="8"/>
      <c r="M91" s="8"/>
      <c r="N91" s="8"/>
      <c r="O91" s="64"/>
      <c r="P91" s="8"/>
      <c r="Q91" s="8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 s="238" customFormat="1">
      <c r="A92" s="7"/>
      <c r="B92" s="7"/>
      <c r="C92" s="588" t="s">
        <v>249</v>
      </c>
      <c r="D92" s="589">
        <v>89</v>
      </c>
      <c r="E92" s="588"/>
      <c r="F92" s="588"/>
      <c r="G92" s="588"/>
      <c r="H92" s="7"/>
      <c r="I92" s="268"/>
      <c r="J92" s="268"/>
      <c r="K92" s="588"/>
      <c r="L92" s="588"/>
      <c r="M92" s="588"/>
      <c r="N92" s="588"/>
      <c r="O92" s="599"/>
      <c r="P92" s="588"/>
      <c r="Q92" s="588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 s="238" customFormat="1">
      <c r="A93" s="7"/>
      <c r="B93" s="7"/>
      <c r="C93" s="7" t="s">
        <v>250</v>
      </c>
      <c r="D93" s="587">
        <v>90</v>
      </c>
      <c r="E93" s="7"/>
      <c r="F93" s="7"/>
      <c r="G93" s="7"/>
      <c r="H93" s="7"/>
      <c r="I93" s="268"/>
      <c r="J93" s="268"/>
      <c r="K93" s="7"/>
      <c r="L93" s="7"/>
      <c r="M93" s="7"/>
      <c r="N93" s="7"/>
      <c r="O93" s="584"/>
      <c r="P93" s="7"/>
      <c r="Q93" s="7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 s="238" customFormat="1">
      <c r="A94" s="7"/>
      <c r="B94" s="7"/>
      <c r="C94" s="7" t="s">
        <v>251</v>
      </c>
      <c r="D94" s="587">
        <v>91</v>
      </c>
      <c r="E94" s="7"/>
      <c r="F94" s="7"/>
      <c r="G94" s="7"/>
      <c r="H94" s="7"/>
      <c r="I94" s="268"/>
      <c r="J94" s="268"/>
      <c r="K94" s="7"/>
      <c r="L94" s="7"/>
      <c r="M94" s="7"/>
      <c r="N94" s="7"/>
      <c r="O94" s="584"/>
      <c r="P94" s="7"/>
      <c r="Q94" s="7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 s="238" customFormat="1">
      <c r="A95" s="7"/>
      <c r="B95" s="7"/>
      <c r="C95" s="7" t="s">
        <v>252</v>
      </c>
      <c r="D95" s="587">
        <v>92</v>
      </c>
      <c r="E95" s="7"/>
      <c r="F95" s="7"/>
      <c r="G95" s="7"/>
      <c r="H95" s="7"/>
      <c r="I95" s="268"/>
      <c r="J95" s="268"/>
      <c r="K95" s="7"/>
      <c r="L95" s="7"/>
      <c r="M95" s="7"/>
      <c r="N95" s="7"/>
      <c r="O95" s="584"/>
      <c r="P95" s="7"/>
      <c r="Q95" s="7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 s="238" customFormat="1">
      <c r="A96" s="7"/>
      <c r="B96" s="7"/>
      <c r="C96" s="7" t="s">
        <v>253</v>
      </c>
      <c r="D96" s="587">
        <v>93</v>
      </c>
      <c r="E96" s="7"/>
      <c r="F96" s="7"/>
      <c r="G96" s="7"/>
      <c r="H96" s="7"/>
      <c r="I96" s="268"/>
      <c r="J96" s="268"/>
      <c r="K96" s="7"/>
      <c r="L96" s="7"/>
      <c r="M96" s="7"/>
      <c r="N96" s="7"/>
      <c r="O96" s="584"/>
      <c r="P96" s="7"/>
      <c r="Q96" s="7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1:39" s="238" customFormat="1">
      <c r="A97" s="7"/>
      <c r="B97" s="7"/>
      <c r="C97" s="7" t="s">
        <v>254</v>
      </c>
      <c r="D97" s="587">
        <v>94</v>
      </c>
      <c r="E97" s="7"/>
      <c r="F97" s="7"/>
      <c r="G97" s="7"/>
      <c r="H97" s="7"/>
      <c r="I97" s="268"/>
      <c r="J97" s="268"/>
      <c r="K97" s="7"/>
      <c r="L97" s="7"/>
      <c r="M97" s="7"/>
      <c r="N97" s="7"/>
      <c r="O97" s="584"/>
      <c r="P97" s="7"/>
      <c r="Q97" s="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 s="238" customFormat="1">
      <c r="A98" s="7"/>
      <c r="B98" s="7"/>
      <c r="C98" s="7" t="s">
        <v>255</v>
      </c>
      <c r="D98" s="587">
        <v>95</v>
      </c>
      <c r="E98" s="7"/>
      <c r="F98" s="7"/>
      <c r="G98" s="7"/>
      <c r="H98" s="7"/>
      <c r="I98" s="268"/>
      <c r="J98" s="268"/>
      <c r="K98" s="7"/>
      <c r="L98" s="7"/>
      <c r="M98" s="7"/>
      <c r="N98" s="7"/>
      <c r="O98" s="584"/>
      <c r="P98" s="7"/>
      <c r="Q98" s="7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1:39" s="238" customFormat="1">
      <c r="A99" s="7"/>
      <c r="B99" s="7"/>
      <c r="C99" s="7" t="s">
        <v>256</v>
      </c>
      <c r="D99" s="587">
        <v>96</v>
      </c>
      <c r="E99" s="7"/>
      <c r="F99" s="7"/>
      <c r="G99" s="7"/>
      <c r="H99" s="7"/>
      <c r="I99" s="268"/>
      <c r="J99" s="268"/>
      <c r="K99" s="7"/>
      <c r="L99" s="7"/>
      <c r="M99" s="7"/>
      <c r="N99" s="7"/>
      <c r="O99" s="584"/>
      <c r="P99" s="7"/>
      <c r="Q99" s="7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</sheetData>
  <customSheetViews>
    <customSheetView guid="{A4BD9991-0908-4EDC-898A-8A5DE615ED00}" scale="85">
      <selection activeCell="L6" sqref="L6"/>
      <pageMargins left="0.7" right="0.7" top="0.75" bottom="0.75" header="0.3" footer="0.3"/>
    </customSheetView>
  </customSheetViews>
  <mergeCells count="1">
    <mergeCell ref="A1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066E-2740-4034-9639-72873A69A05A}">
  <sheetPr codeName="Sheet8">
    <tabColor theme="7" tint="-0.249977111117893"/>
  </sheetPr>
  <dimension ref="A1:AI101"/>
  <sheetViews>
    <sheetView zoomScale="70" zoomScaleNormal="70" workbookViewId="0">
      <selection activeCell="AG10" sqref="AG10"/>
    </sheetView>
  </sheetViews>
  <sheetFormatPr defaultRowHeight="15"/>
  <cols>
    <col min="2" max="2" width="10.7109375" customWidth="1"/>
    <col min="6" max="6" width="10.85546875" customWidth="1"/>
    <col min="8" max="8" width="10.42578125" customWidth="1"/>
    <col min="12" max="12" width="15.5703125" customWidth="1"/>
    <col min="13" max="13" width="9.28515625" customWidth="1"/>
    <col min="14" max="14" width="10.42578125" customWidth="1"/>
    <col min="22" max="22" width="10" customWidth="1"/>
  </cols>
  <sheetData>
    <row r="1" spans="1:35">
      <c r="A1" s="765" t="s">
        <v>1114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7"/>
      <c r="Q1" s="763" t="s">
        <v>274</v>
      </c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</row>
    <row r="2" spans="1:35" ht="15.75" thickBot="1">
      <c r="A2" s="768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70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764"/>
      <c r="AB2" s="764"/>
      <c r="AC2" s="764"/>
      <c r="AD2" s="764"/>
      <c r="AE2" s="764"/>
      <c r="AF2" s="764"/>
      <c r="AG2" s="764"/>
      <c r="AH2" s="764"/>
      <c r="AI2" s="764"/>
    </row>
    <row r="3" spans="1:35" ht="60">
      <c r="A3" s="774" t="s">
        <v>965</v>
      </c>
      <c r="B3" s="777" t="s">
        <v>597</v>
      </c>
      <c r="C3" s="282" t="s">
        <v>275</v>
      </c>
      <c r="D3" s="271" t="s">
        <v>193</v>
      </c>
      <c r="E3" s="271" t="s">
        <v>192</v>
      </c>
      <c r="F3" s="271" t="s">
        <v>272</v>
      </c>
      <c r="G3" s="271" t="s">
        <v>621</v>
      </c>
      <c r="H3" s="271" t="s">
        <v>815</v>
      </c>
      <c r="I3" s="271" t="s">
        <v>267</v>
      </c>
      <c r="J3" s="274" t="s">
        <v>266</v>
      </c>
      <c r="K3" s="761" t="s">
        <v>314</v>
      </c>
      <c r="L3" s="761" t="s">
        <v>1139</v>
      </c>
      <c r="M3" s="761" t="s">
        <v>814</v>
      </c>
      <c r="N3" s="761" t="s">
        <v>1131</v>
      </c>
      <c r="O3" s="761" t="s">
        <v>1113</v>
      </c>
      <c r="Q3" s="771" t="s">
        <v>966</v>
      </c>
      <c r="R3" s="771" t="s">
        <v>813</v>
      </c>
      <c r="S3" s="282" t="s">
        <v>194</v>
      </c>
      <c r="T3" s="271" t="s">
        <v>193</v>
      </c>
      <c r="U3" s="271" t="s">
        <v>192</v>
      </c>
      <c r="V3" s="271" t="s">
        <v>272</v>
      </c>
      <c r="W3" s="271" t="s">
        <v>1116</v>
      </c>
      <c r="X3" s="271" t="s">
        <v>809</v>
      </c>
      <c r="Y3" s="271" t="s">
        <v>1117</v>
      </c>
      <c r="Z3" s="271" t="s">
        <v>1118</v>
      </c>
      <c r="AA3" s="271" t="s">
        <v>5985</v>
      </c>
      <c r="AB3" s="271" t="s">
        <v>276</v>
      </c>
      <c r="AC3" s="271" t="s">
        <v>267</v>
      </c>
      <c r="AD3" s="271" t="s">
        <v>277</v>
      </c>
      <c r="AE3" s="271" t="s">
        <v>288</v>
      </c>
      <c r="AF3" s="271" t="s">
        <v>278</v>
      </c>
      <c r="AG3" s="271" t="s">
        <v>279</v>
      </c>
      <c r="AH3" s="592" t="s">
        <v>810</v>
      </c>
      <c r="AI3" s="580" t="s">
        <v>1115</v>
      </c>
    </row>
    <row r="4" spans="1:35" ht="101.25">
      <c r="A4" s="775"/>
      <c r="B4" s="778"/>
      <c r="C4" s="283"/>
      <c r="D4" s="277"/>
      <c r="E4" s="278"/>
      <c r="F4" s="278"/>
      <c r="G4" s="272"/>
      <c r="H4" s="272"/>
      <c r="I4" s="272" t="s">
        <v>269</v>
      </c>
      <c r="J4" s="270" t="s">
        <v>270</v>
      </c>
      <c r="K4" s="762"/>
      <c r="L4" s="762"/>
      <c r="M4" s="762"/>
      <c r="N4" s="762"/>
      <c r="O4" s="762"/>
      <c r="Q4" s="772"/>
      <c r="R4" s="772"/>
      <c r="S4" s="593"/>
      <c r="T4" s="594"/>
      <c r="U4" s="594"/>
      <c r="V4" s="272"/>
      <c r="W4" s="272" t="s">
        <v>268</v>
      </c>
      <c r="X4" s="272" t="s">
        <v>808</v>
      </c>
      <c r="Y4" s="272"/>
      <c r="Z4" s="272" t="s">
        <v>1119</v>
      </c>
      <c r="AA4" s="272"/>
      <c r="AB4" s="580" t="s">
        <v>280</v>
      </c>
      <c r="AC4" s="272" t="s">
        <v>281</v>
      </c>
      <c r="AD4" s="272" t="s">
        <v>282</v>
      </c>
      <c r="AE4" s="594" t="s">
        <v>283</v>
      </c>
      <c r="AF4" s="272" t="s">
        <v>284</v>
      </c>
      <c r="AG4" s="272" t="s">
        <v>285</v>
      </c>
      <c r="AH4" s="272" t="s">
        <v>810</v>
      </c>
      <c r="AI4" s="595"/>
    </row>
    <row r="5" spans="1:35" ht="45.75" thickBot="1">
      <c r="A5" s="776"/>
      <c r="B5" s="779"/>
      <c r="C5" s="284"/>
      <c r="D5" s="279"/>
      <c r="E5" s="280"/>
      <c r="F5" s="581"/>
      <c r="G5" s="273"/>
      <c r="H5" s="275"/>
      <c r="I5" s="275">
        <v>500</v>
      </c>
      <c r="J5" s="276">
        <v>120</v>
      </c>
      <c r="K5" s="745"/>
      <c r="L5" s="745"/>
      <c r="M5" s="745"/>
      <c r="N5" s="745"/>
      <c r="O5" s="762"/>
      <c r="Q5" s="773"/>
      <c r="R5" s="773"/>
      <c r="S5" s="284"/>
      <c r="T5" s="596"/>
      <c r="U5" s="581"/>
      <c r="V5" s="581"/>
      <c r="W5" s="273"/>
      <c r="X5" s="273"/>
      <c r="Y5" s="273"/>
      <c r="Z5" s="273"/>
      <c r="AA5" s="273"/>
      <c r="AB5" s="581" t="s">
        <v>276</v>
      </c>
      <c r="AC5" s="581" t="s">
        <v>286</v>
      </c>
      <c r="AD5" s="597"/>
      <c r="AE5" s="581"/>
      <c r="AF5" s="581"/>
      <c r="AG5" s="581"/>
      <c r="AH5" s="582"/>
      <c r="AI5" s="595"/>
    </row>
    <row r="6" spans="1:35">
      <c r="A6" s="1"/>
      <c r="B6" s="1"/>
      <c r="C6" s="8" t="s">
        <v>736</v>
      </c>
      <c r="D6" s="9">
        <v>1</v>
      </c>
      <c r="E6" s="8"/>
      <c r="F6" s="8"/>
      <c r="G6" s="8"/>
      <c r="H6" s="8"/>
      <c r="I6" s="15"/>
      <c r="J6" s="15"/>
      <c r="K6" s="15"/>
      <c r="L6" s="15"/>
      <c r="M6" s="64"/>
      <c r="N6" s="64"/>
      <c r="O6" s="8"/>
      <c r="Q6" s="1"/>
      <c r="R6" s="1"/>
      <c r="S6" s="8" t="s">
        <v>736</v>
      </c>
      <c r="T6" s="9">
        <v>1</v>
      </c>
      <c r="U6" s="8"/>
      <c r="V6" s="8"/>
      <c r="W6" s="8"/>
      <c r="X6" s="15"/>
      <c r="Y6" s="15"/>
      <c r="Z6" s="15"/>
      <c r="AA6" s="15"/>
      <c r="AB6" s="15"/>
      <c r="AC6" s="15"/>
      <c r="AD6" s="15"/>
      <c r="AE6" s="15"/>
      <c r="AF6" s="8"/>
      <c r="AG6" s="15"/>
      <c r="AH6" s="64"/>
      <c r="AI6" s="66"/>
    </row>
    <row r="7" spans="1:35">
      <c r="A7" s="1"/>
      <c r="B7" s="1"/>
      <c r="C7" s="8" t="s">
        <v>737</v>
      </c>
      <c r="D7" s="9">
        <v>2</v>
      </c>
      <c r="E7" s="8"/>
      <c r="F7" s="8"/>
      <c r="G7" s="8"/>
      <c r="H7" s="8"/>
      <c r="I7" s="15"/>
      <c r="J7" s="15"/>
      <c r="K7" s="15"/>
      <c r="L7" s="15"/>
      <c r="M7" s="64"/>
      <c r="N7" s="64"/>
      <c r="O7" s="8"/>
      <c r="Q7" s="1"/>
      <c r="R7" s="1"/>
      <c r="S7" s="8" t="s">
        <v>737</v>
      </c>
      <c r="T7" s="9">
        <v>2</v>
      </c>
      <c r="U7" s="8"/>
      <c r="V7" s="8"/>
      <c r="W7" s="8"/>
      <c r="X7" s="15"/>
      <c r="Y7" s="15"/>
      <c r="Z7" s="15"/>
      <c r="AA7" s="15"/>
      <c r="AB7" s="15"/>
      <c r="AC7" s="15"/>
      <c r="AD7" s="15"/>
      <c r="AE7" s="15"/>
      <c r="AF7" s="8"/>
      <c r="AG7" s="15"/>
      <c r="AH7" s="64"/>
      <c r="AI7" s="15"/>
    </row>
    <row r="8" spans="1:35">
      <c r="A8" s="1"/>
      <c r="B8" s="1"/>
      <c r="C8" s="8" t="s">
        <v>738</v>
      </c>
      <c r="D8" s="9">
        <v>3</v>
      </c>
      <c r="E8" s="8"/>
      <c r="F8" s="8"/>
      <c r="G8" s="8"/>
      <c r="H8" s="8"/>
      <c r="I8" s="15"/>
      <c r="J8" s="15"/>
      <c r="K8" s="14"/>
      <c r="L8" s="14"/>
      <c r="M8" s="64"/>
      <c r="N8" s="64"/>
      <c r="O8" s="8"/>
      <c r="Q8" s="1"/>
      <c r="R8" s="1"/>
      <c r="S8" s="8" t="s">
        <v>738</v>
      </c>
      <c r="T8" s="9">
        <v>3</v>
      </c>
      <c r="U8" s="8"/>
      <c r="V8" s="8"/>
      <c r="W8" s="8"/>
      <c r="X8" s="15"/>
      <c r="Y8" s="15"/>
      <c r="Z8" s="15"/>
      <c r="AA8" s="15"/>
      <c r="AB8" s="15"/>
      <c r="AC8" s="14"/>
      <c r="AD8" s="14"/>
      <c r="AE8" s="14"/>
      <c r="AF8" s="8"/>
      <c r="AG8" s="15"/>
      <c r="AH8" s="64"/>
      <c r="AI8" s="14"/>
    </row>
    <row r="9" spans="1:35">
      <c r="A9" s="1"/>
      <c r="B9" s="1"/>
      <c r="C9" s="8" t="s">
        <v>739</v>
      </c>
      <c r="D9" s="9">
        <v>4</v>
      </c>
      <c r="E9" s="8"/>
      <c r="F9" s="8"/>
      <c r="G9" s="8"/>
      <c r="H9" s="8"/>
      <c r="I9" s="15"/>
      <c r="J9" s="15"/>
      <c r="K9" s="14"/>
      <c r="L9" s="14"/>
      <c r="M9" s="64"/>
      <c r="N9" s="64"/>
      <c r="O9" s="8"/>
      <c r="Q9" s="1"/>
      <c r="R9" s="1"/>
      <c r="S9" s="8" t="s">
        <v>739</v>
      </c>
      <c r="T9" s="9">
        <v>4</v>
      </c>
      <c r="U9" s="8"/>
      <c r="V9" s="8"/>
      <c r="W9" s="8"/>
      <c r="X9" s="15"/>
      <c r="Y9" s="15"/>
      <c r="Z9" s="15"/>
      <c r="AA9" s="15"/>
      <c r="AB9" s="15"/>
      <c r="AC9" s="14"/>
      <c r="AD9" s="14"/>
      <c r="AE9" s="14"/>
      <c r="AF9" s="8"/>
      <c r="AG9" s="15"/>
      <c r="AH9" s="64"/>
      <c r="AI9" s="14"/>
    </row>
    <row r="10" spans="1:35">
      <c r="A10" s="1"/>
      <c r="B10" s="1"/>
      <c r="C10" s="8" t="s">
        <v>740</v>
      </c>
      <c r="D10" s="9">
        <v>5</v>
      </c>
      <c r="E10" s="8"/>
      <c r="F10" s="8"/>
      <c r="G10" s="8"/>
      <c r="H10" s="8"/>
      <c r="I10" s="15"/>
      <c r="J10" s="15"/>
      <c r="K10" s="14"/>
      <c r="L10" s="14"/>
      <c r="M10" s="64"/>
      <c r="N10" s="64"/>
      <c r="O10" s="8"/>
      <c r="Q10" s="1"/>
      <c r="R10" s="1"/>
      <c r="S10" s="8" t="s">
        <v>740</v>
      </c>
      <c r="T10" s="9">
        <v>5</v>
      </c>
      <c r="U10" s="8"/>
      <c r="V10" s="8"/>
      <c r="W10" s="8"/>
      <c r="X10" s="15"/>
      <c r="Y10" s="15"/>
      <c r="Z10" s="15"/>
      <c r="AA10" s="15"/>
      <c r="AB10" s="15"/>
      <c r="AC10" s="14"/>
      <c r="AD10" s="14"/>
      <c r="AE10" s="14"/>
      <c r="AF10" s="8"/>
      <c r="AG10" s="15"/>
      <c r="AH10" s="64"/>
      <c r="AI10" s="14"/>
    </row>
    <row r="11" spans="1:35">
      <c r="A11" s="1"/>
      <c r="B11" s="1"/>
      <c r="C11" s="8" t="s">
        <v>741</v>
      </c>
      <c r="D11" s="9">
        <v>6</v>
      </c>
      <c r="E11" s="8"/>
      <c r="F11" s="8"/>
      <c r="G11" s="8"/>
      <c r="H11" s="8"/>
      <c r="I11" s="15"/>
      <c r="J11" s="15"/>
      <c r="K11" s="8"/>
      <c r="L11" s="8"/>
      <c r="M11" s="64"/>
      <c r="N11" s="64"/>
      <c r="O11" s="8"/>
      <c r="Q11" s="1"/>
      <c r="R11" s="1"/>
      <c r="S11" s="8" t="s">
        <v>741</v>
      </c>
      <c r="T11" s="9">
        <v>6</v>
      </c>
      <c r="U11" s="8"/>
      <c r="V11" s="8"/>
      <c r="W11" s="8"/>
      <c r="X11" s="15"/>
      <c r="Y11" s="15"/>
      <c r="Z11" s="15"/>
      <c r="AA11" s="15"/>
      <c r="AB11" s="15"/>
      <c r="AC11" s="8"/>
      <c r="AD11" s="8"/>
      <c r="AE11" s="8"/>
      <c r="AF11" s="8"/>
      <c r="AG11" s="15"/>
      <c r="AH11" s="64"/>
      <c r="AI11" s="8"/>
    </row>
    <row r="12" spans="1:35">
      <c r="A12" s="1"/>
      <c r="B12" s="1"/>
      <c r="C12" s="8" t="s">
        <v>742</v>
      </c>
      <c r="D12" s="9">
        <v>7</v>
      </c>
      <c r="E12" s="8"/>
      <c r="F12" s="8"/>
      <c r="G12" s="8"/>
      <c r="H12" s="8"/>
      <c r="I12" s="15"/>
      <c r="J12" s="15"/>
      <c r="K12" s="8"/>
      <c r="L12" s="8"/>
      <c r="M12" s="64"/>
      <c r="N12" s="64"/>
      <c r="O12" s="8"/>
      <c r="Q12" s="1"/>
      <c r="R12" s="1"/>
      <c r="S12" s="8" t="s">
        <v>742</v>
      </c>
      <c r="T12" s="9">
        <v>7</v>
      </c>
      <c r="U12" s="8"/>
      <c r="V12" s="8"/>
      <c r="W12" s="8"/>
      <c r="X12" s="15"/>
      <c r="Y12" s="15"/>
      <c r="Z12" s="15"/>
      <c r="AA12" s="15"/>
      <c r="AB12" s="15"/>
      <c r="AC12" s="8"/>
      <c r="AD12" s="8"/>
      <c r="AE12" s="8"/>
      <c r="AF12" s="8"/>
      <c r="AG12" s="15"/>
      <c r="AH12" s="64"/>
      <c r="AI12" s="8"/>
    </row>
    <row r="13" spans="1:35">
      <c r="A13" s="1"/>
      <c r="B13" s="1"/>
      <c r="C13" s="8" t="s">
        <v>743</v>
      </c>
      <c r="D13" s="9">
        <v>8</v>
      </c>
      <c r="E13" s="8"/>
      <c r="F13" s="8"/>
      <c r="G13" s="8"/>
      <c r="H13" s="8"/>
      <c r="I13" s="15"/>
      <c r="J13" s="15"/>
      <c r="K13" s="8"/>
      <c r="L13" s="8"/>
      <c r="M13" s="64"/>
      <c r="N13" s="64"/>
      <c r="O13" s="8"/>
      <c r="Q13" s="1"/>
      <c r="R13" s="1"/>
      <c r="S13" s="8" t="s">
        <v>743</v>
      </c>
      <c r="T13" s="9">
        <v>8</v>
      </c>
      <c r="U13" s="8"/>
      <c r="V13" s="8"/>
      <c r="W13" s="8"/>
      <c r="X13" s="15"/>
      <c r="Y13" s="15"/>
      <c r="Z13" s="15"/>
      <c r="AA13" s="15"/>
      <c r="AB13" s="15"/>
      <c r="AC13" s="8"/>
      <c r="AD13" s="8"/>
      <c r="AE13" s="8"/>
      <c r="AF13" s="8"/>
      <c r="AG13" s="15"/>
      <c r="AH13" s="64"/>
      <c r="AI13" s="8"/>
    </row>
    <row r="14" spans="1:35">
      <c r="A14" s="1"/>
      <c r="B14" s="1"/>
      <c r="C14" s="1" t="s">
        <v>744</v>
      </c>
      <c r="D14" s="10">
        <v>9</v>
      </c>
      <c r="E14" s="1"/>
      <c r="F14" s="1"/>
      <c r="G14" s="1"/>
      <c r="H14" s="1"/>
      <c r="I14" s="268"/>
      <c r="J14" s="6"/>
      <c r="K14" s="1"/>
      <c r="L14" s="1"/>
      <c r="M14" s="22"/>
      <c r="N14" s="22"/>
      <c r="O14" s="1"/>
      <c r="Q14" s="1"/>
      <c r="R14" s="1"/>
      <c r="S14" s="1" t="s">
        <v>744</v>
      </c>
      <c r="T14" s="10">
        <v>9</v>
      </c>
      <c r="U14" s="1"/>
      <c r="V14" s="1"/>
      <c r="W14" s="1"/>
      <c r="X14" s="268"/>
      <c r="Y14" s="268"/>
      <c r="Z14" s="268"/>
      <c r="AA14" s="268"/>
      <c r="AB14" s="6"/>
      <c r="AC14" s="1"/>
      <c r="AD14" s="1"/>
      <c r="AE14" s="1"/>
      <c r="AF14" s="1"/>
      <c r="AG14" s="268"/>
      <c r="AH14" s="22"/>
      <c r="AI14" s="1"/>
    </row>
    <row r="15" spans="1:35">
      <c r="A15" s="1"/>
      <c r="B15" s="1"/>
      <c r="C15" s="1" t="s">
        <v>745</v>
      </c>
      <c r="D15" s="10">
        <v>10</v>
      </c>
      <c r="E15" s="1"/>
      <c r="F15" s="1"/>
      <c r="G15" s="1"/>
      <c r="H15" s="1"/>
      <c r="I15" s="268"/>
      <c r="J15" s="6"/>
      <c r="K15" s="1"/>
      <c r="L15" s="1"/>
      <c r="M15" s="22"/>
      <c r="N15" s="22"/>
      <c r="O15" s="1"/>
      <c r="Q15" s="1"/>
      <c r="R15" s="1"/>
      <c r="S15" s="1" t="s">
        <v>745</v>
      </c>
      <c r="T15" s="10">
        <v>10</v>
      </c>
      <c r="U15" s="1"/>
      <c r="V15" s="1"/>
      <c r="W15" s="1"/>
      <c r="X15" s="268"/>
      <c r="Y15" s="268"/>
      <c r="Z15" s="268"/>
      <c r="AA15" s="268"/>
      <c r="AB15" s="6"/>
      <c r="AC15" s="1"/>
      <c r="AD15" s="1"/>
      <c r="AE15" s="1"/>
      <c r="AF15" s="1"/>
      <c r="AG15" s="268"/>
      <c r="AH15" s="22"/>
      <c r="AI15" s="1"/>
    </row>
    <row r="16" spans="1:35">
      <c r="A16" s="1"/>
      <c r="B16" s="1"/>
      <c r="C16" s="1" t="s">
        <v>746</v>
      </c>
      <c r="D16" s="10">
        <v>11</v>
      </c>
      <c r="E16" s="1"/>
      <c r="F16" s="1"/>
      <c r="G16" s="1"/>
      <c r="H16" s="1"/>
      <c r="I16" s="268"/>
      <c r="J16" s="6"/>
      <c r="K16" s="1"/>
      <c r="L16" s="1"/>
      <c r="M16" s="22"/>
      <c r="N16" s="22"/>
      <c r="O16" s="1"/>
      <c r="Q16" s="1"/>
      <c r="R16" s="1"/>
      <c r="S16" s="1" t="s">
        <v>746</v>
      </c>
      <c r="T16" s="10">
        <v>11</v>
      </c>
      <c r="U16" s="1"/>
      <c r="V16" s="1"/>
      <c r="W16" s="1"/>
      <c r="X16" s="268"/>
      <c r="Y16" s="268"/>
      <c r="Z16" s="268"/>
      <c r="AA16" s="268"/>
      <c r="AB16" s="6"/>
      <c r="AC16" s="1"/>
      <c r="AD16" s="1"/>
      <c r="AE16" s="1"/>
      <c r="AF16" s="1"/>
      <c r="AG16" s="268"/>
      <c r="AH16" s="22"/>
      <c r="AI16" s="1"/>
    </row>
    <row r="17" spans="1:35">
      <c r="A17" s="1"/>
      <c r="B17" s="1"/>
      <c r="C17" s="1" t="s">
        <v>747</v>
      </c>
      <c r="D17" s="10">
        <v>12</v>
      </c>
      <c r="E17" s="1"/>
      <c r="F17" s="1"/>
      <c r="G17" s="1"/>
      <c r="H17" s="1"/>
      <c r="I17" s="268"/>
      <c r="J17" s="6"/>
      <c r="K17" s="1"/>
      <c r="L17" s="1"/>
      <c r="M17" s="22"/>
      <c r="N17" s="22"/>
      <c r="O17" s="1"/>
      <c r="Q17" s="1"/>
      <c r="R17" s="1"/>
      <c r="S17" s="1" t="s">
        <v>747</v>
      </c>
      <c r="T17" s="10">
        <v>12</v>
      </c>
      <c r="U17" s="1"/>
      <c r="V17" s="1"/>
      <c r="W17" s="1"/>
      <c r="X17" s="268"/>
      <c r="Y17" s="268"/>
      <c r="Z17" s="268"/>
      <c r="AA17" s="268"/>
      <c r="AB17" s="6"/>
      <c r="AC17" s="1"/>
      <c r="AD17" s="1"/>
      <c r="AE17" s="1"/>
      <c r="AF17" s="1"/>
      <c r="AG17" s="268"/>
      <c r="AH17" s="22"/>
      <c r="AI17" s="1"/>
    </row>
    <row r="18" spans="1:35">
      <c r="A18" s="1"/>
      <c r="B18" s="1"/>
      <c r="C18" s="1" t="s">
        <v>748</v>
      </c>
      <c r="D18" s="10">
        <v>13</v>
      </c>
      <c r="E18" s="1"/>
      <c r="F18" s="1"/>
      <c r="G18" s="1"/>
      <c r="H18" s="1"/>
      <c r="I18" s="268"/>
      <c r="J18" s="6"/>
      <c r="K18" s="1"/>
      <c r="L18" s="1"/>
      <c r="M18" s="22"/>
      <c r="N18" s="22"/>
      <c r="O18" s="1"/>
      <c r="Q18" s="1"/>
      <c r="R18" s="1"/>
      <c r="S18" s="1" t="s">
        <v>748</v>
      </c>
      <c r="T18" s="10">
        <v>13</v>
      </c>
      <c r="U18" s="1"/>
      <c r="V18" s="1"/>
      <c r="W18" s="1"/>
      <c r="X18" s="268"/>
      <c r="Y18" s="268"/>
      <c r="Z18" s="268"/>
      <c r="AA18" s="268"/>
      <c r="AB18" s="6"/>
      <c r="AC18" s="1"/>
      <c r="AD18" s="1"/>
      <c r="AE18" s="1"/>
      <c r="AF18" s="1"/>
      <c r="AG18" s="268"/>
      <c r="AH18" s="22"/>
      <c r="AI18" s="1"/>
    </row>
    <row r="19" spans="1:35">
      <c r="A19" s="1"/>
      <c r="B19" s="1"/>
      <c r="C19" s="1" t="s">
        <v>749</v>
      </c>
      <c r="D19" s="10">
        <v>14</v>
      </c>
      <c r="E19" s="1"/>
      <c r="F19" s="1"/>
      <c r="G19" s="1"/>
      <c r="H19" s="1"/>
      <c r="I19" s="268"/>
      <c r="J19" s="6"/>
      <c r="K19" s="1"/>
      <c r="L19" s="1"/>
      <c r="M19" s="22"/>
      <c r="N19" s="22"/>
      <c r="O19" s="1"/>
      <c r="Q19" s="1"/>
      <c r="R19" s="1"/>
      <c r="S19" s="1" t="s">
        <v>749</v>
      </c>
      <c r="T19" s="10">
        <v>14</v>
      </c>
      <c r="U19" s="1"/>
      <c r="V19" s="1"/>
      <c r="W19" s="1"/>
      <c r="X19" s="268"/>
      <c r="Y19" s="268"/>
      <c r="Z19" s="268"/>
      <c r="AA19" s="268"/>
      <c r="AB19" s="6"/>
      <c r="AC19" s="1"/>
      <c r="AD19" s="1"/>
      <c r="AE19" s="1"/>
      <c r="AF19" s="1"/>
      <c r="AG19" s="268"/>
      <c r="AH19" s="22"/>
      <c r="AI19" s="1"/>
    </row>
    <row r="20" spans="1:35">
      <c r="A20" s="1"/>
      <c r="B20" s="1"/>
      <c r="C20" s="17" t="s">
        <v>750</v>
      </c>
      <c r="D20" s="16">
        <v>15</v>
      </c>
      <c r="E20" s="17"/>
      <c r="F20" s="17"/>
      <c r="G20" s="17"/>
      <c r="H20" s="1"/>
      <c r="I20" s="268"/>
      <c r="J20" s="6"/>
      <c r="K20" s="17"/>
      <c r="L20" s="17"/>
      <c r="M20" s="585"/>
      <c r="N20" s="585"/>
      <c r="O20" s="1"/>
      <c r="Q20" s="1"/>
      <c r="R20" s="1"/>
      <c r="S20" s="17" t="s">
        <v>750</v>
      </c>
      <c r="T20" s="16">
        <v>15</v>
      </c>
      <c r="U20" s="17"/>
      <c r="V20" s="17"/>
      <c r="W20" s="1"/>
      <c r="X20" s="268"/>
      <c r="Y20" s="268"/>
      <c r="Z20" s="268"/>
      <c r="AA20" s="268"/>
      <c r="AB20" s="6"/>
      <c r="AC20" s="17"/>
      <c r="AD20" s="17"/>
      <c r="AE20" s="17"/>
      <c r="AF20" s="1"/>
      <c r="AG20" s="268"/>
      <c r="AH20" s="22"/>
      <c r="AI20" s="17"/>
    </row>
    <row r="21" spans="1:35">
      <c r="A21" s="1"/>
      <c r="B21" s="1"/>
      <c r="C21" s="1" t="s">
        <v>751</v>
      </c>
      <c r="D21" s="10">
        <v>16</v>
      </c>
      <c r="E21" s="1"/>
      <c r="F21" s="1"/>
      <c r="G21" s="1"/>
      <c r="H21" s="1"/>
      <c r="I21" s="268"/>
      <c r="J21" s="6"/>
      <c r="K21" s="1"/>
      <c r="L21" s="1"/>
      <c r="M21" s="22"/>
      <c r="N21" s="22"/>
      <c r="O21" s="1"/>
      <c r="Q21" s="1"/>
      <c r="R21" s="1"/>
      <c r="S21" s="1" t="s">
        <v>751</v>
      </c>
      <c r="T21" s="10">
        <v>16</v>
      </c>
      <c r="U21" s="1"/>
      <c r="V21" s="1"/>
      <c r="W21" s="1"/>
      <c r="X21" s="268"/>
      <c r="Y21" s="268"/>
      <c r="Z21" s="268"/>
      <c r="AA21" s="268"/>
      <c r="AB21" s="6"/>
      <c r="AC21" s="1"/>
      <c r="AD21" s="1"/>
      <c r="AE21" s="1"/>
      <c r="AF21" s="1"/>
      <c r="AG21" s="268"/>
      <c r="AH21" s="22"/>
      <c r="AI21" s="1"/>
    </row>
    <row r="22" spans="1:35">
      <c r="A22" s="1"/>
      <c r="B22" s="1"/>
      <c r="C22" s="19" t="s">
        <v>752</v>
      </c>
      <c r="D22" s="18">
        <v>17</v>
      </c>
      <c r="E22" s="19"/>
      <c r="F22" s="19"/>
      <c r="G22" s="19"/>
      <c r="H22" s="8"/>
      <c r="I22" s="15"/>
      <c r="J22" s="15"/>
      <c r="K22" s="19"/>
      <c r="L22" s="19"/>
      <c r="M22" s="586"/>
      <c r="N22" s="586"/>
      <c r="O22" s="8"/>
      <c r="Q22" s="1"/>
      <c r="R22" s="1"/>
      <c r="S22" s="19" t="s">
        <v>752</v>
      </c>
      <c r="T22" s="18">
        <v>17</v>
      </c>
      <c r="U22" s="19"/>
      <c r="V22" s="19"/>
      <c r="W22" s="8"/>
      <c r="X22" s="15"/>
      <c r="Y22" s="15"/>
      <c r="Z22" s="15"/>
      <c r="AA22" s="15"/>
      <c r="AB22" s="15"/>
      <c r="AC22" s="19"/>
      <c r="AD22" s="19"/>
      <c r="AE22" s="19"/>
      <c r="AF22" s="8"/>
      <c r="AG22" s="15"/>
      <c r="AH22" s="64"/>
      <c r="AI22" s="19"/>
    </row>
    <row r="23" spans="1:35">
      <c r="A23" s="1"/>
      <c r="B23" s="1"/>
      <c r="C23" s="8" t="s">
        <v>753</v>
      </c>
      <c r="D23" s="9">
        <v>18</v>
      </c>
      <c r="E23" s="8"/>
      <c r="F23" s="8"/>
      <c r="G23" s="8"/>
      <c r="H23" s="8"/>
      <c r="I23" s="15"/>
      <c r="J23" s="15"/>
      <c r="K23" s="8"/>
      <c r="L23" s="8"/>
      <c r="M23" s="64"/>
      <c r="N23" s="64"/>
      <c r="O23" s="8"/>
      <c r="Q23" s="1"/>
      <c r="R23" s="1"/>
      <c r="S23" s="8" t="s">
        <v>753</v>
      </c>
      <c r="T23" s="9">
        <v>18</v>
      </c>
      <c r="U23" s="8"/>
      <c r="V23" s="8"/>
      <c r="W23" s="8"/>
      <c r="X23" s="15"/>
      <c r="Y23" s="15"/>
      <c r="Z23" s="15"/>
      <c r="AA23" s="15"/>
      <c r="AB23" s="15"/>
      <c r="AC23" s="8"/>
      <c r="AD23" s="8"/>
      <c r="AE23" s="8"/>
      <c r="AF23" s="8"/>
      <c r="AG23" s="15"/>
      <c r="AH23" s="64"/>
      <c r="AI23" s="8"/>
    </row>
    <row r="24" spans="1:35">
      <c r="A24" s="1"/>
      <c r="B24" s="1"/>
      <c r="C24" s="8" t="s">
        <v>754</v>
      </c>
      <c r="D24" s="9">
        <v>19</v>
      </c>
      <c r="E24" s="8"/>
      <c r="F24" s="8"/>
      <c r="G24" s="8"/>
      <c r="H24" s="8"/>
      <c r="I24" s="15"/>
      <c r="J24" s="15"/>
      <c r="K24" s="8"/>
      <c r="L24" s="8"/>
      <c r="M24" s="64"/>
      <c r="N24" s="64"/>
      <c r="O24" s="8"/>
      <c r="Q24" s="1"/>
      <c r="R24" s="1"/>
      <c r="S24" s="8" t="s">
        <v>754</v>
      </c>
      <c r="T24" s="9">
        <v>19</v>
      </c>
      <c r="U24" s="8"/>
      <c r="V24" s="8"/>
      <c r="W24" s="8"/>
      <c r="X24" s="15"/>
      <c r="Y24" s="15"/>
      <c r="Z24" s="15"/>
      <c r="AA24" s="15"/>
      <c r="AB24" s="15"/>
      <c r="AC24" s="8"/>
      <c r="AD24" s="8"/>
      <c r="AE24" s="8"/>
      <c r="AF24" s="8"/>
      <c r="AG24" s="15"/>
      <c r="AH24" s="64"/>
      <c r="AI24" s="8"/>
    </row>
    <row r="25" spans="1:35">
      <c r="A25" s="1"/>
      <c r="B25" s="1"/>
      <c r="C25" s="8" t="s">
        <v>755</v>
      </c>
      <c r="D25" s="9">
        <v>20</v>
      </c>
      <c r="E25" s="8"/>
      <c r="F25" s="8"/>
      <c r="G25" s="8"/>
      <c r="H25" s="8"/>
      <c r="I25" s="15"/>
      <c r="J25" s="15"/>
      <c r="K25" s="8"/>
      <c r="L25" s="8"/>
      <c r="M25" s="64"/>
      <c r="N25" s="64"/>
      <c r="O25" s="8"/>
      <c r="Q25" s="1"/>
      <c r="R25" s="1"/>
      <c r="S25" s="8" t="s">
        <v>755</v>
      </c>
      <c r="T25" s="9">
        <v>20</v>
      </c>
      <c r="U25" s="8"/>
      <c r="V25" s="8"/>
      <c r="W25" s="8"/>
      <c r="X25" s="15"/>
      <c r="Y25" s="15"/>
      <c r="Z25" s="15"/>
      <c r="AA25" s="15"/>
      <c r="AB25" s="15"/>
      <c r="AC25" s="8"/>
      <c r="AD25" s="8"/>
      <c r="AE25" s="8"/>
      <c r="AF25" s="8"/>
      <c r="AG25" s="15"/>
      <c r="AH25" s="64"/>
      <c r="AI25" s="8"/>
    </row>
    <row r="26" spans="1:35">
      <c r="A26" s="1"/>
      <c r="B26" s="1"/>
      <c r="C26" s="8" t="s">
        <v>756</v>
      </c>
      <c r="D26" s="9">
        <v>21</v>
      </c>
      <c r="E26" s="8"/>
      <c r="F26" s="8"/>
      <c r="G26" s="8"/>
      <c r="H26" s="8"/>
      <c r="I26" s="15"/>
      <c r="J26" s="15"/>
      <c r="K26" s="8"/>
      <c r="L26" s="8"/>
      <c r="M26" s="64"/>
      <c r="N26" s="64"/>
      <c r="O26" s="8"/>
      <c r="Q26" s="1"/>
      <c r="R26" s="1"/>
      <c r="S26" s="8" t="s">
        <v>756</v>
      </c>
      <c r="T26" s="9">
        <v>21</v>
      </c>
      <c r="U26" s="8"/>
      <c r="V26" s="8"/>
      <c r="W26" s="8"/>
      <c r="X26" s="15"/>
      <c r="Y26" s="15"/>
      <c r="Z26" s="15"/>
      <c r="AA26" s="15"/>
      <c r="AB26" s="15"/>
      <c r="AC26" s="8"/>
      <c r="AD26" s="8"/>
      <c r="AE26" s="8"/>
      <c r="AF26" s="8"/>
      <c r="AG26" s="15"/>
      <c r="AH26" s="64"/>
      <c r="AI26" s="8"/>
    </row>
    <row r="27" spans="1:35" s="238" customFormat="1">
      <c r="A27" s="1"/>
      <c r="B27" s="1"/>
      <c r="C27" s="8" t="s">
        <v>757</v>
      </c>
      <c r="D27" s="9">
        <v>22</v>
      </c>
      <c r="E27" s="8"/>
      <c r="F27" s="8"/>
      <c r="G27" s="8"/>
      <c r="H27" s="8"/>
      <c r="I27" s="15"/>
      <c r="J27" s="15"/>
      <c r="K27" s="8"/>
      <c r="L27" s="8"/>
      <c r="M27" s="64"/>
      <c r="N27" s="64"/>
      <c r="O27" s="8"/>
      <c r="P27"/>
      <c r="Q27" s="1"/>
      <c r="R27" s="1"/>
      <c r="S27" s="8" t="s">
        <v>757</v>
      </c>
      <c r="T27" s="9">
        <v>22</v>
      </c>
      <c r="U27" s="8"/>
      <c r="V27" s="8"/>
      <c r="W27" s="8"/>
      <c r="X27" s="15"/>
      <c r="Y27" s="15"/>
      <c r="Z27" s="15"/>
      <c r="AA27" s="15"/>
      <c r="AB27" s="15"/>
      <c r="AC27" s="8"/>
      <c r="AD27" s="8"/>
      <c r="AE27" s="8"/>
      <c r="AF27" s="8"/>
      <c r="AG27" s="15"/>
      <c r="AH27" s="64"/>
      <c r="AI27" s="8"/>
    </row>
    <row r="28" spans="1:35" s="238" customFormat="1">
      <c r="A28" s="1"/>
      <c r="B28" s="1"/>
      <c r="C28" s="8" t="s">
        <v>758</v>
      </c>
      <c r="D28" s="9">
        <v>23</v>
      </c>
      <c r="E28" s="8"/>
      <c r="F28" s="8"/>
      <c r="G28" s="8"/>
      <c r="H28" s="8"/>
      <c r="I28" s="15"/>
      <c r="J28" s="15"/>
      <c r="K28" s="8"/>
      <c r="L28" s="8"/>
      <c r="M28" s="64"/>
      <c r="N28" s="64"/>
      <c r="O28" s="8"/>
      <c r="P28"/>
      <c r="Q28" s="1"/>
      <c r="R28" s="1"/>
      <c r="S28" s="8" t="s">
        <v>758</v>
      </c>
      <c r="T28" s="9">
        <v>23</v>
      </c>
      <c r="U28" s="8"/>
      <c r="V28" s="8"/>
      <c r="W28" s="8"/>
      <c r="X28" s="15"/>
      <c r="Y28" s="15"/>
      <c r="Z28" s="15"/>
      <c r="AA28" s="15"/>
      <c r="AB28" s="15"/>
      <c r="AC28" s="8"/>
      <c r="AD28" s="8"/>
      <c r="AE28" s="8"/>
      <c r="AF28" s="8"/>
      <c r="AG28" s="15"/>
      <c r="AH28" s="64"/>
      <c r="AI28" s="8"/>
    </row>
    <row r="29" spans="1:35" s="238" customFormat="1">
      <c r="A29" s="1"/>
      <c r="B29" s="1"/>
      <c r="C29" s="8" t="s">
        <v>759</v>
      </c>
      <c r="D29" s="9">
        <v>24</v>
      </c>
      <c r="E29" s="8"/>
      <c r="F29" s="8"/>
      <c r="G29" s="8"/>
      <c r="H29" s="8"/>
      <c r="I29" s="15"/>
      <c r="J29" s="15"/>
      <c r="K29" s="8"/>
      <c r="L29" s="8"/>
      <c r="M29" s="64"/>
      <c r="N29" s="64"/>
      <c r="O29" s="8"/>
      <c r="P29"/>
      <c r="Q29" s="1"/>
      <c r="R29" s="1"/>
      <c r="S29" s="8" t="s">
        <v>759</v>
      </c>
      <c r="T29" s="9">
        <v>24</v>
      </c>
      <c r="U29" s="8"/>
      <c r="V29" s="8"/>
      <c r="W29" s="8"/>
      <c r="X29" s="15"/>
      <c r="Y29" s="15"/>
      <c r="Z29" s="15"/>
      <c r="AA29" s="15"/>
      <c r="AB29" s="15"/>
      <c r="AC29" s="8"/>
      <c r="AD29" s="8"/>
      <c r="AE29" s="8"/>
      <c r="AF29" s="8"/>
      <c r="AG29" s="15"/>
      <c r="AH29" s="64"/>
      <c r="AI29" s="8"/>
    </row>
    <row r="30" spans="1:35" s="238" customFormat="1">
      <c r="A30" s="7"/>
      <c r="B30" s="7"/>
      <c r="C30" s="7" t="s">
        <v>760</v>
      </c>
      <c r="D30" s="587">
        <v>25</v>
      </c>
      <c r="E30" s="7"/>
      <c r="F30" s="7"/>
      <c r="G30" s="7"/>
      <c r="H30" s="7"/>
      <c r="I30" s="268"/>
      <c r="J30" s="268"/>
      <c r="K30" s="268"/>
      <c r="L30" s="268"/>
      <c r="M30" s="584"/>
      <c r="N30" s="584"/>
      <c r="O30" s="1"/>
      <c r="P30"/>
      <c r="Q30" s="7"/>
      <c r="R30" s="7"/>
      <c r="S30" s="7" t="s">
        <v>760</v>
      </c>
      <c r="T30" s="587">
        <v>25</v>
      </c>
      <c r="U30" s="7"/>
      <c r="V30" s="7"/>
      <c r="W30" s="7"/>
      <c r="X30" s="268"/>
      <c r="Y30" s="268"/>
      <c r="Z30" s="268"/>
      <c r="AA30" s="268"/>
      <c r="AB30" s="268"/>
      <c r="AC30" s="268"/>
      <c r="AD30" s="268"/>
      <c r="AE30" s="268"/>
      <c r="AF30" s="1"/>
      <c r="AG30" s="268"/>
      <c r="AH30" s="584"/>
      <c r="AI30" s="268"/>
    </row>
    <row r="31" spans="1:35" s="238" customFormat="1">
      <c r="A31" s="7"/>
      <c r="B31" s="7"/>
      <c r="C31" s="7" t="s">
        <v>761</v>
      </c>
      <c r="D31" s="587">
        <v>26</v>
      </c>
      <c r="E31" s="7"/>
      <c r="F31" s="7"/>
      <c r="G31" s="7"/>
      <c r="H31" s="7"/>
      <c r="I31" s="268"/>
      <c r="J31" s="268"/>
      <c r="K31" s="268"/>
      <c r="L31" s="268"/>
      <c r="M31" s="584"/>
      <c r="N31" s="584"/>
      <c r="O31" s="1"/>
      <c r="P31"/>
      <c r="Q31" s="7"/>
      <c r="R31" s="7"/>
      <c r="S31" s="7" t="s">
        <v>761</v>
      </c>
      <c r="T31" s="587">
        <v>26</v>
      </c>
      <c r="U31" s="7"/>
      <c r="V31" s="7"/>
      <c r="W31" s="7"/>
      <c r="X31" s="268"/>
      <c r="Y31" s="268"/>
      <c r="Z31" s="268"/>
      <c r="AA31" s="268"/>
      <c r="AB31" s="268"/>
      <c r="AC31" s="268"/>
      <c r="AD31" s="268"/>
      <c r="AE31" s="268"/>
      <c r="AF31" s="1"/>
      <c r="AG31" s="268"/>
      <c r="AH31" s="584"/>
      <c r="AI31" s="268"/>
    </row>
    <row r="32" spans="1:35" s="238" customFormat="1">
      <c r="A32" s="7"/>
      <c r="B32" s="7"/>
      <c r="C32" s="7" t="s">
        <v>762</v>
      </c>
      <c r="D32" s="587">
        <v>27</v>
      </c>
      <c r="E32" s="7"/>
      <c r="F32" s="7"/>
      <c r="G32" s="7"/>
      <c r="H32" s="7"/>
      <c r="I32" s="268"/>
      <c r="J32" s="268"/>
      <c r="K32" s="583"/>
      <c r="L32" s="583"/>
      <c r="M32" s="584"/>
      <c r="N32" s="584"/>
      <c r="O32" s="1"/>
      <c r="P32"/>
      <c r="Q32" s="7"/>
      <c r="R32" s="7"/>
      <c r="S32" s="7" t="s">
        <v>762</v>
      </c>
      <c r="T32" s="587">
        <v>27</v>
      </c>
      <c r="U32" s="7"/>
      <c r="V32" s="7"/>
      <c r="W32" s="7"/>
      <c r="X32" s="268"/>
      <c r="Y32" s="268"/>
      <c r="Z32" s="268"/>
      <c r="AA32" s="268"/>
      <c r="AB32" s="268"/>
      <c r="AC32" s="583"/>
      <c r="AD32" s="583"/>
      <c r="AE32" s="583"/>
      <c r="AF32" s="1"/>
      <c r="AG32" s="268"/>
      <c r="AH32" s="584"/>
      <c r="AI32" s="583"/>
    </row>
    <row r="33" spans="1:35" s="238" customFormat="1">
      <c r="A33" s="7"/>
      <c r="B33" s="7"/>
      <c r="C33" s="7" t="s">
        <v>763</v>
      </c>
      <c r="D33" s="587">
        <v>28</v>
      </c>
      <c r="E33" s="7"/>
      <c r="F33" s="7"/>
      <c r="G33" s="7"/>
      <c r="H33" s="7"/>
      <c r="I33" s="268"/>
      <c r="J33" s="268"/>
      <c r="K33" s="583"/>
      <c r="L33" s="583"/>
      <c r="M33" s="584"/>
      <c r="N33" s="584"/>
      <c r="O33" s="1"/>
      <c r="P33"/>
      <c r="Q33" s="7"/>
      <c r="R33" s="7"/>
      <c r="S33" s="7" t="s">
        <v>763</v>
      </c>
      <c r="T33" s="587">
        <v>28</v>
      </c>
      <c r="U33" s="7"/>
      <c r="V33" s="7"/>
      <c r="W33" s="7"/>
      <c r="X33" s="268"/>
      <c r="Y33" s="268"/>
      <c r="Z33" s="268"/>
      <c r="AA33" s="268"/>
      <c r="AB33" s="268"/>
      <c r="AC33" s="583"/>
      <c r="AD33" s="583"/>
      <c r="AE33" s="583"/>
      <c r="AF33" s="1"/>
      <c r="AG33" s="268"/>
      <c r="AH33" s="584"/>
      <c r="AI33" s="583"/>
    </row>
    <row r="34" spans="1:35" s="238" customFormat="1">
      <c r="A34" s="7"/>
      <c r="B34" s="7"/>
      <c r="C34" s="7" t="s">
        <v>764</v>
      </c>
      <c r="D34" s="587">
        <v>29</v>
      </c>
      <c r="E34" s="7"/>
      <c r="F34" s="7"/>
      <c r="G34" s="7"/>
      <c r="H34" s="7"/>
      <c r="I34" s="268"/>
      <c r="J34" s="268"/>
      <c r="K34" s="583"/>
      <c r="L34" s="583"/>
      <c r="M34" s="584"/>
      <c r="N34" s="584"/>
      <c r="O34" s="1"/>
      <c r="P34"/>
      <c r="Q34" s="7"/>
      <c r="R34" s="7"/>
      <c r="S34" s="7" t="s">
        <v>764</v>
      </c>
      <c r="T34" s="587">
        <v>29</v>
      </c>
      <c r="U34" s="7"/>
      <c r="V34" s="7"/>
      <c r="W34" s="7"/>
      <c r="X34" s="268"/>
      <c r="Y34" s="268"/>
      <c r="Z34" s="268"/>
      <c r="AA34" s="268"/>
      <c r="AB34" s="268"/>
      <c r="AC34" s="583"/>
      <c r="AD34" s="583"/>
      <c r="AE34" s="583"/>
      <c r="AF34" s="1"/>
      <c r="AG34" s="268"/>
      <c r="AH34" s="584"/>
      <c r="AI34" s="583"/>
    </row>
    <row r="35" spans="1:35">
      <c r="A35" s="7"/>
      <c r="B35" s="7"/>
      <c r="C35" s="7" t="s">
        <v>765</v>
      </c>
      <c r="D35" s="587">
        <v>30</v>
      </c>
      <c r="E35" s="7"/>
      <c r="F35" s="7"/>
      <c r="G35" s="7"/>
      <c r="H35" s="7"/>
      <c r="I35" s="268"/>
      <c r="J35" s="268"/>
      <c r="K35" s="7"/>
      <c r="L35" s="7"/>
      <c r="M35" s="584"/>
      <c r="N35" s="584"/>
      <c r="O35" s="1"/>
      <c r="Q35" s="7"/>
      <c r="R35" s="7"/>
      <c r="S35" s="7" t="s">
        <v>765</v>
      </c>
      <c r="T35" s="587">
        <v>30</v>
      </c>
      <c r="U35" s="7"/>
      <c r="V35" s="7"/>
      <c r="W35" s="7"/>
      <c r="X35" s="268"/>
      <c r="Y35" s="268"/>
      <c r="Z35" s="268"/>
      <c r="AA35" s="268"/>
      <c r="AB35" s="268"/>
      <c r="AC35" s="7"/>
      <c r="AD35" s="7"/>
      <c r="AE35" s="7"/>
      <c r="AF35" s="1"/>
      <c r="AG35" s="268"/>
      <c r="AH35" s="584"/>
      <c r="AI35" s="7"/>
    </row>
    <row r="36" spans="1:35">
      <c r="A36" s="7"/>
      <c r="B36" s="7"/>
      <c r="C36" s="7" t="s">
        <v>766</v>
      </c>
      <c r="D36" s="587">
        <v>31</v>
      </c>
      <c r="E36" s="7"/>
      <c r="F36" s="7"/>
      <c r="G36" s="7"/>
      <c r="H36" s="7"/>
      <c r="I36" s="268"/>
      <c r="J36" s="268"/>
      <c r="K36" s="7"/>
      <c r="L36" s="7"/>
      <c r="M36" s="584"/>
      <c r="N36" s="584"/>
      <c r="O36" s="1"/>
      <c r="Q36" s="7"/>
      <c r="R36" s="7"/>
      <c r="S36" s="7" t="s">
        <v>766</v>
      </c>
      <c r="T36" s="587">
        <v>31</v>
      </c>
      <c r="U36" s="7"/>
      <c r="V36" s="7"/>
      <c r="W36" s="7"/>
      <c r="X36" s="268"/>
      <c r="Y36" s="268"/>
      <c r="Z36" s="268"/>
      <c r="AA36" s="268"/>
      <c r="AB36" s="268"/>
      <c r="AC36" s="7"/>
      <c r="AD36" s="7"/>
      <c r="AE36" s="7"/>
      <c r="AF36" s="1"/>
      <c r="AG36" s="268"/>
      <c r="AH36" s="584"/>
      <c r="AI36" s="7"/>
    </row>
    <row r="37" spans="1:35">
      <c r="A37" s="7"/>
      <c r="B37" s="7"/>
      <c r="C37" s="7" t="s">
        <v>767</v>
      </c>
      <c r="D37" s="587">
        <v>32</v>
      </c>
      <c r="E37" s="7"/>
      <c r="F37" s="7"/>
      <c r="G37" s="7"/>
      <c r="H37" s="7"/>
      <c r="I37" s="268"/>
      <c r="J37" s="268"/>
      <c r="K37" s="7"/>
      <c r="L37" s="7"/>
      <c r="M37" s="584"/>
      <c r="N37" s="584"/>
      <c r="O37" s="1"/>
      <c r="Q37" s="7"/>
      <c r="R37" s="7"/>
      <c r="S37" s="7" t="s">
        <v>767</v>
      </c>
      <c r="T37" s="587">
        <v>32</v>
      </c>
      <c r="U37" s="7"/>
      <c r="V37" s="7"/>
      <c r="W37" s="7"/>
      <c r="X37" s="268"/>
      <c r="Y37" s="268"/>
      <c r="Z37" s="268"/>
      <c r="AA37" s="268"/>
      <c r="AB37" s="268"/>
      <c r="AC37" s="7"/>
      <c r="AD37" s="7"/>
      <c r="AE37" s="7"/>
      <c r="AF37" s="1"/>
      <c r="AG37" s="268"/>
      <c r="AH37" s="584"/>
      <c r="AI37" s="7"/>
    </row>
    <row r="38" spans="1:35">
      <c r="A38" s="1"/>
      <c r="B38" s="1"/>
      <c r="C38" s="8" t="s">
        <v>768</v>
      </c>
      <c r="D38" s="9">
        <v>33</v>
      </c>
      <c r="E38" s="8"/>
      <c r="F38" s="8"/>
      <c r="G38" s="8"/>
      <c r="H38" s="8"/>
      <c r="I38" s="15"/>
      <c r="J38" s="15"/>
      <c r="K38" s="8"/>
      <c r="L38" s="8"/>
      <c r="M38" s="64"/>
      <c r="N38" s="64"/>
      <c r="O38" s="8"/>
      <c r="Q38" s="1"/>
      <c r="R38" s="1"/>
      <c r="S38" s="8" t="s">
        <v>768</v>
      </c>
      <c r="T38" s="9">
        <v>33</v>
      </c>
      <c r="U38" s="8"/>
      <c r="V38" s="8"/>
      <c r="W38" s="8"/>
      <c r="X38" s="15"/>
      <c r="Y38" s="15"/>
      <c r="Z38" s="15"/>
      <c r="AA38" s="15"/>
      <c r="AB38" s="15"/>
      <c r="AC38" s="8"/>
      <c r="AD38" s="8"/>
      <c r="AE38" s="8"/>
      <c r="AF38" s="8"/>
      <c r="AG38" s="15"/>
      <c r="AH38" s="64"/>
      <c r="AI38" s="8"/>
    </row>
    <row r="39" spans="1:35">
      <c r="A39" s="1"/>
      <c r="B39" s="1"/>
      <c r="C39" s="8" t="s">
        <v>769</v>
      </c>
      <c r="D39" s="9">
        <v>34</v>
      </c>
      <c r="E39" s="8"/>
      <c r="F39" s="8"/>
      <c r="G39" s="8"/>
      <c r="H39" s="8"/>
      <c r="I39" s="15"/>
      <c r="J39" s="15"/>
      <c r="K39" s="8"/>
      <c r="L39" s="8"/>
      <c r="M39" s="64"/>
      <c r="N39" s="64"/>
      <c r="O39" s="8"/>
      <c r="Q39" s="1"/>
      <c r="R39" s="1"/>
      <c r="S39" s="8" t="s">
        <v>769</v>
      </c>
      <c r="T39" s="9">
        <v>34</v>
      </c>
      <c r="U39" s="8"/>
      <c r="V39" s="8"/>
      <c r="W39" s="8"/>
      <c r="X39" s="15"/>
      <c r="Y39" s="15"/>
      <c r="Z39" s="15"/>
      <c r="AA39" s="15"/>
      <c r="AB39" s="15"/>
      <c r="AC39" s="8"/>
      <c r="AD39" s="8"/>
      <c r="AE39" s="8"/>
      <c r="AF39" s="8"/>
      <c r="AG39" s="15"/>
      <c r="AH39" s="64"/>
      <c r="AI39" s="8"/>
    </row>
    <row r="40" spans="1:35">
      <c r="A40" s="1"/>
      <c r="B40" s="1"/>
      <c r="C40" s="8" t="s">
        <v>770</v>
      </c>
      <c r="D40" s="9">
        <v>35</v>
      </c>
      <c r="E40" s="8"/>
      <c r="F40" s="8"/>
      <c r="G40" s="8"/>
      <c r="H40" s="8"/>
      <c r="I40" s="15"/>
      <c r="J40" s="15"/>
      <c r="K40" s="8"/>
      <c r="L40" s="8"/>
      <c r="M40" s="64"/>
      <c r="N40" s="64"/>
      <c r="O40" s="8"/>
      <c r="Q40" s="1"/>
      <c r="R40" s="1"/>
      <c r="S40" s="8" t="s">
        <v>770</v>
      </c>
      <c r="T40" s="9">
        <v>35</v>
      </c>
      <c r="U40" s="8"/>
      <c r="V40" s="8"/>
      <c r="W40" s="8"/>
      <c r="X40" s="15"/>
      <c r="Y40" s="15"/>
      <c r="Z40" s="15"/>
      <c r="AA40" s="15"/>
      <c r="AB40" s="15"/>
      <c r="AC40" s="8"/>
      <c r="AD40" s="8"/>
      <c r="AE40" s="8"/>
      <c r="AF40" s="8"/>
      <c r="AG40" s="15"/>
      <c r="AH40" s="64"/>
      <c r="AI40" s="8"/>
    </row>
    <row r="41" spans="1:35">
      <c r="A41" s="1"/>
      <c r="B41" s="1"/>
      <c r="C41" s="8" t="s">
        <v>771</v>
      </c>
      <c r="D41" s="9">
        <v>36</v>
      </c>
      <c r="E41" s="8"/>
      <c r="F41" s="8"/>
      <c r="G41" s="8"/>
      <c r="H41" s="8"/>
      <c r="I41" s="15"/>
      <c r="J41" s="15"/>
      <c r="K41" s="8"/>
      <c r="L41" s="8"/>
      <c r="M41" s="64"/>
      <c r="N41" s="64"/>
      <c r="O41" s="8"/>
      <c r="Q41" s="1"/>
      <c r="R41" s="1"/>
      <c r="S41" s="8" t="s">
        <v>771</v>
      </c>
      <c r="T41" s="9">
        <v>36</v>
      </c>
      <c r="U41" s="8"/>
      <c r="V41" s="8"/>
      <c r="W41" s="8"/>
      <c r="X41" s="15"/>
      <c r="Y41" s="15"/>
      <c r="Z41" s="15"/>
      <c r="AA41" s="15"/>
      <c r="AB41" s="15"/>
      <c r="AC41" s="8"/>
      <c r="AD41" s="8"/>
      <c r="AE41" s="8"/>
      <c r="AF41" s="8"/>
      <c r="AG41" s="15"/>
      <c r="AH41" s="64"/>
      <c r="AI41" s="8"/>
    </row>
    <row r="42" spans="1:35">
      <c r="A42" s="1"/>
      <c r="B42" s="1"/>
      <c r="C42" s="8" t="s">
        <v>772</v>
      </c>
      <c r="D42" s="9">
        <v>37</v>
      </c>
      <c r="E42" s="8"/>
      <c r="F42" s="8"/>
      <c r="G42" s="8"/>
      <c r="H42" s="8"/>
      <c r="I42" s="15"/>
      <c r="J42" s="15"/>
      <c r="K42" s="8"/>
      <c r="L42" s="8"/>
      <c r="M42" s="64"/>
      <c r="N42" s="64"/>
      <c r="O42" s="8"/>
      <c r="Q42" s="1"/>
      <c r="R42" s="1"/>
      <c r="S42" s="8" t="s">
        <v>772</v>
      </c>
      <c r="T42" s="9">
        <v>37</v>
      </c>
      <c r="U42" s="8"/>
      <c r="V42" s="8"/>
      <c r="W42" s="8"/>
      <c r="X42" s="15"/>
      <c r="Y42" s="15"/>
      <c r="Z42" s="15"/>
      <c r="AA42" s="15"/>
      <c r="AB42" s="15"/>
      <c r="AC42" s="8"/>
      <c r="AD42" s="8"/>
      <c r="AE42" s="8"/>
      <c r="AF42" s="8"/>
      <c r="AG42" s="15"/>
      <c r="AH42" s="64"/>
      <c r="AI42" s="8"/>
    </row>
    <row r="43" spans="1:35" s="238" customFormat="1">
      <c r="A43" s="1"/>
      <c r="B43" s="1"/>
      <c r="C43" s="8" t="s">
        <v>773</v>
      </c>
      <c r="D43" s="9">
        <v>38</v>
      </c>
      <c r="E43" s="8"/>
      <c r="F43" s="8"/>
      <c r="G43" s="8"/>
      <c r="H43" s="8"/>
      <c r="I43" s="15"/>
      <c r="J43" s="15"/>
      <c r="K43" s="8"/>
      <c r="L43" s="8"/>
      <c r="M43" s="64"/>
      <c r="N43" s="64"/>
      <c r="O43" s="8"/>
      <c r="P43"/>
      <c r="Q43" s="1"/>
      <c r="R43" s="1"/>
      <c r="S43" s="8" t="s">
        <v>773</v>
      </c>
      <c r="T43" s="9">
        <v>38</v>
      </c>
      <c r="U43" s="8"/>
      <c r="V43" s="8"/>
      <c r="W43" s="8"/>
      <c r="X43" s="15"/>
      <c r="Y43" s="15"/>
      <c r="Z43" s="15"/>
      <c r="AA43" s="15"/>
      <c r="AB43" s="15"/>
      <c r="AC43" s="8"/>
      <c r="AD43" s="8"/>
      <c r="AE43" s="8"/>
      <c r="AF43" s="8"/>
      <c r="AG43" s="15"/>
      <c r="AH43" s="64"/>
      <c r="AI43" s="8"/>
    </row>
    <row r="44" spans="1:35" s="238" customFormat="1">
      <c r="A44" s="1"/>
      <c r="B44" s="1"/>
      <c r="C44" s="73" t="s">
        <v>774</v>
      </c>
      <c r="D44" s="71">
        <v>39</v>
      </c>
      <c r="E44" s="73"/>
      <c r="F44" s="73"/>
      <c r="G44" s="73"/>
      <c r="H44" s="8"/>
      <c r="I44" s="15"/>
      <c r="J44" s="15"/>
      <c r="K44" s="73"/>
      <c r="L44" s="73"/>
      <c r="M44" s="598"/>
      <c r="N44" s="598"/>
      <c r="O44" s="8"/>
      <c r="P44"/>
      <c r="Q44" s="1"/>
      <c r="R44" s="1"/>
      <c r="S44" s="73" t="s">
        <v>774</v>
      </c>
      <c r="T44" s="71">
        <v>39</v>
      </c>
      <c r="U44" s="73"/>
      <c r="V44" s="73"/>
      <c r="W44" s="8"/>
      <c r="X44" s="15"/>
      <c r="Y44" s="15"/>
      <c r="Z44" s="15"/>
      <c r="AA44" s="15"/>
      <c r="AB44" s="15"/>
      <c r="AC44" s="73"/>
      <c r="AD44" s="73"/>
      <c r="AE44" s="73"/>
      <c r="AF44" s="8"/>
      <c r="AG44" s="15"/>
      <c r="AH44" s="64"/>
      <c r="AI44" s="73"/>
    </row>
    <row r="45" spans="1:35" s="238" customFormat="1">
      <c r="A45" s="1"/>
      <c r="B45" s="1"/>
      <c r="C45" s="8" t="s">
        <v>775</v>
      </c>
      <c r="D45" s="9">
        <v>40</v>
      </c>
      <c r="E45" s="8"/>
      <c r="F45" s="8"/>
      <c r="G45" s="8"/>
      <c r="H45" s="8"/>
      <c r="I45" s="15"/>
      <c r="J45" s="15"/>
      <c r="K45" s="8"/>
      <c r="L45" s="8"/>
      <c r="M45" s="64"/>
      <c r="N45" s="64"/>
      <c r="O45" s="8"/>
      <c r="P45"/>
      <c r="Q45" s="1"/>
      <c r="R45" s="1"/>
      <c r="S45" s="8" t="s">
        <v>775</v>
      </c>
      <c r="T45" s="9">
        <v>40</v>
      </c>
      <c r="U45" s="8"/>
      <c r="V45" s="8"/>
      <c r="W45" s="8"/>
      <c r="X45" s="15"/>
      <c r="Y45" s="15"/>
      <c r="Z45" s="15"/>
      <c r="AA45" s="15"/>
      <c r="AB45" s="15"/>
      <c r="AC45" s="8"/>
      <c r="AD45" s="8"/>
      <c r="AE45" s="8"/>
      <c r="AF45" s="8"/>
      <c r="AG45" s="15"/>
      <c r="AH45" s="64"/>
      <c r="AI45" s="8"/>
    </row>
    <row r="46" spans="1:35" s="238" customFormat="1">
      <c r="A46" s="7"/>
      <c r="B46" s="7"/>
      <c r="C46" s="588" t="s">
        <v>776</v>
      </c>
      <c r="D46" s="589">
        <v>41</v>
      </c>
      <c r="E46" s="588"/>
      <c r="F46" s="588"/>
      <c r="G46" s="588"/>
      <c r="H46" s="7"/>
      <c r="I46" s="268"/>
      <c r="J46" s="268"/>
      <c r="K46" s="588"/>
      <c r="L46" s="588"/>
      <c r="M46" s="599"/>
      <c r="N46" s="599"/>
      <c r="O46" s="1"/>
      <c r="P46"/>
      <c r="Q46" s="7"/>
      <c r="R46" s="7"/>
      <c r="S46" s="588" t="s">
        <v>776</v>
      </c>
      <c r="T46" s="589">
        <v>41</v>
      </c>
      <c r="U46" s="588"/>
      <c r="V46" s="588"/>
      <c r="W46" s="7"/>
      <c r="X46" s="268"/>
      <c r="Y46" s="268"/>
      <c r="Z46" s="268"/>
      <c r="AA46" s="268"/>
      <c r="AB46" s="268"/>
      <c r="AC46" s="588"/>
      <c r="AD46" s="588"/>
      <c r="AE46" s="588"/>
      <c r="AF46" s="1"/>
      <c r="AG46" s="268"/>
      <c r="AH46" s="584"/>
      <c r="AI46" s="588"/>
    </row>
    <row r="47" spans="1:35" s="238" customFormat="1">
      <c r="A47" s="7"/>
      <c r="B47" s="7"/>
      <c r="C47" s="7" t="s">
        <v>777</v>
      </c>
      <c r="D47" s="587">
        <v>42</v>
      </c>
      <c r="E47" s="7"/>
      <c r="F47" s="7"/>
      <c r="G47" s="7"/>
      <c r="H47" s="7"/>
      <c r="I47" s="268"/>
      <c r="J47" s="268"/>
      <c r="K47" s="7"/>
      <c r="L47" s="7"/>
      <c r="M47" s="584"/>
      <c r="N47" s="584"/>
      <c r="O47" s="1"/>
      <c r="P47"/>
      <c r="Q47" s="7"/>
      <c r="R47" s="7"/>
      <c r="S47" s="7" t="s">
        <v>777</v>
      </c>
      <c r="T47" s="587">
        <v>42</v>
      </c>
      <c r="U47" s="7"/>
      <c r="V47" s="7"/>
      <c r="W47" s="7"/>
      <c r="X47" s="268"/>
      <c r="Y47" s="268"/>
      <c r="Z47" s="268"/>
      <c r="AA47" s="268"/>
      <c r="AB47" s="268"/>
      <c r="AC47" s="7"/>
      <c r="AD47" s="7"/>
      <c r="AE47" s="7"/>
      <c r="AF47" s="1"/>
      <c r="AG47" s="268"/>
      <c r="AH47" s="584"/>
      <c r="AI47" s="7"/>
    </row>
    <row r="48" spans="1:35" s="238" customFormat="1">
      <c r="A48" s="7"/>
      <c r="B48" s="7"/>
      <c r="C48" s="7" t="s">
        <v>778</v>
      </c>
      <c r="D48" s="587">
        <v>43</v>
      </c>
      <c r="E48" s="7"/>
      <c r="F48" s="7"/>
      <c r="G48" s="7"/>
      <c r="H48" s="7"/>
      <c r="I48" s="268"/>
      <c r="J48" s="268"/>
      <c r="K48" s="7"/>
      <c r="L48" s="7"/>
      <c r="M48" s="584"/>
      <c r="N48" s="584"/>
      <c r="O48" s="1"/>
      <c r="P48"/>
      <c r="Q48" s="7"/>
      <c r="R48" s="7"/>
      <c r="S48" s="7" t="s">
        <v>778</v>
      </c>
      <c r="T48" s="587">
        <v>43</v>
      </c>
      <c r="U48" s="7"/>
      <c r="V48" s="7"/>
      <c r="W48" s="7"/>
      <c r="X48" s="268"/>
      <c r="Y48" s="268"/>
      <c r="Z48" s="268"/>
      <c r="AA48" s="268"/>
      <c r="AB48" s="268"/>
      <c r="AC48" s="7"/>
      <c r="AD48" s="7"/>
      <c r="AE48" s="7"/>
      <c r="AF48" s="1"/>
      <c r="AG48" s="268"/>
      <c r="AH48" s="584"/>
      <c r="AI48" s="7"/>
    </row>
    <row r="49" spans="1:35" s="238" customFormat="1">
      <c r="A49" s="7"/>
      <c r="B49" s="7"/>
      <c r="C49" s="7" t="s">
        <v>779</v>
      </c>
      <c r="D49" s="587">
        <v>44</v>
      </c>
      <c r="E49" s="7"/>
      <c r="F49" s="7"/>
      <c r="G49" s="7"/>
      <c r="H49" s="7"/>
      <c r="I49" s="268"/>
      <c r="J49" s="268"/>
      <c r="K49" s="7"/>
      <c r="L49" s="7"/>
      <c r="M49" s="584"/>
      <c r="N49" s="584"/>
      <c r="O49" s="1"/>
      <c r="P49"/>
      <c r="Q49" s="7"/>
      <c r="R49" s="7"/>
      <c r="S49" s="7" t="s">
        <v>779</v>
      </c>
      <c r="T49" s="587">
        <v>44</v>
      </c>
      <c r="U49" s="7"/>
      <c r="V49" s="7"/>
      <c r="W49" s="7"/>
      <c r="X49" s="268"/>
      <c r="Y49" s="268"/>
      <c r="Z49" s="268"/>
      <c r="AA49" s="268"/>
      <c r="AB49" s="268"/>
      <c r="AC49" s="7"/>
      <c r="AD49" s="7"/>
      <c r="AE49" s="7"/>
      <c r="AF49" s="1"/>
      <c r="AG49" s="268"/>
      <c r="AH49" s="584"/>
      <c r="AI49" s="7"/>
    </row>
    <row r="50" spans="1:35" s="238" customFormat="1">
      <c r="A50" s="7"/>
      <c r="B50" s="7"/>
      <c r="C50" s="7" t="s">
        <v>780</v>
      </c>
      <c r="D50" s="587">
        <v>45</v>
      </c>
      <c r="E50" s="7"/>
      <c r="F50" s="7"/>
      <c r="G50" s="7"/>
      <c r="H50" s="7"/>
      <c r="I50" s="268"/>
      <c r="J50" s="268"/>
      <c r="K50" s="7"/>
      <c r="L50" s="7"/>
      <c r="M50" s="584"/>
      <c r="N50" s="584"/>
      <c r="O50" s="1"/>
      <c r="P50"/>
      <c r="Q50" s="7"/>
      <c r="R50" s="7"/>
      <c r="S50" s="7" t="s">
        <v>780</v>
      </c>
      <c r="T50" s="587">
        <v>45</v>
      </c>
      <c r="U50" s="7"/>
      <c r="V50" s="7"/>
      <c r="W50" s="7"/>
      <c r="X50" s="268"/>
      <c r="Y50" s="268"/>
      <c r="Z50" s="268"/>
      <c r="AA50" s="268"/>
      <c r="AB50" s="268"/>
      <c r="AC50" s="7"/>
      <c r="AD50" s="7"/>
      <c r="AE50" s="7"/>
      <c r="AF50" s="1"/>
      <c r="AG50" s="268"/>
      <c r="AH50" s="584"/>
      <c r="AI50" s="7"/>
    </row>
    <row r="51" spans="1:35" s="238" customFormat="1">
      <c r="A51" s="7"/>
      <c r="B51" s="7"/>
      <c r="C51" s="7" t="s">
        <v>781</v>
      </c>
      <c r="D51" s="587">
        <v>46</v>
      </c>
      <c r="E51" s="7"/>
      <c r="F51" s="7"/>
      <c r="G51" s="7"/>
      <c r="H51" s="7"/>
      <c r="I51" s="268"/>
      <c r="J51" s="268"/>
      <c r="K51" s="7"/>
      <c r="L51" s="7"/>
      <c r="M51" s="584"/>
      <c r="N51" s="584"/>
      <c r="O51" s="1"/>
      <c r="P51"/>
      <c r="Q51" s="7"/>
      <c r="R51" s="7"/>
      <c r="S51" s="7" t="s">
        <v>781</v>
      </c>
      <c r="T51" s="587">
        <v>46</v>
      </c>
      <c r="U51" s="7"/>
      <c r="V51" s="7"/>
      <c r="W51" s="7"/>
      <c r="X51" s="268"/>
      <c r="Y51" s="268"/>
      <c r="Z51" s="268"/>
      <c r="AA51" s="268"/>
      <c r="AB51" s="268"/>
      <c r="AC51" s="7"/>
      <c r="AD51" s="7"/>
      <c r="AE51" s="7"/>
      <c r="AF51" s="1"/>
      <c r="AG51" s="268"/>
      <c r="AH51" s="584"/>
      <c r="AI51" s="7"/>
    </row>
    <row r="52" spans="1:35" s="238" customFormat="1">
      <c r="A52" s="7"/>
      <c r="B52" s="7"/>
      <c r="C52" s="7" t="s">
        <v>782</v>
      </c>
      <c r="D52" s="587">
        <v>47</v>
      </c>
      <c r="E52" s="7"/>
      <c r="F52" s="7"/>
      <c r="G52" s="7"/>
      <c r="H52" s="7"/>
      <c r="I52" s="268"/>
      <c r="J52" s="268"/>
      <c r="K52" s="7"/>
      <c r="L52" s="7"/>
      <c r="M52" s="584"/>
      <c r="N52" s="584"/>
      <c r="O52" s="1"/>
      <c r="P52"/>
      <c r="Q52" s="7"/>
      <c r="R52" s="7"/>
      <c r="S52" s="7" t="s">
        <v>782</v>
      </c>
      <c r="T52" s="587">
        <v>47</v>
      </c>
      <c r="U52" s="7"/>
      <c r="V52" s="7"/>
      <c r="W52" s="7"/>
      <c r="X52" s="268"/>
      <c r="Y52" s="268"/>
      <c r="Z52" s="268"/>
      <c r="AA52" s="268"/>
      <c r="AB52" s="268"/>
      <c r="AC52" s="7"/>
      <c r="AD52" s="7"/>
      <c r="AE52" s="7"/>
      <c r="AF52" s="1"/>
      <c r="AG52" s="268"/>
      <c r="AH52" s="584"/>
      <c r="AI52" s="7"/>
    </row>
    <row r="53" spans="1:35" s="238" customFormat="1">
      <c r="A53" s="7"/>
      <c r="B53" s="7"/>
      <c r="C53" s="7" t="s">
        <v>783</v>
      </c>
      <c r="D53" s="587">
        <v>48</v>
      </c>
      <c r="E53" s="7"/>
      <c r="F53" s="7"/>
      <c r="G53" s="7"/>
      <c r="H53" s="7"/>
      <c r="I53" s="268"/>
      <c r="J53" s="268"/>
      <c r="K53" s="7"/>
      <c r="L53" s="7"/>
      <c r="M53" s="584"/>
      <c r="N53" s="584"/>
      <c r="O53" s="1"/>
      <c r="P53"/>
      <c r="Q53" s="7"/>
      <c r="R53" s="7"/>
      <c r="S53" s="7" t="s">
        <v>783</v>
      </c>
      <c r="T53" s="587">
        <v>48</v>
      </c>
      <c r="U53" s="7"/>
      <c r="V53" s="7"/>
      <c r="W53" s="7"/>
      <c r="X53" s="268"/>
      <c r="Y53" s="268"/>
      <c r="Z53" s="268"/>
      <c r="AA53" s="268"/>
      <c r="AB53" s="268"/>
      <c r="AC53" s="7"/>
      <c r="AD53" s="7"/>
      <c r="AE53" s="7"/>
      <c r="AF53" s="1"/>
      <c r="AG53" s="268"/>
      <c r="AH53" s="584"/>
      <c r="AI53" s="7"/>
    </row>
    <row r="54" spans="1:35" s="238" customFormat="1">
      <c r="A54" s="7"/>
      <c r="B54" s="7"/>
      <c r="C54" s="8" t="s">
        <v>784</v>
      </c>
      <c r="D54" s="9">
        <v>49</v>
      </c>
      <c r="E54" s="8"/>
      <c r="F54" s="8"/>
      <c r="G54" s="8"/>
      <c r="H54" s="8"/>
      <c r="I54" s="15"/>
      <c r="J54" s="15"/>
      <c r="K54" s="15"/>
      <c r="L54" s="15"/>
      <c r="M54" s="64"/>
      <c r="N54" s="64"/>
      <c r="O54" s="8"/>
      <c r="P54"/>
      <c r="Q54" s="7"/>
      <c r="R54" s="7"/>
      <c r="S54" s="8" t="s">
        <v>784</v>
      </c>
      <c r="T54" s="9">
        <v>49</v>
      </c>
      <c r="U54" s="8"/>
      <c r="V54" s="8"/>
      <c r="W54" s="8"/>
      <c r="X54" s="15"/>
      <c r="Y54" s="15"/>
      <c r="Z54" s="15"/>
      <c r="AA54" s="15"/>
      <c r="AB54" s="15"/>
      <c r="AC54" s="15"/>
      <c r="AD54" s="15"/>
      <c r="AE54" s="15"/>
      <c r="AF54" s="8"/>
      <c r="AG54" s="15"/>
      <c r="AH54" s="64"/>
      <c r="AI54" s="15"/>
    </row>
    <row r="55" spans="1:35" s="238" customFormat="1">
      <c r="A55" s="7"/>
      <c r="B55" s="7"/>
      <c r="C55" s="8" t="s">
        <v>785</v>
      </c>
      <c r="D55" s="9">
        <v>50</v>
      </c>
      <c r="E55" s="8"/>
      <c r="F55" s="8"/>
      <c r="G55" s="8"/>
      <c r="H55" s="8"/>
      <c r="I55" s="15"/>
      <c r="J55" s="15"/>
      <c r="K55" s="15"/>
      <c r="L55" s="15"/>
      <c r="M55" s="64"/>
      <c r="N55" s="64"/>
      <c r="O55" s="8"/>
      <c r="P55"/>
      <c r="Q55" s="7"/>
      <c r="R55" s="7"/>
      <c r="S55" s="8" t="s">
        <v>785</v>
      </c>
      <c r="T55" s="9">
        <v>50</v>
      </c>
      <c r="U55" s="8"/>
      <c r="V55" s="8"/>
      <c r="W55" s="8"/>
      <c r="X55" s="15"/>
      <c r="Y55" s="15"/>
      <c r="Z55" s="15"/>
      <c r="AA55" s="15"/>
      <c r="AB55" s="15"/>
      <c r="AC55" s="15"/>
      <c r="AD55" s="15"/>
      <c r="AE55" s="15"/>
      <c r="AF55" s="8"/>
      <c r="AG55" s="15"/>
      <c r="AH55" s="64"/>
      <c r="AI55" s="15"/>
    </row>
    <row r="56" spans="1:35" s="238" customFormat="1">
      <c r="A56" s="7"/>
      <c r="B56" s="7"/>
      <c r="C56" s="8" t="s">
        <v>786</v>
      </c>
      <c r="D56" s="9">
        <v>51</v>
      </c>
      <c r="E56" s="8"/>
      <c r="F56" s="8"/>
      <c r="G56" s="8"/>
      <c r="H56" s="8"/>
      <c r="I56" s="15"/>
      <c r="J56" s="15"/>
      <c r="K56" s="14"/>
      <c r="L56" s="14"/>
      <c r="M56" s="64"/>
      <c r="N56" s="64"/>
      <c r="O56" s="8"/>
      <c r="P56"/>
      <c r="Q56" s="7"/>
      <c r="R56" s="7"/>
      <c r="S56" s="8" t="s">
        <v>786</v>
      </c>
      <c r="T56" s="9">
        <v>51</v>
      </c>
      <c r="U56" s="8"/>
      <c r="V56" s="8"/>
      <c r="W56" s="8"/>
      <c r="X56" s="15"/>
      <c r="Y56" s="15"/>
      <c r="Z56" s="15"/>
      <c r="AA56" s="15"/>
      <c r="AB56" s="15"/>
      <c r="AC56" s="14"/>
      <c r="AD56" s="14"/>
      <c r="AE56" s="14"/>
      <c r="AF56" s="8"/>
      <c r="AG56" s="15"/>
      <c r="AH56" s="64"/>
      <c r="AI56" s="14"/>
    </row>
    <row r="57" spans="1:35" s="238" customFormat="1">
      <c r="A57" s="7"/>
      <c r="B57" s="7"/>
      <c r="C57" s="8" t="s">
        <v>787</v>
      </c>
      <c r="D57" s="9">
        <v>52</v>
      </c>
      <c r="E57" s="8"/>
      <c r="F57" s="8"/>
      <c r="G57" s="8"/>
      <c r="H57" s="8"/>
      <c r="I57" s="15"/>
      <c r="J57" s="15"/>
      <c r="K57" s="14"/>
      <c r="L57" s="14"/>
      <c r="M57" s="64"/>
      <c r="N57" s="64"/>
      <c r="O57" s="8"/>
      <c r="P57"/>
      <c r="Q57" s="7"/>
      <c r="R57" s="7"/>
      <c r="S57" s="8" t="s">
        <v>787</v>
      </c>
      <c r="T57" s="9">
        <v>52</v>
      </c>
      <c r="U57" s="8"/>
      <c r="V57" s="8"/>
      <c r="W57" s="8"/>
      <c r="X57" s="15"/>
      <c r="Y57" s="15"/>
      <c r="Z57" s="15"/>
      <c r="AA57" s="15"/>
      <c r="AB57" s="15"/>
      <c r="AC57" s="14"/>
      <c r="AD57" s="14"/>
      <c r="AE57" s="14"/>
      <c r="AF57" s="8"/>
      <c r="AG57" s="15"/>
      <c r="AH57" s="64"/>
      <c r="AI57" s="14"/>
    </row>
    <row r="58" spans="1:35" s="238" customFormat="1">
      <c r="A58" s="7"/>
      <c r="B58" s="7"/>
      <c r="C58" s="8" t="s">
        <v>788</v>
      </c>
      <c r="D58" s="9">
        <v>53</v>
      </c>
      <c r="E58" s="8"/>
      <c r="F58" s="8"/>
      <c r="G58" s="8"/>
      <c r="H58" s="8"/>
      <c r="I58" s="15"/>
      <c r="J58" s="15"/>
      <c r="K58" s="14"/>
      <c r="L58" s="14"/>
      <c r="M58" s="64"/>
      <c r="N58" s="64"/>
      <c r="O58" s="8"/>
      <c r="P58"/>
      <c r="Q58" s="7"/>
      <c r="R58" s="7"/>
      <c r="S58" s="8" t="s">
        <v>788</v>
      </c>
      <c r="T58" s="9">
        <v>53</v>
      </c>
      <c r="U58" s="8"/>
      <c r="V58" s="8"/>
      <c r="W58" s="8"/>
      <c r="X58" s="15"/>
      <c r="Y58" s="15"/>
      <c r="Z58" s="15"/>
      <c r="AA58" s="15"/>
      <c r="AB58" s="15"/>
      <c r="AC58" s="14"/>
      <c r="AD58" s="14"/>
      <c r="AE58" s="14"/>
      <c r="AF58" s="8"/>
      <c r="AG58" s="15"/>
      <c r="AH58" s="64"/>
      <c r="AI58" s="14"/>
    </row>
    <row r="59" spans="1:35" s="238" customFormat="1">
      <c r="A59" s="7"/>
      <c r="B59" s="7"/>
      <c r="C59" s="8" t="s">
        <v>789</v>
      </c>
      <c r="D59" s="9">
        <v>54</v>
      </c>
      <c r="E59" s="8"/>
      <c r="F59" s="8"/>
      <c r="G59" s="8"/>
      <c r="H59" s="8"/>
      <c r="I59" s="15"/>
      <c r="J59" s="15"/>
      <c r="K59" s="8"/>
      <c r="L59" s="8"/>
      <c r="M59" s="64"/>
      <c r="N59" s="64"/>
      <c r="O59" s="8"/>
      <c r="P59"/>
      <c r="Q59" s="7"/>
      <c r="R59" s="7"/>
      <c r="S59" s="8" t="s">
        <v>789</v>
      </c>
      <c r="T59" s="9">
        <v>54</v>
      </c>
      <c r="U59" s="8"/>
      <c r="V59" s="8"/>
      <c r="W59" s="8"/>
      <c r="X59" s="15"/>
      <c r="Y59" s="15"/>
      <c r="Z59" s="15"/>
      <c r="AA59" s="15"/>
      <c r="AB59" s="15"/>
      <c r="AC59" s="8"/>
      <c r="AD59" s="8"/>
      <c r="AE59" s="8"/>
      <c r="AF59" s="8"/>
      <c r="AG59" s="15"/>
      <c r="AH59" s="64"/>
      <c r="AI59" s="8"/>
    </row>
    <row r="60" spans="1:35" s="238" customFormat="1">
      <c r="A60" s="7"/>
      <c r="B60" s="7"/>
      <c r="C60" s="8" t="s">
        <v>790</v>
      </c>
      <c r="D60" s="9">
        <v>55</v>
      </c>
      <c r="E60" s="8"/>
      <c r="F60" s="8"/>
      <c r="G60" s="8"/>
      <c r="H60" s="8"/>
      <c r="I60" s="15"/>
      <c r="J60" s="15"/>
      <c r="K60" s="8"/>
      <c r="L60" s="8"/>
      <c r="M60" s="64"/>
      <c r="N60" s="64"/>
      <c r="O60" s="8"/>
      <c r="P60"/>
      <c r="Q60" s="7"/>
      <c r="R60" s="7"/>
      <c r="S60" s="8" t="s">
        <v>790</v>
      </c>
      <c r="T60" s="9">
        <v>55</v>
      </c>
      <c r="U60" s="8"/>
      <c r="V60" s="8"/>
      <c r="W60" s="8"/>
      <c r="X60" s="15"/>
      <c r="Y60" s="15"/>
      <c r="Z60" s="15"/>
      <c r="AA60" s="15"/>
      <c r="AB60" s="15"/>
      <c r="AC60" s="8"/>
      <c r="AD60" s="8"/>
      <c r="AE60" s="8"/>
      <c r="AF60" s="8"/>
      <c r="AG60" s="15"/>
      <c r="AH60" s="64"/>
      <c r="AI60" s="8"/>
    </row>
    <row r="61" spans="1:35" s="238" customFormat="1">
      <c r="A61" s="7"/>
      <c r="B61" s="7"/>
      <c r="C61" s="8" t="s">
        <v>791</v>
      </c>
      <c r="D61" s="9">
        <v>56</v>
      </c>
      <c r="E61" s="8"/>
      <c r="F61" s="8"/>
      <c r="G61" s="8"/>
      <c r="H61" s="8"/>
      <c r="I61" s="15"/>
      <c r="J61" s="15"/>
      <c r="K61" s="8"/>
      <c r="L61" s="8"/>
      <c r="M61" s="64"/>
      <c r="N61" s="64"/>
      <c r="O61" s="8"/>
      <c r="P61"/>
      <c r="Q61" s="7"/>
      <c r="R61" s="7"/>
      <c r="S61" s="8" t="s">
        <v>791</v>
      </c>
      <c r="T61" s="9">
        <v>56</v>
      </c>
      <c r="U61" s="8"/>
      <c r="V61" s="8"/>
      <c r="W61" s="8"/>
      <c r="X61" s="15"/>
      <c r="Y61" s="15"/>
      <c r="Z61" s="15"/>
      <c r="AA61" s="15"/>
      <c r="AB61" s="15"/>
      <c r="AC61" s="8"/>
      <c r="AD61" s="8"/>
      <c r="AE61" s="8"/>
      <c r="AF61" s="8"/>
      <c r="AG61" s="15"/>
      <c r="AH61" s="64"/>
      <c r="AI61" s="8"/>
    </row>
    <row r="62" spans="1:35" s="238" customFormat="1">
      <c r="A62" s="7"/>
      <c r="B62" s="7"/>
      <c r="C62" s="7" t="s">
        <v>792</v>
      </c>
      <c r="D62" s="587">
        <v>57</v>
      </c>
      <c r="E62" s="7"/>
      <c r="F62" s="7"/>
      <c r="G62" s="7"/>
      <c r="H62" s="7"/>
      <c r="I62" s="268"/>
      <c r="J62" s="268"/>
      <c r="K62" s="7"/>
      <c r="L62" s="7"/>
      <c r="M62" s="584"/>
      <c r="N62" s="584"/>
      <c r="O62" s="1"/>
      <c r="P62"/>
      <c r="Q62" s="7"/>
      <c r="R62" s="7"/>
      <c r="S62" s="7" t="s">
        <v>792</v>
      </c>
      <c r="T62" s="587">
        <v>57</v>
      </c>
      <c r="U62" s="7"/>
      <c r="V62" s="7"/>
      <c r="W62" s="7"/>
      <c r="X62" s="268"/>
      <c r="Y62" s="268"/>
      <c r="Z62" s="268"/>
      <c r="AA62" s="268"/>
      <c r="AB62" s="268"/>
      <c r="AC62" s="7"/>
      <c r="AD62" s="7"/>
      <c r="AE62" s="7"/>
      <c r="AF62" s="1"/>
      <c r="AG62" s="268"/>
      <c r="AH62" s="584"/>
      <c r="AI62" s="7"/>
    </row>
    <row r="63" spans="1:35" s="238" customFormat="1">
      <c r="A63" s="7"/>
      <c r="B63" s="7"/>
      <c r="C63" s="7" t="s">
        <v>793</v>
      </c>
      <c r="D63" s="587">
        <v>58</v>
      </c>
      <c r="E63" s="7"/>
      <c r="F63" s="7"/>
      <c r="G63" s="7"/>
      <c r="H63" s="7"/>
      <c r="I63" s="268"/>
      <c r="J63" s="268"/>
      <c r="K63" s="7"/>
      <c r="L63" s="7"/>
      <c r="M63" s="584"/>
      <c r="N63" s="584"/>
      <c r="O63" s="1"/>
      <c r="P63"/>
      <c r="Q63" s="7"/>
      <c r="R63" s="7"/>
      <c r="S63" s="7" t="s">
        <v>793</v>
      </c>
      <c r="T63" s="587">
        <v>58</v>
      </c>
      <c r="U63" s="7"/>
      <c r="V63" s="7"/>
      <c r="W63" s="7"/>
      <c r="X63" s="268"/>
      <c r="Y63" s="268"/>
      <c r="Z63" s="268"/>
      <c r="AA63" s="268"/>
      <c r="AB63" s="268"/>
      <c r="AC63" s="7"/>
      <c r="AD63" s="7"/>
      <c r="AE63" s="7"/>
      <c r="AF63" s="1"/>
      <c r="AG63" s="268"/>
      <c r="AH63" s="584"/>
      <c r="AI63" s="7"/>
    </row>
    <row r="64" spans="1:35" s="238" customFormat="1">
      <c r="A64" s="7"/>
      <c r="B64" s="7"/>
      <c r="C64" s="7" t="s">
        <v>794</v>
      </c>
      <c r="D64" s="587">
        <v>59</v>
      </c>
      <c r="E64" s="7"/>
      <c r="F64" s="7"/>
      <c r="G64" s="7"/>
      <c r="H64" s="7"/>
      <c r="I64" s="268"/>
      <c r="J64" s="268"/>
      <c r="K64" s="7"/>
      <c r="L64" s="7"/>
      <c r="M64" s="584"/>
      <c r="N64" s="584"/>
      <c r="O64" s="1"/>
      <c r="P64"/>
      <c r="Q64" s="7"/>
      <c r="R64" s="7"/>
      <c r="S64" s="7" t="s">
        <v>794</v>
      </c>
      <c r="T64" s="587">
        <v>59</v>
      </c>
      <c r="U64" s="7"/>
      <c r="V64" s="7"/>
      <c r="W64" s="7"/>
      <c r="X64" s="268"/>
      <c r="Y64" s="268"/>
      <c r="Z64" s="268"/>
      <c r="AA64" s="268"/>
      <c r="AB64" s="268"/>
      <c r="AC64" s="7"/>
      <c r="AD64" s="7"/>
      <c r="AE64" s="7"/>
      <c r="AF64" s="1"/>
      <c r="AG64" s="268"/>
      <c r="AH64" s="584"/>
      <c r="AI64" s="7"/>
    </row>
    <row r="65" spans="1:35" s="238" customFormat="1">
      <c r="A65" s="7"/>
      <c r="B65" s="7"/>
      <c r="C65" s="7" t="s">
        <v>795</v>
      </c>
      <c r="D65" s="587">
        <v>60</v>
      </c>
      <c r="E65" s="7"/>
      <c r="F65" s="7"/>
      <c r="G65" s="7"/>
      <c r="H65" s="7"/>
      <c r="I65" s="268"/>
      <c r="J65" s="268"/>
      <c r="K65" s="7"/>
      <c r="L65" s="7"/>
      <c r="M65" s="584"/>
      <c r="N65" s="584"/>
      <c r="O65" s="1"/>
      <c r="P65"/>
      <c r="Q65" s="7"/>
      <c r="R65" s="7"/>
      <c r="S65" s="7" t="s">
        <v>795</v>
      </c>
      <c r="T65" s="587">
        <v>60</v>
      </c>
      <c r="U65" s="7"/>
      <c r="V65" s="7"/>
      <c r="W65" s="7"/>
      <c r="X65" s="268"/>
      <c r="Y65" s="268"/>
      <c r="Z65" s="268"/>
      <c r="AA65" s="268"/>
      <c r="AB65" s="268"/>
      <c r="AC65" s="7"/>
      <c r="AD65" s="7"/>
      <c r="AE65" s="7"/>
      <c r="AF65" s="1"/>
      <c r="AG65" s="268"/>
      <c r="AH65" s="584"/>
      <c r="AI65" s="7"/>
    </row>
    <row r="66" spans="1:35" s="238" customFormat="1">
      <c r="A66" s="7"/>
      <c r="B66" s="7"/>
      <c r="C66" s="7" t="s">
        <v>796</v>
      </c>
      <c r="D66" s="587">
        <v>61</v>
      </c>
      <c r="E66" s="7"/>
      <c r="F66" s="7"/>
      <c r="G66" s="7"/>
      <c r="H66" s="7"/>
      <c r="I66" s="268"/>
      <c r="J66" s="268"/>
      <c r="K66" s="7"/>
      <c r="L66" s="7"/>
      <c r="M66" s="584"/>
      <c r="N66" s="584"/>
      <c r="O66" s="1"/>
      <c r="P66"/>
      <c r="Q66" s="7"/>
      <c r="R66" s="7"/>
      <c r="S66" s="7" t="s">
        <v>796</v>
      </c>
      <c r="T66" s="587">
        <v>61</v>
      </c>
      <c r="U66" s="7"/>
      <c r="V66" s="7"/>
      <c r="W66" s="7"/>
      <c r="X66" s="268"/>
      <c r="Y66" s="268"/>
      <c r="Z66" s="268"/>
      <c r="AA66" s="268"/>
      <c r="AB66" s="268"/>
      <c r="AC66" s="7"/>
      <c r="AD66" s="7"/>
      <c r="AE66" s="7"/>
      <c r="AF66" s="1"/>
      <c r="AG66" s="268"/>
      <c r="AH66" s="584"/>
      <c r="AI66" s="7"/>
    </row>
    <row r="67" spans="1:35" s="238" customFormat="1">
      <c r="A67" s="7"/>
      <c r="B67" s="7"/>
      <c r="C67" s="7" t="s">
        <v>797</v>
      </c>
      <c r="D67" s="587">
        <v>62</v>
      </c>
      <c r="E67" s="7"/>
      <c r="F67" s="7"/>
      <c r="G67" s="7"/>
      <c r="H67" s="7"/>
      <c r="I67" s="268"/>
      <c r="J67" s="268"/>
      <c r="K67" s="7"/>
      <c r="L67" s="7"/>
      <c r="M67" s="584"/>
      <c r="N67" s="584"/>
      <c r="O67" s="1"/>
      <c r="P67"/>
      <c r="Q67" s="7"/>
      <c r="R67" s="7"/>
      <c r="S67" s="7" t="s">
        <v>797</v>
      </c>
      <c r="T67" s="587">
        <v>62</v>
      </c>
      <c r="U67" s="7"/>
      <c r="V67" s="7"/>
      <c r="W67" s="7"/>
      <c r="X67" s="268"/>
      <c r="Y67" s="268"/>
      <c r="Z67" s="268"/>
      <c r="AA67" s="268"/>
      <c r="AB67" s="268"/>
      <c r="AC67" s="7"/>
      <c r="AD67" s="7"/>
      <c r="AE67" s="7"/>
      <c r="AF67" s="1"/>
      <c r="AG67" s="268"/>
      <c r="AH67" s="584"/>
      <c r="AI67" s="7"/>
    </row>
    <row r="68" spans="1:35" s="238" customFormat="1">
      <c r="A68" s="7"/>
      <c r="B68" s="7"/>
      <c r="C68" s="590" t="s">
        <v>798</v>
      </c>
      <c r="D68" s="591">
        <v>63</v>
      </c>
      <c r="E68" s="590"/>
      <c r="F68" s="590"/>
      <c r="G68" s="590"/>
      <c r="H68" s="7"/>
      <c r="I68" s="268"/>
      <c r="J68" s="268"/>
      <c r="K68" s="590"/>
      <c r="L68" s="590"/>
      <c r="M68" s="600"/>
      <c r="N68" s="600"/>
      <c r="O68" s="1"/>
      <c r="P68"/>
      <c r="Q68" s="7"/>
      <c r="R68" s="7"/>
      <c r="S68" s="590" t="s">
        <v>798</v>
      </c>
      <c r="T68" s="591">
        <v>63</v>
      </c>
      <c r="U68" s="590"/>
      <c r="V68" s="590"/>
      <c r="W68" s="7"/>
      <c r="X68" s="268"/>
      <c r="Y68" s="268"/>
      <c r="Z68" s="268"/>
      <c r="AA68" s="268"/>
      <c r="AB68" s="268"/>
      <c r="AC68" s="590"/>
      <c r="AD68" s="590"/>
      <c r="AE68" s="590"/>
      <c r="AF68" s="1"/>
      <c r="AG68" s="268"/>
      <c r="AH68" s="584"/>
      <c r="AI68" s="590"/>
    </row>
    <row r="69" spans="1:35" s="238" customFormat="1">
      <c r="A69" s="7"/>
      <c r="B69" s="7"/>
      <c r="C69" s="7" t="s">
        <v>799</v>
      </c>
      <c r="D69" s="587">
        <v>64</v>
      </c>
      <c r="E69" s="7"/>
      <c r="F69" s="7"/>
      <c r="G69" s="7"/>
      <c r="H69" s="7"/>
      <c r="I69" s="268"/>
      <c r="J69" s="268"/>
      <c r="K69" s="7"/>
      <c r="L69" s="7"/>
      <c r="M69" s="584"/>
      <c r="N69" s="584"/>
      <c r="O69" s="1"/>
      <c r="P69"/>
      <c r="Q69" s="7"/>
      <c r="R69" s="7"/>
      <c r="S69" s="7" t="s">
        <v>799</v>
      </c>
      <c r="T69" s="587">
        <v>64</v>
      </c>
      <c r="U69" s="7"/>
      <c r="V69" s="7"/>
      <c r="W69" s="7"/>
      <c r="X69" s="268"/>
      <c r="Y69" s="268"/>
      <c r="Z69" s="268"/>
      <c r="AA69" s="268"/>
      <c r="AB69" s="268"/>
      <c r="AC69" s="7"/>
      <c r="AD69" s="7"/>
      <c r="AE69" s="7"/>
      <c r="AF69" s="1"/>
      <c r="AG69" s="268"/>
      <c r="AH69" s="584"/>
      <c r="AI69" s="7"/>
    </row>
    <row r="70" spans="1:35" s="238" customFormat="1">
      <c r="A70" s="7"/>
      <c r="B70" s="7"/>
      <c r="C70" s="19" t="s">
        <v>800</v>
      </c>
      <c r="D70" s="18">
        <v>65</v>
      </c>
      <c r="E70" s="19"/>
      <c r="F70" s="19"/>
      <c r="G70" s="19"/>
      <c r="H70" s="8"/>
      <c r="I70" s="15"/>
      <c r="J70" s="15"/>
      <c r="K70" s="19"/>
      <c r="L70" s="19"/>
      <c r="M70" s="586"/>
      <c r="N70" s="586"/>
      <c r="O70" s="8"/>
      <c r="P70"/>
      <c r="Q70" s="7"/>
      <c r="R70" s="7"/>
      <c r="S70" s="19" t="s">
        <v>800</v>
      </c>
      <c r="T70" s="18">
        <v>65</v>
      </c>
      <c r="U70" s="19"/>
      <c r="V70" s="19"/>
      <c r="W70" s="8"/>
      <c r="X70" s="15"/>
      <c r="Y70" s="15"/>
      <c r="Z70" s="15"/>
      <c r="AA70" s="15"/>
      <c r="AB70" s="15"/>
      <c r="AC70" s="19"/>
      <c r="AD70" s="19"/>
      <c r="AE70" s="19"/>
      <c r="AF70" s="8"/>
      <c r="AG70" s="15"/>
      <c r="AH70" s="64"/>
      <c r="AI70" s="19"/>
    </row>
    <row r="71" spans="1:35" s="238" customFormat="1">
      <c r="A71" s="7"/>
      <c r="B71" s="7"/>
      <c r="C71" s="8" t="s">
        <v>801</v>
      </c>
      <c r="D71" s="9">
        <v>66</v>
      </c>
      <c r="E71" s="8"/>
      <c r="F71" s="8"/>
      <c r="G71" s="8"/>
      <c r="H71" s="8"/>
      <c r="I71" s="15"/>
      <c r="J71" s="15"/>
      <c r="K71" s="8"/>
      <c r="L71" s="8"/>
      <c r="M71" s="64"/>
      <c r="N71" s="64"/>
      <c r="O71" s="8"/>
      <c r="P71"/>
      <c r="Q71" s="7"/>
      <c r="R71" s="7"/>
      <c r="S71" s="8" t="s">
        <v>801</v>
      </c>
      <c r="T71" s="9">
        <v>66</v>
      </c>
      <c r="U71" s="8"/>
      <c r="V71" s="8"/>
      <c r="W71" s="8"/>
      <c r="X71" s="15"/>
      <c r="Y71" s="15"/>
      <c r="Z71" s="15"/>
      <c r="AA71" s="15"/>
      <c r="AB71" s="15"/>
      <c r="AC71" s="8"/>
      <c r="AD71" s="8"/>
      <c r="AE71" s="8"/>
      <c r="AF71" s="8"/>
      <c r="AG71" s="15"/>
      <c r="AH71" s="64"/>
      <c r="AI71" s="8"/>
    </row>
    <row r="72" spans="1:35" s="238" customFormat="1">
      <c r="A72" s="7"/>
      <c r="B72" s="7"/>
      <c r="C72" s="8" t="s">
        <v>802</v>
      </c>
      <c r="D72" s="9">
        <v>67</v>
      </c>
      <c r="E72" s="8"/>
      <c r="F72" s="8"/>
      <c r="G72" s="8"/>
      <c r="H72" s="8"/>
      <c r="I72" s="15"/>
      <c r="J72" s="15"/>
      <c r="K72" s="8"/>
      <c r="L72" s="8"/>
      <c r="M72" s="64"/>
      <c r="N72" s="64"/>
      <c r="O72" s="8"/>
      <c r="P72"/>
      <c r="Q72" s="7"/>
      <c r="R72" s="7"/>
      <c r="S72" s="8" t="s">
        <v>802</v>
      </c>
      <c r="T72" s="9">
        <v>67</v>
      </c>
      <c r="U72" s="8"/>
      <c r="V72" s="8"/>
      <c r="W72" s="8"/>
      <c r="X72" s="15"/>
      <c r="Y72" s="15"/>
      <c r="Z72" s="15"/>
      <c r="AA72" s="15"/>
      <c r="AB72" s="15"/>
      <c r="AC72" s="8"/>
      <c r="AD72" s="8"/>
      <c r="AE72" s="8"/>
      <c r="AF72" s="8"/>
      <c r="AG72" s="15"/>
      <c r="AH72" s="64"/>
      <c r="AI72" s="8"/>
    </row>
    <row r="73" spans="1:35" s="238" customFormat="1">
      <c r="A73" s="7"/>
      <c r="B73" s="7"/>
      <c r="C73" s="8" t="s">
        <v>803</v>
      </c>
      <c r="D73" s="9">
        <v>68</v>
      </c>
      <c r="E73" s="8"/>
      <c r="F73" s="8"/>
      <c r="G73" s="8"/>
      <c r="H73" s="8"/>
      <c r="I73" s="15"/>
      <c r="J73" s="15"/>
      <c r="K73" s="8"/>
      <c r="L73" s="8"/>
      <c r="M73" s="64"/>
      <c r="N73" s="64"/>
      <c r="O73" s="8"/>
      <c r="P73"/>
      <c r="Q73" s="7"/>
      <c r="R73" s="7"/>
      <c r="S73" s="8" t="s">
        <v>803</v>
      </c>
      <c r="T73" s="9">
        <v>68</v>
      </c>
      <c r="U73" s="8"/>
      <c r="V73" s="8"/>
      <c r="W73" s="8"/>
      <c r="X73" s="15"/>
      <c r="Y73" s="15"/>
      <c r="Z73" s="15"/>
      <c r="AA73" s="15"/>
      <c r="AB73" s="15"/>
      <c r="AC73" s="8"/>
      <c r="AD73" s="8"/>
      <c r="AE73" s="8"/>
      <c r="AF73" s="8"/>
      <c r="AG73" s="15"/>
      <c r="AH73" s="64"/>
      <c r="AI73" s="8"/>
    </row>
    <row r="74" spans="1:35" s="238" customFormat="1">
      <c r="A74" s="7"/>
      <c r="B74" s="7"/>
      <c r="C74" s="8" t="s">
        <v>804</v>
      </c>
      <c r="D74" s="9">
        <v>69</v>
      </c>
      <c r="E74" s="8"/>
      <c r="F74" s="8"/>
      <c r="G74" s="8"/>
      <c r="H74" s="8"/>
      <c r="I74" s="15"/>
      <c r="J74" s="15"/>
      <c r="K74" s="8"/>
      <c r="L74" s="8"/>
      <c r="M74" s="64"/>
      <c r="N74" s="64"/>
      <c r="O74" s="8"/>
      <c r="P74"/>
      <c r="Q74" s="7"/>
      <c r="R74" s="7"/>
      <c r="S74" s="8" t="s">
        <v>804</v>
      </c>
      <c r="T74" s="9">
        <v>69</v>
      </c>
      <c r="U74" s="8"/>
      <c r="V74" s="8"/>
      <c r="W74" s="8"/>
      <c r="X74" s="15"/>
      <c r="Y74" s="15"/>
      <c r="Z74" s="15"/>
      <c r="AA74" s="15"/>
      <c r="AB74" s="15"/>
      <c r="AC74" s="8"/>
      <c r="AD74" s="8"/>
      <c r="AE74" s="8"/>
      <c r="AF74" s="8"/>
      <c r="AG74" s="15"/>
      <c r="AH74" s="64"/>
      <c r="AI74" s="8"/>
    </row>
    <row r="75" spans="1:35" s="238" customFormat="1">
      <c r="A75" s="7"/>
      <c r="B75" s="7"/>
      <c r="C75" s="8" t="s">
        <v>805</v>
      </c>
      <c r="D75" s="9">
        <v>70</v>
      </c>
      <c r="E75" s="8"/>
      <c r="F75" s="8"/>
      <c r="G75" s="8"/>
      <c r="H75" s="8"/>
      <c r="I75" s="15"/>
      <c r="J75" s="15"/>
      <c r="K75" s="8"/>
      <c r="L75" s="8"/>
      <c r="M75" s="64"/>
      <c r="N75" s="64"/>
      <c r="O75" s="8"/>
      <c r="P75"/>
      <c r="Q75" s="7"/>
      <c r="R75" s="7"/>
      <c r="S75" s="8" t="s">
        <v>805</v>
      </c>
      <c r="T75" s="9">
        <v>70</v>
      </c>
      <c r="U75" s="8"/>
      <c r="V75" s="8"/>
      <c r="W75" s="8"/>
      <c r="X75" s="15"/>
      <c r="Y75" s="15"/>
      <c r="Z75" s="15"/>
      <c r="AA75" s="15"/>
      <c r="AB75" s="15"/>
      <c r="AC75" s="8"/>
      <c r="AD75" s="8"/>
      <c r="AE75" s="8"/>
      <c r="AF75" s="8"/>
      <c r="AG75" s="15"/>
      <c r="AH75" s="64"/>
      <c r="AI75" s="8"/>
    </row>
    <row r="76" spans="1:35" s="238" customFormat="1">
      <c r="A76" s="7"/>
      <c r="B76" s="7"/>
      <c r="C76" s="8" t="s">
        <v>806</v>
      </c>
      <c r="D76" s="9">
        <v>71</v>
      </c>
      <c r="E76" s="8"/>
      <c r="F76" s="8"/>
      <c r="G76" s="8"/>
      <c r="H76" s="8"/>
      <c r="I76" s="15"/>
      <c r="J76" s="15"/>
      <c r="K76" s="8"/>
      <c r="L76" s="8"/>
      <c r="M76" s="64"/>
      <c r="N76" s="64"/>
      <c r="O76" s="8"/>
      <c r="P76"/>
      <c r="Q76" s="7"/>
      <c r="R76" s="7"/>
      <c r="S76" s="8" t="s">
        <v>806</v>
      </c>
      <c r="T76" s="9">
        <v>71</v>
      </c>
      <c r="U76" s="8"/>
      <c r="V76" s="8"/>
      <c r="W76" s="8"/>
      <c r="X76" s="15"/>
      <c r="Y76" s="15"/>
      <c r="Z76" s="15"/>
      <c r="AA76" s="15"/>
      <c r="AB76" s="15"/>
      <c r="AC76" s="8"/>
      <c r="AD76" s="8"/>
      <c r="AE76" s="8"/>
      <c r="AF76" s="8"/>
      <c r="AG76" s="15"/>
      <c r="AH76" s="64"/>
      <c r="AI76" s="8"/>
    </row>
    <row r="77" spans="1:35" s="238" customFormat="1">
      <c r="A77" s="7"/>
      <c r="B77" s="7"/>
      <c r="C77" s="8" t="s">
        <v>807</v>
      </c>
      <c r="D77" s="9">
        <v>72</v>
      </c>
      <c r="E77" s="8"/>
      <c r="F77" s="8"/>
      <c r="G77" s="8"/>
      <c r="H77" s="8"/>
      <c r="I77" s="15"/>
      <c r="J77" s="15"/>
      <c r="K77" s="8"/>
      <c r="L77" s="8"/>
      <c r="M77" s="64"/>
      <c r="N77" s="64"/>
      <c r="O77" s="8"/>
      <c r="P77"/>
      <c r="Q77" s="7"/>
      <c r="R77" s="7"/>
      <c r="S77" s="8" t="s">
        <v>807</v>
      </c>
      <c r="T77" s="9">
        <v>72</v>
      </c>
      <c r="U77" s="8"/>
      <c r="V77" s="8"/>
      <c r="W77" s="8"/>
      <c r="X77" s="15"/>
      <c r="Y77" s="15"/>
      <c r="Z77" s="15"/>
      <c r="AA77" s="15"/>
      <c r="AB77" s="15"/>
      <c r="AC77" s="8"/>
      <c r="AD77" s="8"/>
      <c r="AE77" s="8"/>
      <c r="AF77" s="8"/>
      <c r="AG77" s="15"/>
      <c r="AH77" s="64"/>
      <c r="AI77" s="8"/>
    </row>
    <row r="78" spans="1:35" s="238" customFormat="1">
      <c r="A78" s="7"/>
      <c r="B78" s="7"/>
      <c r="C78" s="7" t="s">
        <v>233</v>
      </c>
      <c r="D78" s="587">
        <v>73</v>
      </c>
      <c r="E78" s="7"/>
      <c r="F78" s="7"/>
      <c r="G78" s="7"/>
      <c r="H78" s="7"/>
      <c r="I78" s="268"/>
      <c r="J78" s="268"/>
      <c r="K78" s="268"/>
      <c r="L78" s="268"/>
      <c r="M78" s="584"/>
      <c r="N78" s="584"/>
      <c r="O78" s="1"/>
      <c r="P78"/>
      <c r="Q78" s="7"/>
      <c r="R78" s="7"/>
      <c r="S78" s="7" t="s">
        <v>233</v>
      </c>
      <c r="T78" s="587">
        <v>73</v>
      </c>
      <c r="U78" s="7"/>
      <c r="V78" s="7"/>
      <c r="W78" s="7"/>
      <c r="X78" s="268"/>
      <c r="Y78" s="268"/>
      <c r="Z78" s="268"/>
      <c r="AA78" s="268"/>
      <c r="AB78" s="268"/>
      <c r="AC78" s="268"/>
      <c r="AD78" s="268"/>
      <c r="AE78" s="268"/>
      <c r="AF78" s="1"/>
      <c r="AG78" s="268"/>
      <c r="AH78" s="584"/>
      <c r="AI78" s="268"/>
    </row>
    <row r="79" spans="1:35" s="238" customFormat="1">
      <c r="A79" s="7"/>
      <c r="B79" s="7"/>
      <c r="C79" s="7" t="s">
        <v>234</v>
      </c>
      <c r="D79" s="587">
        <v>74</v>
      </c>
      <c r="E79" s="7"/>
      <c r="F79" s="7"/>
      <c r="G79" s="7"/>
      <c r="H79" s="7"/>
      <c r="I79" s="268"/>
      <c r="J79" s="268"/>
      <c r="K79" s="268"/>
      <c r="L79" s="268"/>
      <c r="M79" s="584"/>
      <c r="N79" s="584"/>
      <c r="O79" s="1"/>
      <c r="P79"/>
      <c r="Q79" s="7"/>
      <c r="R79" s="7"/>
      <c r="S79" s="7" t="s">
        <v>234</v>
      </c>
      <c r="T79" s="587">
        <v>74</v>
      </c>
      <c r="U79" s="7"/>
      <c r="V79" s="7"/>
      <c r="W79" s="7"/>
      <c r="X79" s="268"/>
      <c r="Y79" s="268"/>
      <c r="Z79" s="268"/>
      <c r="AA79" s="268"/>
      <c r="AB79" s="268"/>
      <c r="AC79" s="268"/>
      <c r="AD79" s="268"/>
      <c r="AE79" s="268"/>
      <c r="AF79" s="1"/>
      <c r="AG79" s="268"/>
      <c r="AH79" s="584"/>
      <c r="AI79" s="268"/>
    </row>
    <row r="80" spans="1:35" s="238" customFormat="1">
      <c r="A80" s="7"/>
      <c r="B80" s="7"/>
      <c r="C80" s="7" t="s">
        <v>235</v>
      </c>
      <c r="D80" s="587">
        <v>75</v>
      </c>
      <c r="E80" s="7"/>
      <c r="F80" s="7"/>
      <c r="G80" s="7"/>
      <c r="H80" s="7"/>
      <c r="I80" s="268"/>
      <c r="J80" s="268"/>
      <c r="K80" s="583"/>
      <c r="L80" s="583"/>
      <c r="M80" s="584"/>
      <c r="N80" s="584"/>
      <c r="O80" s="1"/>
      <c r="P80"/>
      <c r="Q80" s="7"/>
      <c r="R80" s="7"/>
      <c r="S80" s="7" t="s">
        <v>235</v>
      </c>
      <c r="T80" s="587">
        <v>75</v>
      </c>
      <c r="U80" s="7"/>
      <c r="V80" s="7"/>
      <c r="W80" s="7"/>
      <c r="X80" s="268"/>
      <c r="Y80" s="268"/>
      <c r="Z80" s="268"/>
      <c r="AA80" s="268"/>
      <c r="AB80" s="268"/>
      <c r="AC80" s="583"/>
      <c r="AD80" s="583"/>
      <c r="AE80" s="583"/>
      <c r="AF80" s="1"/>
      <c r="AG80" s="268"/>
      <c r="AH80" s="584"/>
      <c r="AI80" s="583"/>
    </row>
    <row r="81" spans="1:35" s="238" customFormat="1">
      <c r="A81" s="7"/>
      <c r="B81" s="7"/>
      <c r="C81" s="7" t="s">
        <v>236</v>
      </c>
      <c r="D81" s="587">
        <v>76</v>
      </c>
      <c r="E81" s="7"/>
      <c r="F81" s="7"/>
      <c r="G81" s="7"/>
      <c r="H81" s="7"/>
      <c r="I81" s="268"/>
      <c r="J81" s="268"/>
      <c r="K81" s="583"/>
      <c r="L81" s="583"/>
      <c r="M81" s="584"/>
      <c r="N81" s="584"/>
      <c r="O81" s="1"/>
      <c r="P81"/>
      <c r="Q81" s="7"/>
      <c r="R81" s="7"/>
      <c r="S81" s="7" t="s">
        <v>236</v>
      </c>
      <c r="T81" s="587">
        <v>76</v>
      </c>
      <c r="U81" s="7"/>
      <c r="V81" s="7"/>
      <c r="W81" s="7"/>
      <c r="X81" s="268"/>
      <c r="Y81" s="268"/>
      <c r="Z81" s="268"/>
      <c r="AA81" s="268"/>
      <c r="AB81" s="268"/>
      <c r="AC81" s="583"/>
      <c r="AD81" s="583"/>
      <c r="AE81" s="583"/>
      <c r="AF81" s="1"/>
      <c r="AG81" s="268"/>
      <c r="AH81" s="584"/>
      <c r="AI81" s="583"/>
    </row>
    <row r="82" spans="1:35" s="238" customFormat="1">
      <c r="A82" s="7"/>
      <c r="B82" s="7"/>
      <c r="C82" s="7" t="s">
        <v>237</v>
      </c>
      <c r="D82" s="587">
        <v>77</v>
      </c>
      <c r="E82" s="7"/>
      <c r="F82" s="7"/>
      <c r="G82" s="7"/>
      <c r="H82" s="7"/>
      <c r="I82" s="268"/>
      <c r="J82" s="268"/>
      <c r="K82" s="583"/>
      <c r="L82" s="583"/>
      <c r="M82" s="584"/>
      <c r="N82" s="584"/>
      <c r="O82" s="1"/>
      <c r="P82"/>
      <c r="Q82" s="7"/>
      <c r="R82" s="7"/>
      <c r="S82" s="7" t="s">
        <v>237</v>
      </c>
      <c r="T82" s="587">
        <v>77</v>
      </c>
      <c r="U82" s="7"/>
      <c r="V82" s="7"/>
      <c r="W82" s="7"/>
      <c r="X82" s="268"/>
      <c r="Y82" s="268"/>
      <c r="Z82" s="268"/>
      <c r="AA82" s="268"/>
      <c r="AB82" s="268"/>
      <c r="AC82" s="583"/>
      <c r="AD82" s="583"/>
      <c r="AE82" s="583"/>
      <c r="AF82" s="1"/>
      <c r="AG82" s="268"/>
      <c r="AH82" s="584"/>
      <c r="AI82" s="583"/>
    </row>
    <row r="83" spans="1:35" s="238" customFormat="1">
      <c r="A83" s="7"/>
      <c r="B83" s="7"/>
      <c r="C83" s="7" t="s">
        <v>238</v>
      </c>
      <c r="D83" s="587">
        <v>78</v>
      </c>
      <c r="E83" s="7"/>
      <c r="F83" s="7"/>
      <c r="G83" s="7"/>
      <c r="H83" s="7"/>
      <c r="I83" s="268"/>
      <c r="J83" s="268"/>
      <c r="K83" s="7"/>
      <c r="L83" s="7"/>
      <c r="M83" s="584"/>
      <c r="N83" s="584"/>
      <c r="O83" s="1"/>
      <c r="P83"/>
      <c r="Q83" s="7"/>
      <c r="R83" s="7"/>
      <c r="S83" s="7" t="s">
        <v>238</v>
      </c>
      <c r="T83" s="587">
        <v>78</v>
      </c>
      <c r="U83" s="7"/>
      <c r="V83" s="7"/>
      <c r="W83" s="7"/>
      <c r="X83" s="268"/>
      <c r="Y83" s="268"/>
      <c r="Z83" s="268"/>
      <c r="AA83" s="268"/>
      <c r="AB83" s="268"/>
      <c r="AC83" s="7"/>
      <c r="AD83" s="7"/>
      <c r="AE83" s="7"/>
      <c r="AF83" s="1"/>
      <c r="AG83" s="268"/>
      <c r="AH83" s="584"/>
      <c r="AI83" s="7"/>
    </row>
    <row r="84" spans="1:35" s="238" customFormat="1">
      <c r="A84" s="7"/>
      <c r="B84" s="7"/>
      <c r="C84" s="7" t="s">
        <v>239</v>
      </c>
      <c r="D84" s="587">
        <v>79</v>
      </c>
      <c r="E84" s="7"/>
      <c r="F84" s="7"/>
      <c r="G84" s="7"/>
      <c r="H84" s="7"/>
      <c r="I84" s="268"/>
      <c r="J84" s="268"/>
      <c r="K84" s="7"/>
      <c r="L84" s="7"/>
      <c r="M84" s="584"/>
      <c r="N84" s="584"/>
      <c r="O84" s="1"/>
      <c r="P84"/>
      <c r="Q84" s="7"/>
      <c r="R84" s="7"/>
      <c r="S84" s="7" t="s">
        <v>239</v>
      </c>
      <c r="T84" s="587">
        <v>79</v>
      </c>
      <c r="U84" s="7"/>
      <c r="V84" s="7"/>
      <c r="W84" s="7"/>
      <c r="X84" s="268"/>
      <c r="Y84" s="268"/>
      <c r="Z84" s="268"/>
      <c r="AA84" s="268"/>
      <c r="AB84" s="268"/>
      <c r="AC84" s="7"/>
      <c r="AD84" s="7"/>
      <c r="AE84" s="7"/>
      <c r="AF84" s="1"/>
      <c r="AG84" s="268"/>
      <c r="AH84" s="584"/>
      <c r="AI84" s="7"/>
    </row>
    <row r="85" spans="1:35" s="238" customFormat="1">
      <c r="A85" s="7"/>
      <c r="B85" s="7"/>
      <c r="C85" s="7" t="s">
        <v>240</v>
      </c>
      <c r="D85" s="587">
        <v>80</v>
      </c>
      <c r="E85" s="7"/>
      <c r="F85" s="7"/>
      <c r="G85" s="7"/>
      <c r="H85" s="7"/>
      <c r="I85" s="268"/>
      <c r="J85" s="268"/>
      <c r="K85" s="7"/>
      <c r="L85" s="7"/>
      <c r="M85" s="584"/>
      <c r="N85" s="584"/>
      <c r="O85" s="1"/>
      <c r="P85"/>
      <c r="Q85" s="7"/>
      <c r="R85" s="7"/>
      <c r="S85" s="7" t="s">
        <v>240</v>
      </c>
      <c r="T85" s="587">
        <v>80</v>
      </c>
      <c r="U85" s="7"/>
      <c r="V85" s="7"/>
      <c r="W85" s="7"/>
      <c r="X85" s="268"/>
      <c r="Y85" s="268"/>
      <c r="Z85" s="268"/>
      <c r="AA85" s="268"/>
      <c r="AB85" s="268"/>
      <c r="AC85" s="7"/>
      <c r="AD85" s="7"/>
      <c r="AE85" s="7"/>
      <c r="AF85" s="1"/>
      <c r="AG85" s="268"/>
      <c r="AH85" s="584"/>
      <c r="AI85" s="7"/>
    </row>
    <row r="86" spans="1:35" s="238" customFormat="1">
      <c r="A86" s="7"/>
      <c r="B86" s="7"/>
      <c r="C86" s="8" t="s">
        <v>241</v>
      </c>
      <c r="D86" s="9">
        <v>81</v>
      </c>
      <c r="E86" s="8"/>
      <c r="F86" s="8"/>
      <c r="G86" s="8"/>
      <c r="H86" s="8"/>
      <c r="I86" s="15"/>
      <c r="J86" s="15"/>
      <c r="K86" s="8"/>
      <c r="L86" s="8"/>
      <c r="M86" s="64"/>
      <c r="N86" s="64"/>
      <c r="O86" s="8"/>
      <c r="P86"/>
      <c r="Q86" s="7"/>
      <c r="R86" s="7"/>
      <c r="S86" s="8" t="s">
        <v>241</v>
      </c>
      <c r="T86" s="9">
        <v>81</v>
      </c>
      <c r="U86" s="8"/>
      <c r="V86" s="8"/>
      <c r="W86" s="8"/>
      <c r="X86" s="15"/>
      <c r="Y86" s="15"/>
      <c r="Z86" s="15"/>
      <c r="AA86" s="15"/>
      <c r="AB86" s="15"/>
      <c r="AC86" s="8"/>
      <c r="AD86" s="8"/>
      <c r="AE86" s="8"/>
      <c r="AF86" s="8"/>
      <c r="AG86" s="15"/>
      <c r="AH86" s="64"/>
      <c r="AI86" s="8"/>
    </row>
    <row r="87" spans="1:35" s="238" customFormat="1">
      <c r="A87" s="7"/>
      <c r="B87" s="7"/>
      <c r="C87" s="8" t="s">
        <v>242</v>
      </c>
      <c r="D87" s="9">
        <v>82</v>
      </c>
      <c r="E87" s="8"/>
      <c r="F87" s="8"/>
      <c r="G87" s="8"/>
      <c r="H87" s="8"/>
      <c r="I87" s="15"/>
      <c r="J87" s="15"/>
      <c r="K87" s="8"/>
      <c r="L87" s="8"/>
      <c r="M87" s="64"/>
      <c r="N87" s="64"/>
      <c r="O87" s="8"/>
      <c r="P87"/>
      <c r="Q87" s="7"/>
      <c r="R87" s="7"/>
      <c r="S87" s="8" t="s">
        <v>242</v>
      </c>
      <c r="T87" s="9">
        <v>82</v>
      </c>
      <c r="U87" s="8"/>
      <c r="V87" s="8"/>
      <c r="W87" s="8"/>
      <c r="X87" s="15"/>
      <c r="Y87" s="15"/>
      <c r="Z87" s="15"/>
      <c r="AA87" s="15"/>
      <c r="AB87" s="15"/>
      <c r="AC87" s="8"/>
      <c r="AD87" s="8"/>
      <c r="AE87" s="8"/>
      <c r="AF87" s="8"/>
      <c r="AG87" s="15"/>
      <c r="AH87" s="64"/>
      <c r="AI87" s="8"/>
    </row>
    <row r="88" spans="1:35" s="238" customFormat="1">
      <c r="A88" s="7"/>
      <c r="B88" s="7"/>
      <c r="C88" s="8" t="s">
        <v>243</v>
      </c>
      <c r="D88" s="9">
        <v>83</v>
      </c>
      <c r="E88" s="8"/>
      <c r="F88" s="8"/>
      <c r="G88" s="8"/>
      <c r="H88" s="8"/>
      <c r="I88" s="15"/>
      <c r="J88" s="15"/>
      <c r="K88" s="8"/>
      <c r="L88" s="8"/>
      <c r="M88" s="64"/>
      <c r="N88" s="64"/>
      <c r="O88" s="8"/>
      <c r="P88"/>
      <c r="Q88" s="7"/>
      <c r="R88" s="7"/>
      <c r="S88" s="8" t="s">
        <v>243</v>
      </c>
      <c r="T88" s="9">
        <v>83</v>
      </c>
      <c r="U88" s="8"/>
      <c r="V88" s="8"/>
      <c r="W88" s="8"/>
      <c r="X88" s="15"/>
      <c r="Y88" s="15"/>
      <c r="Z88" s="15"/>
      <c r="AA88" s="15"/>
      <c r="AB88" s="15"/>
      <c r="AC88" s="8"/>
      <c r="AD88" s="8"/>
      <c r="AE88" s="8"/>
      <c r="AF88" s="8"/>
      <c r="AG88" s="15"/>
      <c r="AH88" s="64"/>
      <c r="AI88" s="8"/>
    </row>
    <row r="89" spans="1:35" s="238" customFormat="1">
      <c r="A89" s="7"/>
      <c r="B89" s="7"/>
      <c r="C89" s="8" t="s">
        <v>244</v>
      </c>
      <c r="D89" s="9">
        <v>84</v>
      </c>
      <c r="E89" s="8"/>
      <c r="F89" s="8"/>
      <c r="G89" s="8"/>
      <c r="H89" s="8"/>
      <c r="I89" s="15"/>
      <c r="J89" s="15"/>
      <c r="K89" s="8"/>
      <c r="L89" s="8"/>
      <c r="M89" s="64"/>
      <c r="N89" s="64"/>
      <c r="O89" s="8"/>
      <c r="P89"/>
      <c r="Q89" s="7"/>
      <c r="R89" s="7"/>
      <c r="S89" s="8" t="s">
        <v>244</v>
      </c>
      <c r="T89" s="9">
        <v>84</v>
      </c>
      <c r="U89" s="8"/>
      <c r="V89" s="8"/>
      <c r="W89" s="8"/>
      <c r="X89" s="15"/>
      <c r="Y89" s="15"/>
      <c r="Z89" s="15"/>
      <c r="AA89" s="15"/>
      <c r="AB89" s="15"/>
      <c r="AC89" s="8"/>
      <c r="AD89" s="8"/>
      <c r="AE89" s="8"/>
      <c r="AF89" s="8"/>
      <c r="AG89" s="15"/>
      <c r="AH89" s="64"/>
      <c r="AI89" s="8"/>
    </row>
    <row r="90" spans="1:35" s="238" customFormat="1">
      <c r="A90" s="7"/>
      <c r="B90" s="7"/>
      <c r="C90" s="8" t="s">
        <v>245</v>
      </c>
      <c r="D90" s="9">
        <v>85</v>
      </c>
      <c r="E90" s="8"/>
      <c r="F90" s="8"/>
      <c r="G90" s="8"/>
      <c r="H90" s="8"/>
      <c r="I90" s="15"/>
      <c r="J90" s="15"/>
      <c r="K90" s="8"/>
      <c r="L90" s="8"/>
      <c r="M90" s="64"/>
      <c r="N90" s="64"/>
      <c r="O90" s="8"/>
      <c r="P90"/>
      <c r="Q90" s="7"/>
      <c r="R90" s="7"/>
      <c r="S90" s="8" t="s">
        <v>245</v>
      </c>
      <c r="T90" s="9">
        <v>85</v>
      </c>
      <c r="U90" s="8"/>
      <c r="V90" s="8"/>
      <c r="W90" s="8"/>
      <c r="X90" s="15"/>
      <c r="Y90" s="15"/>
      <c r="Z90" s="15"/>
      <c r="AA90" s="15"/>
      <c r="AB90" s="15"/>
      <c r="AC90" s="8"/>
      <c r="AD90" s="8"/>
      <c r="AE90" s="8"/>
      <c r="AF90" s="8"/>
      <c r="AG90" s="15"/>
      <c r="AH90" s="64"/>
      <c r="AI90" s="8"/>
    </row>
    <row r="91" spans="1:35" s="238" customFormat="1">
      <c r="A91" s="7"/>
      <c r="B91" s="7"/>
      <c r="C91" s="8" t="s">
        <v>246</v>
      </c>
      <c r="D91" s="9">
        <v>86</v>
      </c>
      <c r="E91" s="8"/>
      <c r="F91" s="8"/>
      <c r="G91" s="8"/>
      <c r="H91" s="8"/>
      <c r="I91" s="15"/>
      <c r="J91" s="15"/>
      <c r="K91" s="8"/>
      <c r="L91" s="8"/>
      <c r="M91" s="64"/>
      <c r="N91" s="64"/>
      <c r="O91" s="8"/>
      <c r="P91"/>
      <c r="Q91" s="7"/>
      <c r="R91" s="7"/>
      <c r="S91" s="8" t="s">
        <v>246</v>
      </c>
      <c r="T91" s="9">
        <v>86</v>
      </c>
      <c r="U91" s="8"/>
      <c r="V91" s="8"/>
      <c r="W91" s="8"/>
      <c r="X91" s="15"/>
      <c r="Y91" s="15"/>
      <c r="Z91" s="15"/>
      <c r="AA91" s="15"/>
      <c r="AB91" s="15"/>
      <c r="AC91" s="8"/>
      <c r="AD91" s="8"/>
      <c r="AE91" s="8"/>
      <c r="AF91" s="8"/>
      <c r="AG91" s="15"/>
      <c r="AH91" s="64"/>
      <c r="AI91" s="8"/>
    </row>
    <row r="92" spans="1:35" s="238" customFormat="1">
      <c r="A92" s="7"/>
      <c r="B92" s="7"/>
      <c r="C92" s="73" t="s">
        <v>247</v>
      </c>
      <c r="D92" s="71">
        <v>87</v>
      </c>
      <c r="E92" s="73"/>
      <c r="F92" s="73"/>
      <c r="G92" s="73"/>
      <c r="H92" s="8"/>
      <c r="I92" s="15"/>
      <c r="J92" s="15"/>
      <c r="K92" s="73"/>
      <c r="L92" s="73"/>
      <c r="M92" s="598"/>
      <c r="N92" s="598"/>
      <c r="O92" s="8"/>
      <c r="P92"/>
      <c r="Q92" s="7"/>
      <c r="R92" s="7"/>
      <c r="S92" s="73" t="s">
        <v>247</v>
      </c>
      <c r="T92" s="71">
        <v>87</v>
      </c>
      <c r="U92" s="73"/>
      <c r="V92" s="73"/>
      <c r="W92" s="8"/>
      <c r="X92" s="15"/>
      <c r="Y92" s="15"/>
      <c r="Z92" s="15"/>
      <c r="AA92" s="15"/>
      <c r="AB92" s="15"/>
      <c r="AC92" s="73"/>
      <c r="AD92" s="73"/>
      <c r="AE92" s="73"/>
      <c r="AF92" s="8"/>
      <c r="AG92" s="15"/>
      <c r="AH92" s="64"/>
      <c r="AI92" s="73"/>
    </row>
    <row r="93" spans="1:35" s="238" customFormat="1">
      <c r="A93" s="7"/>
      <c r="B93" s="7"/>
      <c r="C93" s="8" t="s">
        <v>248</v>
      </c>
      <c r="D93" s="9">
        <v>88</v>
      </c>
      <c r="E93" s="8"/>
      <c r="F93" s="8"/>
      <c r="G93" s="8"/>
      <c r="H93" s="8"/>
      <c r="I93" s="15"/>
      <c r="J93" s="15"/>
      <c r="K93" s="8"/>
      <c r="L93" s="8"/>
      <c r="M93" s="64"/>
      <c r="N93" s="64"/>
      <c r="O93" s="8"/>
      <c r="P93"/>
      <c r="Q93" s="7"/>
      <c r="R93" s="7"/>
      <c r="S93" s="8" t="s">
        <v>248</v>
      </c>
      <c r="T93" s="9">
        <v>88</v>
      </c>
      <c r="U93" s="8"/>
      <c r="V93" s="8"/>
      <c r="W93" s="8"/>
      <c r="X93" s="15"/>
      <c r="Y93" s="15"/>
      <c r="Z93" s="15"/>
      <c r="AA93" s="15"/>
      <c r="AB93" s="15"/>
      <c r="AC93" s="8"/>
      <c r="AD93" s="8"/>
      <c r="AE93" s="8"/>
      <c r="AF93" s="8"/>
      <c r="AG93" s="15"/>
      <c r="AH93" s="64"/>
      <c r="AI93" s="8"/>
    </row>
    <row r="94" spans="1:35" s="238" customFormat="1">
      <c r="A94" s="7"/>
      <c r="B94" s="7"/>
      <c r="C94" s="588" t="s">
        <v>249</v>
      </c>
      <c r="D94" s="589">
        <v>89</v>
      </c>
      <c r="E94" s="588"/>
      <c r="F94" s="588"/>
      <c r="G94" s="588"/>
      <c r="H94" s="7"/>
      <c r="I94" s="268"/>
      <c r="J94" s="268"/>
      <c r="K94" s="588"/>
      <c r="L94" s="588"/>
      <c r="M94" s="599"/>
      <c r="N94" s="599"/>
      <c r="O94" s="1"/>
      <c r="P94"/>
      <c r="Q94" s="7"/>
      <c r="R94" s="7"/>
      <c r="S94" s="588" t="s">
        <v>249</v>
      </c>
      <c r="T94" s="589">
        <v>89</v>
      </c>
      <c r="U94" s="588"/>
      <c r="V94" s="588"/>
      <c r="W94" s="7"/>
      <c r="X94" s="268"/>
      <c r="Y94" s="268"/>
      <c r="Z94" s="268"/>
      <c r="AA94" s="268"/>
      <c r="AB94" s="268"/>
      <c r="AC94" s="588"/>
      <c r="AD94" s="588"/>
      <c r="AE94" s="588"/>
      <c r="AF94" s="1"/>
      <c r="AG94" s="268"/>
      <c r="AH94" s="584"/>
      <c r="AI94" s="588"/>
    </row>
    <row r="95" spans="1:35" s="238" customFormat="1">
      <c r="A95" s="7"/>
      <c r="B95" s="7"/>
      <c r="C95" s="7" t="s">
        <v>250</v>
      </c>
      <c r="D95" s="587">
        <v>90</v>
      </c>
      <c r="E95" s="7"/>
      <c r="F95" s="7"/>
      <c r="G95" s="7"/>
      <c r="H95" s="7"/>
      <c r="I95" s="268"/>
      <c r="J95" s="268"/>
      <c r="K95" s="7"/>
      <c r="L95" s="7"/>
      <c r="M95" s="584"/>
      <c r="N95" s="584"/>
      <c r="O95" s="1"/>
      <c r="P95"/>
      <c r="Q95" s="7"/>
      <c r="R95" s="7"/>
      <c r="S95" s="7" t="s">
        <v>250</v>
      </c>
      <c r="T95" s="587">
        <v>90</v>
      </c>
      <c r="U95" s="7"/>
      <c r="V95" s="7"/>
      <c r="W95" s="7"/>
      <c r="X95" s="268"/>
      <c r="Y95" s="268"/>
      <c r="Z95" s="268"/>
      <c r="AA95" s="268"/>
      <c r="AB95" s="268"/>
      <c r="AC95" s="7"/>
      <c r="AD95" s="7"/>
      <c r="AE95" s="7"/>
      <c r="AF95" s="1"/>
      <c r="AG95" s="268"/>
      <c r="AH95" s="584"/>
      <c r="AI95" s="7"/>
    </row>
    <row r="96" spans="1:35" s="238" customFormat="1">
      <c r="A96" s="7"/>
      <c r="B96" s="7"/>
      <c r="C96" s="7" t="s">
        <v>251</v>
      </c>
      <c r="D96" s="587">
        <v>91</v>
      </c>
      <c r="E96" s="7"/>
      <c r="F96" s="7"/>
      <c r="G96" s="7"/>
      <c r="H96" s="7"/>
      <c r="I96" s="268"/>
      <c r="J96" s="268"/>
      <c r="K96" s="7"/>
      <c r="L96" s="7"/>
      <c r="M96" s="584"/>
      <c r="N96" s="584"/>
      <c r="O96" s="1"/>
      <c r="P96"/>
      <c r="Q96" s="7"/>
      <c r="R96" s="7"/>
      <c r="S96" s="7" t="s">
        <v>251</v>
      </c>
      <c r="T96" s="587">
        <v>91</v>
      </c>
      <c r="U96" s="7"/>
      <c r="V96" s="7"/>
      <c r="W96" s="7"/>
      <c r="X96" s="268"/>
      <c r="Y96" s="268"/>
      <c r="Z96" s="268"/>
      <c r="AA96" s="268"/>
      <c r="AB96" s="268"/>
      <c r="AC96" s="7"/>
      <c r="AD96" s="7"/>
      <c r="AE96" s="7"/>
      <c r="AF96" s="1"/>
      <c r="AG96" s="268"/>
      <c r="AH96" s="584"/>
      <c r="AI96" s="7"/>
    </row>
    <row r="97" spans="1:35" s="238" customFormat="1">
      <c r="A97" s="7"/>
      <c r="B97" s="7"/>
      <c r="C97" s="7" t="s">
        <v>252</v>
      </c>
      <c r="D97" s="587">
        <v>92</v>
      </c>
      <c r="E97" s="7"/>
      <c r="F97" s="7"/>
      <c r="G97" s="7"/>
      <c r="H97" s="7"/>
      <c r="I97" s="268"/>
      <c r="J97" s="268"/>
      <c r="K97" s="7"/>
      <c r="L97" s="7"/>
      <c r="M97" s="584"/>
      <c r="N97" s="584"/>
      <c r="O97" s="1"/>
      <c r="P97"/>
      <c r="Q97" s="7"/>
      <c r="R97" s="7"/>
      <c r="S97" s="7" t="s">
        <v>252</v>
      </c>
      <c r="T97" s="587">
        <v>92</v>
      </c>
      <c r="U97" s="7"/>
      <c r="V97" s="7"/>
      <c r="W97" s="7"/>
      <c r="X97" s="268"/>
      <c r="Y97" s="268"/>
      <c r="Z97" s="268"/>
      <c r="AA97" s="268"/>
      <c r="AB97" s="268"/>
      <c r="AC97" s="7"/>
      <c r="AD97" s="7"/>
      <c r="AE97" s="7"/>
      <c r="AF97" s="1"/>
      <c r="AG97" s="268"/>
      <c r="AH97" s="584"/>
      <c r="AI97" s="7"/>
    </row>
    <row r="98" spans="1:35" s="238" customFormat="1">
      <c r="A98" s="7"/>
      <c r="B98" s="7"/>
      <c r="C98" s="7" t="s">
        <v>253</v>
      </c>
      <c r="D98" s="587">
        <v>93</v>
      </c>
      <c r="E98" s="7"/>
      <c r="F98" s="7"/>
      <c r="G98" s="7"/>
      <c r="H98" s="7"/>
      <c r="I98" s="268"/>
      <c r="J98" s="268"/>
      <c r="K98" s="7"/>
      <c r="L98" s="7"/>
      <c r="M98" s="584"/>
      <c r="N98" s="584"/>
      <c r="O98" s="1"/>
      <c r="P98"/>
      <c r="Q98" s="7"/>
      <c r="R98" s="7"/>
      <c r="S98" s="7" t="s">
        <v>253</v>
      </c>
      <c r="T98" s="587">
        <v>93</v>
      </c>
      <c r="U98" s="7"/>
      <c r="V98" s="7"/>
      <c r="W98" s="7"/>
      <c r="X98" s="268"/>
      <c r="Y98" s="268"/>
      <c r="Z98" s="268"/>
      <c r="AA98" s="268"/>
      <c r="AB98" s="268"/>
      <c r="AC98" s="7"/>
      <c r="AD98" s="7"/>
      <c r="AE98" s="7"/>
      <c r="AF98" s="1"/>
      <c r="AG98" s="268"/>
      <c r="AH98" s="584"/>
      <c r="AI98" s="7"/>
    </row>
    <row r="99" spans="1:35">
      <c r="A99" s="7"/>
      <c r="B99" s="7"/>
      <c r="C99" s="7" t="s">
        <v>254</v>
      </c>
      <c r="D99" s="587">
        <v>94</v>
      </c>
      <c r="E99" s="7"/>
      <c r="F99" s="7"/>
      <c r="G99" s="7"/>
      <c r="H99" s="7"/>
      <c r="I99" s="268"/>
      <c r="J99" s="268"/>
      <c r="K99" s="7"/>
      <c r="L99" s="7"/>
      <c r="M99" s="584"/>
      <c r="N99" s="584"/>
      <c r="O99" s="1"/>
      <c r="Q99" s="7"/>
      <c r="R99" s="7"/>
      <c r="S99" s="7" t="s">
        <v>254</v>
      </c>
      <c r="T99" s="587">
        <v>94</v>
      </c>
      <c r="U99" s="7"/>
      <c r="V99" s="7"/>
      <c r="W99" s="7"/>
      <c r="X99" s="268"/>
      <c r="Y99" s="268"/>
      <c r="Z99" s="268"/>
      <c r="AA99" s="268"/>
      <c r="AB99" s="268"/>
      <c r="AC99" s="7"/>
      <c r="AD99" s="7"/>
      <c r="AE99" s="7"/>
      <c r="AF99" s="1"/>
      <c r="AG99" s="268"/>
      <c r="AH99" s="584"/>
      <c r="AI99" s="7"/>
    </row>
    <row r="100" spans="1:35">
      <c r="A100" s="7"/>
      <c r="B100" s="7"/>
      <c r="C100" s="7" t="s">
        <v>255</v>
      </c>
      <c r="D100" s="587">
        <v>95</v>
      </c>
      <c r="E100" s="7"/>
      <c r="F100" s="7"/>
      <c r="G100" s="7"/>
      <c r="H100" s="7"/>
      <c r="I100" s="268"/>
      <c r="J100" s="268"/>
      <c r="K100" s="7"/>
      <c r="L100" s="7"/>
      <c r="M100" s="584"/>
      <c r="N100" s="584"/>
      <c r="O100" s="1"/>
      <c r="Q100" s="7"/>
      <c r="R100" s="7"/>
      <c r="S100" s="7" t="s">
        <v>255</v>
      </c>
      <c r="T100" s="587">
        <v>95</v>
      </c>
      <c r="U100" s="7"/>
      <c r="V100" s="7"/>
      <c r="W100" s="7"/>
      <c r="X100" s="268"/>
      <c r="Y100" s="268"/>
      <c r="Z100" s="268"/>
      <c r="AA100" s="268"/>
      <c r="AB100" s="268"/>
      <c r="AC100" s="7"/>
      <c r="AD100" s="7"/>
      <c r="AE100" s="7"/>
      <c r="AF100" s="1"/>
      <c r="AG100" s="268"/>
      <c r="AH100" s="584"/>
      <c r="AI100" s="7"/>
    </row>
    <row r="101" spans="1:35">
      <c r="A101" s="7"/>
      <c r="B101" s="7"/>
      <c r="C101" s="7" t="s">
        <v>256</v>
      </c>
      <c r="D101" s="587">
        <v>96</v>
      </c>
      <c r="E101" s="7"/>
      <c r="F101" s="7"/>
      <c r="G101" s="7"/>
      <c r="H101" s="7"/>
      <c r="I101" s="268"/>
      <c r="J101" s="268"/>
      <c r="K101" s="7"/>
      <c r="L101" s="7"/>
      <c r="M101" s="584"/>
      <c r="N101" s="584"/>
      <c r="O101" s="1"/>
      <c r="Q101" s="7"/>
      <c r="R101" s="7"/>
      <c r="S101" s="7" t="s">
        <v>256</v>
      </c>
      <c r="T101" s="587">
        <v>96</v>
      </c>
      <c r="U101" s="7"/>
      <c r="V101" s="7"/>
      <c r="W101" s="7"/>
      <c r="X101" s="268"/>
      <c r="Y101" s="268"/>
      <c r="Z101" s="268"/>
      <c r="AA101" s="268"/>
      <c r="AB101" s="268"/>
      <c r="AC101" s="7"/>
      <c r="AD101" s="7"/>
      <c r="AE101" s="7"/>
      <c r="AF101" s="1"/>
      <c r="AG101" s="268"/>
      <c r="AH101" s="584"/>
      <c r="AI101" s="7"/>
    </row>
  </sheetData>
  <customSheetViews>
    <customSheetView guid="{A4BD9991-0908-4EDC-898A-8A5DE615ED00}" scale="85" topLeftCell="B1">
      <selection activeCell="U5" sqref="U5"/>
      <pageMargins left="0.7" right="0.7" top="0.75" bottom="0.75" header="0.3" footer="0.3"/>
    </customSheetView>
  </customSheetViews>
  <mergeCells count="11">
    <mergeCell ref="M3:M5"/>
    <mergeCell ref="Q1:AI2"/>
    <mergeCell ref="A1:O2"/>
    <mergeCell ref="O3:O5"/>
    <mergeCell ref="Q3:Q5"/>
    <mergeCell ref="R3:R5"/>
    <mergeCell ref="A3:A5"/>
    <mergeCell ref="B3:B5"/>
    <mergeCell ref="K3:K5"/>
    <mergeCell ref="L3:L5"/>
    <mergeCell ref="N3:N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1CC5-2B89-4EF2-942A-E55FA7FFC3F5}">
  <sheetPr codeName="Sheet10">
    <tabColor rgb="FFFFFFCC"/>
  </sheetPr>
  <dimension ref="A1:X7"/>
  <sheetViews>
    <sheetView zoomScale="85" zoomScaleNormal="85" workbookViewId="0">
      <selection activeCell="E17" sqref="E17"/>
    </sheetView>
  </sheetViews>
  <sheetFormatPr defaultColWidth="9.140625" defaultRowHeight="15"/>
  <cols>
    <col min="1" max="1" width="9.85546875" bestFit="1" customWidth="1"/>
    <col min="5" max="5" width="14.140625" customWidth="1"/>
    <col min="6" max="6" width="10.7109375" customWidth="1"/>
    <col min="7" max="7" width="11.28515625" customWidth="1"/>
    <col min="8" max="8" width="15.42578125" customWidth="1"/>
    <col min="11" max="11" width="17.140625" customWidth="1"/>
    <col min="12" max="12" width="14" customWidth="1"/>
    <col min="13" max="14" width="8.5703125" customWidth="1"/>
    <col min="15" max="15" width="10.42578125" customWidth="1"/>
    <col min="16" max="16" width="8.7109375" customWidth="1"/>
    <col min="17" max="17" width="9" customWidth="1"/>
    <col min="19" max="19" width="15.42578125" customWidth="1"/>
    <col min="20" max="20" width="19.85546875" customWidth="1"/>
    <col min="21" max="21" width="23.140625" customWidth="1"/>
  </cols>
  <sheetData>
    <row r="1" spans="1:24" ht="15.6" customHeight="1">
      <c r="A1" s="604" t="s">
        <v>2279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</row>
    <row r="2" spans="1:24" ht="15.6" customHeight="1">
      <c r="A2" s="579" t="s">
        <v>965</v>
      </c>
      <c r="B2" s="579" t="s">
        <v>597</v>
      </c>
      <c r="C2" s="580"/>
      <c r="D2" s="580" t="s">
        <v>193</v>
      </c>
      <c r="E2" s="580" t="s">
        <v>192</v>
      </c>
      <c r="F2" s="580" t="s">
        <v>291</v>
      </c>
      <c r="G2" s="580" t="s">
        <v>2280</v>
      </c>
      <c r="H2" s="580" t="s">
        <v>2281</v>
      </c>
      <c r="I2" s="580" t="s">
        <v>2282</v>
      </c>
      <c r="J2" s="580" t="s">
        <v>2283</v>
      </c>
      <c r="K2" s="580" t="s">
        <v>2284</v>
      </c>
      <c r="L2" s="580" t="s">
        <v>2285</v>
      </c>
      <c r="M2" s="579" t="s">
        <v>2286</v>
      </c>
      <c r="N2" s="579" t="s">
        <v>2287</v>
      </c>
      <c r="O2" s="579" t="s">
        <v>2288</v>
      </c>
      <c r="P2" s="579" t="s">
        <v>2289</v>
      </c>
      <c r="Q2" s="579" t="s">
        <v>2290</v>
      </c>
      <c r="R2" s="579" t="s">
        <v>2291</v>
      </c>
      <c r="S2" s="579" t="s">
        <v>2292</v>
      </c>
      <c r="T2" s="579" t="s">
        <v>2293</v>
      </c>
      <c r="U2" s="579" t="s">
        <v>2294</v>
      </c>
      <c r="V2" s="579" t="s">
        <v>620</v>
      </c>
      <c r="W2" s="580" t="s">
        <v>2295</v>
      </c>
      <c r="X2" s="580" t="s">
        <v>2296</v>
      </c>
    </row>
    <row r="3" spans="1:24">
      <c r="A3" s="603"/>
      <c r="B3" s="603"/>
      <c r="C3" s="285"/>
      <c r="D3" s="5"/>
      <c r="E3" s="287"/>
      <c r="F3" s="287"/>
      <c r="G3" s="287"/>
      <c r="H3" s="288"/>
      <c r="I3" s="288"/>
      <c r="J3" s="288"/>
      <c r="K3" s="288"/>
      <c r="L3" s="289"/>
      <c r="M3" s="606"/>
      <c r="N3" s="606"/>
      <c r="O3" s="606"/>
      <c r="P3" s="606"/>
      <c r="Q3" s="606"/>
      <c r="R3" s="606"/>
      <c r="S3" s="606"/>
      <c r="T3" s="606"/>
      <c r="U3" s="606"/>
      <c r="V3" s="603"/>
      <c r="W3" s="580" t="s">
        <v>2297</v>
      </c>
      <c r="X3" s="580" t="s">
        <v>2298</v>
      </c>
    </row>
    <row r="4" spans="1:24">
      <c r="A4" s="607"/>
      <c r="B4" s="1"/>
      <c r="C4" s="8"/>
      <c r="D4" s="1"/>
      <c r="E4" s="608"/>
      <c r="F4" s="609"/>
      <c r="G4" s="609"/>
      <c r="H4" s="610"/>
      <c r="I4" s="610"/>
      <c r="J4" s="611"/>
      <c r="K4" s="612"/>
      <c r="L4" s="613"/>
      <c r="M4" s="610"/>
      <c r="N4" s="610"/>
      <c r="O4" s="613"/>
      <c r="P4" s="613"/>
      <c r="Q4" s="613"/>
      <c r="R4" s="611"/>
      <c r="S4" s="611"/>
      <c r="T4" s="613"/>
      <c r="U4" s="613"/>
      <c r="V4" s="611"/>
      <c r="W4" s="613"/>
      <c r="X4" s="1"/>
    </row>
    <row r="5" spans="1:24">
      <c r="A5" s="607"/>
      <c r="B5" s="1"/>
      <c r="C5" s="8"/>
      <c r="D5" s="1"/>
      <c r="E5" s="608"/>
      <c r="F5" s="609"/>
      <c r="G5" s="609"/>
      <c r="H5" s="610"/>
      <c r="I5" s="610"/>
      <c r="J5" s="611"/>
      <c r="K5" s="612"/>
      <c r="L5" s="613"/>
      <c r="M5" s="610"/>
      <c r="N5" s="610"/>
      <c r="O5" s="613"/>
      <c r="P5" s="613"/>
      <c r="Q5" s="613"/>
      <c r="R5" s="611"/>
      <c r="S5" s="611"/>
      <c r="T5" s="613"/>
      <c r="U5" s="613"/>
      <c r="V5" s="611"/>
      <c r="W5" s="613"/>
      <c r="X5" s="1"/>
    </row>
    <row r="6" spans="1:24">
      <c r="A6" s="607"/>
      <c r="B6" s="1"/>
      <c r="C6" s="8"/>
      <c r="D6" s="1"/>
      <c r="E6" s="608"/>
      <c r="F6" s="609"/>
      <c r="G6" s="609"/>
      <c r="H6" s="610"/>
      <c r="I6" s="610"/>
      <c r="J6" s="611"/>
      <c r="K6" s="612"/>
      <c r="L6" s="613"/>
      <c r="M6" s="610"/>
      <c r="N6" s="610"/>
      <c r="O6" s="613"/>
      <c r="P6" s="613"/>
      <c r="Q6" s="613"/>
      <c r="R6" s="611"/>
      <c r="S6" s="611"/>
      <c r="T6" s="613"/>
      <c r="U6" s="613"/>
      <c r="V6" s="611"/>
      <c r="W6" s="613"/>
      <c r="X6" s="1"/>
    </row>
    <row r="7" spans="1:24">
      <c r="A7" s="607"/>
      <c r="B7" s="1"/>
      <c r="C7" s="8"/>
      <c r="D7" s="1"/>
      <c r="E7" s="608"/>
      <c r="F7" s="609"/>
      <c r="G7" s="609"/>
      <c r="H7" s="610"/>
      <c r="I7" s="610"/>
      <c r="J7" s="611"/>
      <c r="K7" s="612"/>
      <c r="L7" s="613"/>
      <c r="M7" s="610"/>
      <c r="N7" s="610"/>
      <c r="O7" s="613"/>
      <c r="P7" s="613"/>
      <c r="Q7" s="613"/>
      <c r="R7" s="611"/>
      <c r="S7" s="611"/>
      <c r="T7" s="613"/>
      <c r="U7" s="613"/>
      <c r="V7" s="611"/>
      <c r="W7" s="613"/>
      <c r="X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06CB-54EB-4A59-92AC-DBC319652A70}">
  <sheetPr codeName="Sheet101">
    <tabColor rgb="FFFFFF00"/>
  </sheetPr>
  <dimension ref="A1:AJ99"/>
  <sheetViews>
    <sheetView zoomScaleNormal="100" workbookViewId="0">
      <selection activeCell="P8" sqref="P8:P9"/>
    </sheetView>
  </sheetViews>
  <sheetFormatPr defaultRowHeight="15"/>
  <cols>
    <col min="6" max="6" width="10.85546875" customWidth="1"/>
    <col min="8" max="8" width="10.42578125" customWidth="1"/>
    <col min="12" max="12" width="10.85546875" customWidth="1"/>
    <col min="13" max="13" width="10.42578125" customWidth="1"/>
    <col min="14" max="14" width="9" customWidth="1"/>
  </cols>
  <sheetData>
    <row r="1" spans="1:16" ht="15.6" customHeight="1">
      <c r="A1" s="759" t="s">
        <v>1141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</row>
    <row r="2" spans="1:16" ht="15.6" customHeight="1">
      <c r="A2" s="756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</row>
    <row r="3" spans="1:16" ht="90">
      <c r="A3" s="580" t="s">
        <v>574</v>
      </c>
      <c r="B3" s="580" t="s">
        <v>597</v>
      </c>
      <c r="C3" s="265" t="s">
        <v>816</v>
      </c>
      <c r="D3" s="266" t="s">
        <v>193</v>
      </c>
      <c r="E3" s="580" t="s">
        <v>192</v>
      </c>
      <c r="F3" s="580" t="s">
        <v>273</v>
      </c>
      <c r="G3" s="580" t="s">
        <v>575</v>
      </c>
      <c r="H3" s="580" t="s">
        <v>577</v>
      </c>
      <c r="I3" s="580" t="s">
        <v>1132</v>
      </c>
      <c r="J3" s="580" t="s">
        <v>576</v>
      </c>
      <c r="K3" s="580" t="s">
        <v>1142</v>
      </c>
      <c r="L3" s="579" t="s">
        <v>1143</v>
      </c>
      <c r="M3" s="267" t="s">
        <v>810</v>
      </c>
      <c r="N3" s="579" t="s">
        <v>1130</v>
      </c>
      <c r="O3" s="580" t="s">
        <v>1144</v>
      </c>
      <c r="P3" s="580" t="s">
        <v>1111</v>
      </c>
    </row>
    <row r="4" spans="1:16">
      <c r="A4" s="1"/>
      <c r="B4" s="1"/>
      <c r="C4" s="8" t="s">
        <v>736</v>
      </c>
      <c r="D4" s="9">
        <v>1</v>
      </c>
      <c r="E4" s="8"/>
      <c r="F4" s="8"/>
      <c r="G4" s="8"/>
      <c r="H4" s="8"/>
      <c r="I4" s="15"/>
      <c r="J4" s="15"/>
      <c r="K4" s="15"/>
      <c r="L4" s="15"/>
      <c r="M4" s="64"/>
      <c r="N4" s="15"/>
    </row>
    <row r="5" spans="1:16">
      <c r="A5" s="1"/>
      <c r="B5" s="1"/>
      <c r="C5" s="8" t="s">
        <v>737</v>
      </c>
      <c r="D5" s="9">
        <v>2</v>
      </c>
      <c r="E5" s="8"/>
      <c r="F5" s="8"/>
      <c r="G5" s="8"/>
      <c r="H5" s="8"/>
      <c r="I5" s="15"/>
      <c r="J5" s="15"/>
      <c r="K5" s="15"/>
      <c r="L5" s="15"/>
      <c r="M5" s="64"/>
      <c r="N5" s="15"/>
    </row>
    <row r="6" spans="1:16">
      <c r="A6" s="1"/>
      <c r="B6" s="1"/>
      <c r="C6" s="8" t="s">
        <v>738</v>
      </c>
      <c r="D6" s="9">
        <v>3</v>
      </c>
      <c r="E6" s="8"/>
      <c r="F6" s="8"/>
      <c r="G6" s="8"/>
      <c r="H6" s="8"/>
      <c r="I6" s="15"/>
      <c r="J6" s="15"/>
      <c r="K6" s="14"/>
      <c r="L6" s="14"/>
      <c r="M6" s="64"/>
      <c r="N6" s="14"/>
    </row>
    <row r="7" spans="1:16">
      <c r="A7" s="1"/>
      <c r="B7" s="1"/>
      <c r="C7" s="8" t="s">
        <v>739</v>
      </c>
      <c r="D7" s="9">
        <v>4</v>
      </c>
      <c r="E7" s="8"/>
      <c r="F7" s="8"/>
      <c r="G7" s="8"/>
      <c r="H7" s="8"/>
      <c r="I7" s="15"/>
      <c r="J7" s="15"/>
      <c r="K7" s="14"/>
      <c r="L7" s="14"/>
      <c r="M7" s="64"/>
      <c r="N7" s="14"/>
    </row>
    <row r="8" spans="1:16">
      <c r="A8" s="1"/>
      <c r="B8" s="1"/>
      <c r="C8" s="8" t="s">
        <v>740</v>
      </c>
      <c r="D8" s="9">
        <v>5</v>
      </c>
      <c r="E8" s="8"/>
      <c r="F8" s="8"/>
      <c r="G8" s="8"/>
      <c r="H8" s="8"/>
      <c r="I8" s="15"/>
      <c r="J8" s="15"/>
      <c r="K8" s="14"/>
      <c r="L8" s="14"/>
      <c r="M8" s="64"/>
      <c r="N8" s="14"/>
    </row>
    <row r="9" spans="1:16">
      <c r="A9" s="1"/>
      <c r="B9" s="1"/>
      <c r="C9" s="8" t="s">
        <v>741</v>
      </c>
      <c r="D9" s="9">
        <v>6</v>
      </c>
      <c r="E9" s="8"/>
      <c r="F9" s="8"/>
      <c r="G9" s="8"/>
      <c r="H9" s="8"/>
      <c r="I9" s="15"/>
      <c r="J9" s="15"/>
      <c r="K9" s="8"/>
      <c r="L9" s="8"/>
      <c r="M9" s="64"/>
      <c r="N9" s="8"/>
    </row>
    <row r="10" spans="1:16">
      <c r="A10" s="1"/>
      <c r="B10" s="1"/>
      <c r="C10" s="8" t="s">
        <v>742</v>
      </c>
      <c r="D10" s="9">
        <v>7</v>
      </c>
      <c r="E10" s="8"/>
      <c r="F10" s="8"/>
      <c r="G10" s="8"/>
      <c r="H10" s="8"/>
      <c r="I10" s="15"/>
      <c r="J10" s="15"/>
      <c r="K10" s="8"/>
      <c r="L10" s="8"/>
      <c r="M10" s="64"/>
      <c r="N10" s="8"/>
    </row>
    <row r="11" spans="1:16">
      <c r="A11" s="1"/>
      <c r="B11" s="1"/>
      <c r="C11" s="8" t="s">
        <v>743</v>
      </c>
      <c r="D11" s="9">
        <v>8</v>
      </c>
      <c r="E11" s="8"/>
      <c r="F11" s="8"/>
      <c r="G11" s="8"/>
      <c r="H11" s="8"/>
      <c r="I11" s="15"/>
      <c r="J11" s="15"/>
      <c r="K11" s="8"/>
      <c r="L11" s="8"/>
      <c r="M11" s="64"/>
      <c r="N11" s="8"/>
    </row>
    <row r="12" spans="1:16">
      <c r="A12" s="1"/>
      <c r="B12" s="1"/>
      <c r="C12" s="1" t="s">
        <v>744</v>
      </c>
      <c r="D12" s="10">
        <v>9</v>
      </c>
      <c r="E12" s="1"/>
      <c r="F12" s="1"/>
      <c r="G12" s="1"/>
      <c r="H12" s="1"/>
      <c r="I12" s="268"/>
      <c r="J12" s="6"/>
      <c r="K12" s="1"/>
      <c r="L12" s="1"/>
      <c r="M12" s="22"/>
      <c r="N12" s="1"/>
    </row>
    <row r="13" spans="1:16">
      <c r="A13" s="1"/>
      <c r="B13" s="1"/>
      <c r="C13" s="1" t="s">
        <v>745</v>
      </c>
      <c r="D13" s="10">
        <v>10</v>
      </c>
      <c r="E13" s="1"/>
      <c r="F13" s="1"/>
      <c r="G13" s="1"/>
      <c r="H13" s="1"/>
      <c r="I13" s="268"/>
      <c r="J13" s="6"/>
      <c r="K13" s="1"/>
      <c r="L13" s="1"/>
      <c r="M13" s="22"/>
      <c r="N13" s="1"/>
    </row>
    <row r="14" spans="1:16">
      <c r="A14" s="1"/>
      <c r="B14" s="1"/>
      <c r="C14" s="1" t="s">
        <v>746</v>
      </c>
      <c r="D14" s="10">
        <v>11</v>
      </c>
      <c r="E14" s="1"/>
      <c r="F14" s="1"/>
      <c r="G14" s="1"/>
      <c r="H14" s="1"/>
      <c r="I14" s="268"/>
      <c r="J14" s="6"/>
      <c r="K14" s="1"/>
      <c r="L14" s="1"/>
      <c r="M14" s="22"/>
      <c r="N14" s="1"/>
    </row>
    <row r="15" spans="1:16">
      <c r="A15" s="1"/>
      <c r="B15" s="1"/>
      <c r="C15" s="1" t="s">
        <v>747</v>
      </c>
      <c r="D15" s="10">
        <v>12</v>
      </c>
      <c r="E15" s="1"/>
      <c r="F15" s="1"/>
      <c r="G15" s="1"/>
      <c r="H15" s="1"/>
      <c r="I15" s="268"/>
      <c r="J15" s="6"/>
      <c r="K15" s="1"/>
      <c r="L15" s="1"/>
      <c r="M15" s="22"/>
      <c r="N15" s="1"/>
    </row>
    <row r="16" spans="1:16">
      <c r="A16" s="1"/>
      <c r="B16" s="1"/>
      <c r="C16" s="1" t="s">
        <v>748</v>
      </c>
      <c r="D16" s="10">
        <v>13</v>
      </c>
      <c r="E16" s="1"/>
      <c r="F16" s="1"/>
      <c r="G16" s="1"/>
      <c r="H16" s="1"/>
      <c r="I16" s="268"/>
      <c r="J16" s="6"/>
      <c r="K16" s="1"/>
      <c r="L16" s="1"/>
      <c r="M16" s="22"/>
      <c r="N16" s="1"/>
    </row>
    <row r="17" spans="1:36">
      <c r="A17" s="1"/>
      <c r="B17" s="1"/>
      <c r="C17" s="1" t="s">
        <v>749</v>
      </c>
      <c r="D17" s="10">
        <v>14</v>
      </c>
      <c r="E17" s="1"/>
      <c r="F17" s="1"/>
      <c r="G17" s="1"/>
      <c r="H17" s="1"/>
      <c r="I17" s="268"/>
      <c r="J17" s="6"/>
      <c r="K17" s="1"/>
      <c r="L17" s="1"/>
      <c r="M17" s="22"/>
      <c r="N17" s="1"/>
    </row>
    <row r="18" spans="1:36">
      <c r="A18" s="1"/>
      <c r="B18" s="1"/>
      <c r="C18" s="17" t="s">
        <v>750</v>
      </c>
      <c r="D18" s="16">
        <v>15</v>
      </c>
      <c r="E18" s="17"/>
      <c r="F18" s="17"/>
      <c r="G18" s="17"/>
      <c r="H18" s="1"/>
      <c r="I18" s="268"/>
      <c r="J18" s="6"/>
      <c r="K18" s="17"/>
      <c r="L18" s="17"/>
      <c r="M18" s="585"/>
      <c r="N18" s="17"/>
    </row>
    <row r="19" spans="1:36">
      <c r="A19" s="1"/>
      <c r="B19" s="1"/>
      <c r="C19" s="1" t="s">
        <v>751</v>
      </c>
      <c r="D19" s="10">
        <v>16</v>
      </c>
      <c r="E19" s="1"/>
      <c r="F19" s="1"/>
      <c r="G19" s="1"/>
      <c r="H19" s="1"/>
      <c r="I19" s="268"/>
      <c r="J19" s="6"/>
      <c r="K19" s="1"/>
      <c r="L19" s="1"/>
      <c r="M19" s="22"/>
      <c r="N19" s="1"/>
    </row>
    <row r="20" spans="1:36">
      <c r="A20" s="1"/>
      <c r="B20" s="1"/>
      <c r="C20" s="19" t="s">
        <v>752</v>
      </c>
      <c r="D20" s="18">
        <v>17</v>
      </c>
      <c r="E20" s="19"/>
      <c r="F20" s="19"/>
      <c r="G20" s="19"/>
      <c r="H20" s="8"/>
      <c r="I20" s="15"/>
      <c r="J20" s="15"/>
      <c r="K20" s="19"/>
      <c r="L20" s="19"/>
      <c r="M20" s="586"/>
      <c r="N20" s="19"/>
    </row>
    <row r="21" spans="1:36">
      <c r="A21" s="1"/>
      <c r="B21" s="1"/>
      <c r="C21" s="8" t="s">
        <v>753</v>
      </c>
      <c r="D21" s="9">
        <v>18</v>
      </c>
      <c r="E21" s="8"/>
      <c r="F21" s="8"/>
      <c r="G21" s="8"/>
      <c r="H21" s="8"/>
      <c r="I21" s="15"/>
      <c r="J21" s="15"/>
      <c r="K21" s="8"/>
      <c r="L21" s="8"/>
      <c r="M21" s="64"/>
      <c r="N21" s="8"/>
    </row>
    <row r="22" spans="1:36">
      <c r="A22" s="1"/>
      <c r="B22" s="1"/>
      <c r="C22" s="8" t="s">
        <v>754</v>
      </c>
      <c r="D22" s="9">
        <v>19</v>
      </c>
      <c r="E22" s="8"/>
      <c r="F22" s="8"/>
      <c r="G22" s="8"/>
      <c r="H22" s="8"/>
      <c r="I22" s="15"/>
      <c r="J22" s="15"/>
      <c r="K22" s="8"/>
      <c r="L22" s="8"/>
      <c r="M22" s="64"/>
      <c r="N22" s="8"/>
    </row>
    <row r="23" spans="1:36">
      <c r="A23" s="1"/>
      <c r="B23" s="1"/>
      <c r="C23" s="8" t="s">
        <v>755</v>
      </c>
      <c r="D23" s="9">
        <v>20</v>
      </c>
      <c r="E23" s="8"/>
      <c r="F23" s="8"/>
      <c r="G23" s="8"/>
      <c r="H23" s="8"/>
      <c r="I23" s="15"/>
      <c r="J23" s="15"/>
      <c r="K23" s="8"/>
      <c r="L23" s="8"/>
      <c r="M23" s="64"/>
      <c r="N23" s="8"/>
    </row>
    <row r="24" spans="1:36">
      <c r="A24" s="1"/>
      <c r="B24" s="1"/>
      <c r="C24" s="8" t="s">
        <v>756</v>
      </c>
      <c r="D24" s="9">
        <v>21</v>
      </c>
      <c r="E24" s="8"/>
      <c r="F24" s="8"/>
      <c r="G24" s="8"/>
      <c r="H24" s="8"/>
      <c r="I24" s="15"/>
      <c r="J24" s="15"/>
      <c r="K24" s="8"/>
      <c r="L24" s="8"/>
      <c r="M24" s="64"/>
      <c r="N24" s="8"/>
    </row>
    <row r="25" spans="1:36">
      <c r="A25" s="1"/>
      <c r="B25" s="1"/>
      <c r="C25" s="8" t="s">
        <v>757</v>
      </c>
      <c r="D25" s="9">
        <v>22</v>
      </c>
      <c r="E25" s="8"/>
      <c r="F25" s="8"/>
      <c r="G25" s="8"/>
      <c r="H25" s="8"/>
      <c r="I25" s="15"/>
      <c r="J25" s="15"/>
      <c r="K25" s="8"/>
      <c r="L25" s="8"/>
      <c r="M25" s="64"/>
      <c r="N25" s="8"/>
    </row>
    <row r="26" spans="1:36">
      <c r="A26" s="1"/>
      <c r="B26" s="1"/>
      <c r="C26" s="8" t="s">
        <v>758</v>
      </c>
      <c r="D26" s="9">
        <v>23</v>
      </c>
      <c r="E26" s="8"/>
      <c r="F26" s="8"/>
      <c r="G26" s="8"/>
      <c r="H26" s="8"/>
      <c r="I26" s="15"/>
      <c r="J26" s="15"/>
      <c r="K26" s="8"/>
      <c r="L26" s="8"/>
      <c r="M26" s="64"/>
      <c r="N26" s="8"/>
    </row>
    <row r="27" spans="1:36">
      <c r="A27" s="1"/>
      <c r="B27" s="1"/>
      <c r="C27" s="8" t="s">
        <v>759</v>
      </c>
      <c r="D27" s="9">
        <v>24</v>
      </c>
      <c r="E27" s="8"/>
      <c r="F27" s="8"/>
      <c r="G27" s="8"/>
      <c r="H27" s="8"/>
      <c r="I27" s="15"/>
      <c r="J27" s="15"/>
      <c r="K27" s="8"/>
      <c r="L27" s="8"/>
      <c r="M27" s="64"/>
      <c r="N27" s="8"/>
    </row>
    <row r="28" spans="1:36" s="238" customFormat="1">
      <c r="A28" s="7"/>
      <c r="B28" s="7"/>
      <c r="C28" s="7" t="s">
        <v>760</v>
      </c>
      <c r="D28" s="587">
        <v>25</v>
      </c>
      <c r="E28" s="7"/>
      <c r="F28" s="7"/>
      <c r="G28" s="7"/>
      <c r="H28" s="7"/>
      <c r="I28" s="268"/>
      <c r="J28" s="268"/>
      <c r="K28" s="268"/>
      <c r="L28" s="268"/>
      <c r="M28" s="584"/>
      <c r="N28" s="26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s="238" customFormat="1">
      <c r="A29" s="7"/>
      <c r="B29" s="7"/>
      <c r="C29" s="7" t="s">
        <v>761</v>
      </c>
      <c r="D29" s="587">
        <v>26</v>
      </c>
      <c r="E29" s="7"/>
      <c r="F29" s="7"/>
      <c r="G29" s="7"/>
      <c r="H29" s="7"/>
      <c r="I29" s="268"/>
      <c r="J29" s="268"/>
      <c r="K29" s="268"/>
      <c r="L29" s="268"/>
      <c r="M29" s="584"/>
      <c r="N29" s="268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s="238" customFormat="1">
      <c r="A30" s="7"/>
      <c r="B30" s="7"/>
      <c r="C30" s="7" t="s">
        <v>762</v>
      </c>
      <c r="D30" s="587">
        <v>27</v>
      </c>
      <c r="E30" s="7"/>
      <c r="F30" s="7"/>
      <c r="G30" s="7"/>
      <c r="H30" s="7"/>
      <c r="I30" s="268"/>
      <c r="J30" s="268"/>
      <c r="K30" s="583"/>
      <c r="L30" s="583"/>
      <c r="M30" s="584"/>
      <c r="N30" s="583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s="238" customFormat="1">
      <c r="A31" s="7"/>
      <c r="B31" s="7"/>
      <c r="C31" s="7" t="s">
        <v>763</v>
      </c>
      <c r="D31" s="587">
        <v>28</v>
      </c>
      <c r="E31" s="7"/>
      <c r="F31" s="7"/>
      <c r="G31" s="7"/>
      <c r="H31" s="7"/>
      <c r="I31" s="268"/>
      <c r="J31" s="268"/>
      <c r="K31" s="583"/>
      <c r="L31" s="583"/>
      <c r="M31" s="584"/>
      <c r="N31" s="583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 s="238" customFormat="1">
      <c r="A32" s="7"/>
      <c r="B32" s="7"/>
      <c r="C32" s="7" t="s">
        <v>764</v>
      </c>
      <c r="D32" s="587">
        <v>29</v>
      </c>
      <c r="E32" s="7"/>
      <c r="F32" s="7"/>
      <c r="G32" s="7"/>
      <c r="H32" s="7"/>
      <c r="I32" s="268"/>
      <c r="J32" s="268"/>
      <c r="K32" s="583"/>
      <c r="L32" s="583"/>
      <c r="M32" s="584"/>
      <c r="N32" s="583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 s="238" customFormat="1">
      <c r="A33" s="7"/>
      <c r="B33" s="7"/>
      <c r="C33" s="7" t="s">
        <v>765</v>
      </c>
      <c r="D33" s="587">
        <v>30</v>
      </c>
      <c r="E33" s="7"/>
      <c r="F33" s="7"/>
      <c r="G33" s="7"/>
      <c r="H33" s="7"/>
      <c r="I33" s="268"/>
      <c r="J33" s="268"/>
      <c r="K33" s="7"/>
      <c r="L33" s="7"/>
      <c r="M33" s="584"/>
      <c r="N33" s="7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s="238" customFormat="1">
      <c r="A34" s="7"/>
      <c r="B34" s="7"/>
      <c r="C34" s="7" t="s">
        <v>766</v>
      </c>
      <c r="D34" s="587">
        <v>31</v>
      </c>
      <c r="E34" s="7"/>
      <c r="F34" s="7"/>
      <c r="G34" s="7"/>
      <c r="H34" s="7"/>
      <c r="I34" s="268"/>
      <c r="J34" s="268"/>
      <c r="K34" s="7"/>
      <c r="L34" s="7"/>
      <c r="M34" s="584"/>
      <c r="N34" s="7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s="238" customFormat="1">
      <c r="A35" s="7"/>
      <c r="B35" s="7"/>
      <c r="C35" s="7" t="s">
        <v>767</v>
      </c>
      <c r="D35" s="587">
        <v>32</v>
      </c>
      <c r="E35" s="7"/>
      <c r="F35" s="7"/>
      <c r="G35" s="7"/>
      <c r="H35" s="7"/>
      <c r="I35" s="268"/>
      <c r="J35" s="268"/>
      <c r="K35" s="7"/>
      <c r="L35" s="7"/>
      <c r="M35" s="584"/>
      <c r="N35" s="7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>
      <c r="A36" s="1"/>
      <c r="B36" s="1"/>
      <c r="C36" s="8" t="s">
        <v>768</v>
      </c>
      <c r="D36" s="9">
        <v>33</v>
      </c>
      <c r="E36" s="8"/>
      <c r="F36" s="8"/>
      <c r="G36" s="8"/>
      <c r="H36" s="8"/>
      <c r="I36" s="15"/>
      <c r="J36" s="15"/>
      <c r="K36" s="8"/>
      <c r="L36" s="8"/>
      <c r="M36" s="64"/>
      <c r="N36" s="8"/>
    </row>
    <row r="37" spans="1:36">
      <c r="A37" s="1"/>
      <c r="B37" s="1"/>
      <c r="C37" s="8" t="s">
        <v>769</v>
      </c>
      <c r="D37" s="9">
        <v>34</v>
      </c>
      <c r="E37" s="8"/>
      <c r="F37" s="8"/>
      <c r="G37" s="8"/>
      <c r="H37" s="8"/>
      <c r="I37" s="15"/>
      <c r="J37" s="15"/>
      <c r="K37" s="8"/>
      <c r="L37" s="8"/>
      <c r="M37" s="64"/>
      <c r="N37" s="8"/>
    </row>
    <row r="38" spans="1:36">
      <c r="A38" s="1"/>
      <c r="B38" s="1"/>
      <c r="C38" s="8" t="s">
        <v>770</v>
      </c>
      <c r="D38" s="9">
        <v>35</v>
      </c>
      <c r="E38" s="8"/>
      <c r="F38" s="8"/>
      <c r="G38" s="8"/>
      <c r="H38" s="8"/>
      <c r="I38" s="15"/>
      <c r="J38" s="15"/>
      <c r="K38" s="8"/>
      <c r="L38" s="8"/>
      <c r="M38" s="64"/>
      <c r="N38" s="8"/>
    </row>
    <row r="39" spans="1:36">
      <c r="A39" s="1"/>
      <c r="B39" s="1"/>
      <c r="C39" s="8" t="s">
        <v>771</v>
      </c>
      <c r="D39" s="9">
        <v>36</v>
      </c>
      <c r="E39" s="8"/>
      <c r="F39" s="8"/>
      <c r="G39" s="8"/>
      <c r="H39" s="8"/>
      <c r="I39" s="15"/>
      <c r="J39" s="15"/>
      <c r="K39" s="8"/>
      <c r="L39" s="8"/>
      <c r="M39" s="64"/>
      <c r="N39" s="8"/>
    </row>
    <row r="40" spans="1:36">
      <c r="A40" s="1"/>
      <c r="B40" s="1"/>
      <c r="C40" s="8" t="s">
        <v>772</v>
      </c>
      <c r="D40" s="9">
        <v>37</v>
      </c>
      <c r="E40" s="8"/>
      <c r="F40" s="8"/>
      <c r="G40" s="8"/>
      <c r="H40" s="8"/>
      <c r="I40" s="15"/>
      <c r="J40" s="15"/>
      <c r="K40" s="8"/>
      <c r="L40" s="8"/>
      <c r="M40" s="64"/>
      <c r="N40" s="8"/>
    </row>
    <row r="41" spans="1:36">
      <c r="A41" s="1"/>
      <c r="B41" s="1"/>
      <c r="C41" s="8" t="s">
        <v>773</v>
      </c>
      <c r="D41" s="9">
        <v>38</v>
      </c>
      <c r="E41" s="8"/>
      <c r="F41" s="8"/>
      <c r="G41" s="8"/>
      <c r="H41" s="8"/>
      <c r="I41" s="15"/>
      <c r="J41" s="15"/>
      <c r="K41" s="8"/>
      <c r="L41" s="8"/>
      <c r="M41" s="64"/>
      <c r="N41" s="8"/>
    </row>
    <row r="42" spans="1:36">
      <c r="A42" s="1"/>
      <c r="B42" s="1"/>
      <c r="C42" s="73" t="s">
        <v>774</v>
      </c>
      <c r="D42" s="71">
        <v>39</v>
      </c>
      <c r="E42" s="73"/>
      <c r="F42" s="73"/>
      <c r="G42" s="73"/>
      <c r="H42" s="8"/>
      <c r="I42" s="15"/>
      <c r="J42" s="15"/>
      <c r="K42" s="73"/>
      <c r="L42" s="73"/>
      <c r="M42" s="598"/>
      <c r="N42" s="73"/>
    </row>
    <row r="43" spans="1:36">
      <c r="A43" s="1"/>
      <c r="B43" s="1"/>
      <c r="C43" s="8" t="s">
        <v>775</v>
      </c>
      <c r="D43" s="9">
        <v>40</v>
      </c>
      <c r="E43" s="8"/>
      <c r="F43" s="8"/>
      <c r="G43" s="8"/>
      <c r="H43" s="8"/>
      <c r="I43" s="15"/>
      <c r="J43" s="15"/>
      <c r="K43" s="8"/>
      <c r="L43" s="8"/>
      <c r="M43" s="64"/>
      <c r="N43" s="8"/>
    </row>
    <row r="44" spans="1:36" s="238" customFormat="1">
      <c r="A44" s="7"/>
      <c r="B44" s="7"/>
      <c r="C44" s="588" t="s">
        <v>776</v>
      </c>
      <c r="D44" s="589">
        <v>41</v>
      </c>
      <c r="E44" s="588"/>
      <c r="F44" s="588"/>
      <c r="G44" s="588"/>
      <c r="H44" s="7"/>
      <c r="I44" s="268"/>
      <c r="J44" s="268"/>
      <c r="K44" s="588"/>
      <c r="L44" s="588"/>
      <c r="M44" s="599"/>
      <c r="N44" s="588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s="238" customFormat="1">
      <c r="A45" s="7"/>
      <c r="B45" s="7"/>
      <c r="C45" s="7" t="s">
        <v>777</v>
      </c>
      <c r="D45" s="587">
        <v>42</v>
      </c>
      <c r="E45" s="7"/>
      <c r="F45" s="7"/>
      <c r="G45" s="7"/>
      <c r="H45" s="7"/>
      <c r="I45" s="268"/>
      <c r="J45" s="268"/>
      <c r="K45" s="7"/>
      <c r="L45" s="7"/>
      <c r="M45" s="584"/>
      <c r="N45" s="7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s="238" customFormat="1">
      <c r="A46" s="7"/>
      <c r="B46" s="7"/>
      <c r="C46" s="7" t="s">
        <v>778</v>
      </c>
      <c r="D46" s="587">
        <v>43</v>
      </c>
      <c r="E46" s="7"/>
      <c r="F46" s="7"/>
      <c r="G46" s="7"/>
      <c r="H46" s="7"/>
      <c r="I46" s="268"/>
      <c r="J46" s="268"/>
      <c r="K46" s="7"/>
      <c r="L46" s="7"/>
      <c r="M46" s="584"/>
      <c r="N46" s="7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6" s="238" customFormat="1">
      <c r="A47" s="7"/>
      <c r="B47" s="7"/>
      <c r="C47" s="7" t="s">
        <v>779</v>
      </c>
      <c r="D47" s="587">
        <v>44</v>
      </c>
      <c r="E47" s="7"/>
      <c r="F47" s="7"/>
      <c r="G47" s="7"/>
      <c r="H47" s="7"/>
      <c r="I47" s="268"/>
      <c r="J47" s="268"/>
      <c r="K47" s="7"/>
      <c r="L47" s="7"/>
      <c r="M47" s="584"/>
      <c r="N47" s="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6" s="238" customFormat="1">
      <c r="A48" s="7"/>
      <c r="B48" s="7"/>
      <c r="C48" s="7" t="s">
        <v>780</v>
      </c>
      <c r="D48" s="587">
        <v>45</v>
      </c>
      <c r="E48" s="7"/>
      <c r="F48" s="7"/>
      <c r="G48" s="7"/>
      <c r="H48" s="7"/>
      <c r="I48" s="268"/>
      <c r="J48" s="268"/>
      <c r="K48" s="7"/>
      <c r="L48" s="7"/>
      <c r="M48" s="584"/>
      <c r="N48" s="7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s="238" customFormat="1">
      <c r="A49" s="7"/>
      <c r="B49" s="7"/>
      <c r="C49" s="7" t="s">
        <v>781</v>
      </c>
      <c r="D49" s="587">
        <v>46</v>
      </c>
      <c r="E49" s="7"/>
      <c r="F49" s="7"/>
      <c r="G49" s="7"/>
      <c r="H49" s="7"/>
      <c r="I49" s="268"/>
      <c r="J49" s="268"/>
      <c r="K49" s="7"/>
      <c r="L49" s="7"/>
      <c r="M49" s="584"/>
      <c r="N49" s="7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36" s="238" customFormat="1">
      <c r="A50" s="7"/>
      <c r="B50" s="7"/>
      <c r="C50" s="7" t="s">
        <v>782</v>
      </c>
      <c r="D50" s="587">
        <v>47</v>
      </c>
      <c r="E50" s="7"/>
      <c r="F50" s="7"/>
      <c r="G50" s="7"/>
      <c r="H50" s="7"/>
      <c r="I50" s="268"/>
      <c r="J50" s="268"/>
      <c r="K50" s="7"/>
      <c r="L50" s="7"/>
      <c r="M50" s="584"/>
      <c r="N50" s="7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s="238" customFormat="1">
      <c r="A51" s="7"/>
      <c r="B51" s="7"/>
      <c r="C51" s="7" t="s">
        <v>783</v>
      </c>
      <c r="D51" s="587">
        <v>48</v>
      </c>
      <c r="E51" s="7"/>
      <c r="F51" s="7"/>
      <c r="G51" s="7"/>
      <c r="H51" s="7"/>
      <c r="I51" s="268"/>
      <c r="J51" s="268"/>
      <c r="K51" s="7"/>
      <c r="L51" s="7"/>
      <c r="M51" s="584"/>
      <c r="N51" s="7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s="238" customFormat="1">
      <c r="A52" s="7"/>
      <c r="B52" s="7"/>
      <c r="C52" s="8" t="s">
        <v>784</v>
      </c>
      <c r="D52" s="9">
        <v>49</v>
      </c>
      <c r="E52" s="8"/>
      <c r="F52" s="8"/>
      <c r="G52" s="8"/>
      <c r="H52" s="8"/>
      <c r="I52" s="15"/>
      <c r="J52" s="15"/>
      <c r="K52" s="15"/>
      <c r="L52" s="15"/>
      <c r="M52" s="64"/>
      <c r="N52" s="15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s="238" customFormat="1">
      <c r="A53" s="7"/>
      <c r="B53" s="7"/>
      <c r="C53" s="8" t="s">
        <v>785</v>
      </c>
      <c r="D53" s="9">
        <v>50</v>
      </c>
      <c r="E53" s="8"/>
      <c r="F53" s="8"/>
      <c r="G53" s="8"/>
      <c r="H53" s="8"/>
      <c r="I53" s="15"/>
      <c r="J53" s="15"/>
      <c r="K53" s="15"/>
      <c r="L53" s="15"/>
      <c r="M53" s="64"/>
      <c r="N53" s="15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s="238" customFormat="1">
      <c r="A54" s="7"/>
      <c r="B54" s="7"/>
      <c r="C54" s="8" t="s">
        <v>786</v>
      </c>
      <c r="D54" s="9">
        <v>51</v>
      </c>
      <c r="E54" s="8"/>
      <c r="F54" s="8"/>
      <c r="G54" s="8"/>
      <c r="H54" s="8"/>
      <c r="I54" s="15"/>
      <c r="J54" s="15"/>
      <c r="K54" s="14"/>
      <c r="L54" s="14"/>
      <c r="M54" s="64"/>
      <c r="N54" s="1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6" s="238" customFormat="1">
      <c r="A55" s="7"/>
      <c r="B55" s="7"/>
      <c r="C55" s="8" t="s">
        <v>787</v>
      </c>
      <c r="D55" s="9">
        <v>52</v>
      </c>
      <c r="E55" s="8"/>
      <c r="F55" s="8"/>
      <c r="G55" s="8"/>
      <c r="H55" s="8"/>
      <c r="I55" s="15"/>
      <c r="J55" s="15"/>
      <c r="K55" s="14"/>
      <c r="L55" s="14"/>
      <c r="M55" s="64"/>
      <c r="N55" s="14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s="238" customFormat="1">
      <c r="A56" s="7"/>
      <c r="B56" s="7"/>
      <c r="C56" s="8" t="s">
        <v>788</v>
      </c>
      <c r="D56" s="9">
        <v>53</v>
      </c>
      <c r="E56" s="8"/>
      <c r="F56" s="8"/>
      <c r="G56" s="8"/>
      <c r="H56" s="8"/>
      <c r="I56" s="15"/>
      <c r="J56" s="15"/>
      <c r="K56" s="14"/>
      <c r="L56" s="14"/>
      <c r="M56" s="64"/>
      <c r="N56" s="14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 spans="1:36" s="238" customFormat="1">
      <c r="A57" s="7"/>
      <c r="B57" s="7"/>
      <c r="C57" s="8" t="s">
        <v>789</v>
      </c>
      <c r="D57" s="9">
        <v>54</v>
      </c>
      <c r="E57" s="8"/>
      <c r="F57" s="8"/>
      <c r="G57" s="8"/>
      <c r="H57" s="8"/>
      <c r="I57" s="15"/>
      <c r="J57" s="15"/>
      <c r="K57" s="8"/>
      <c r="L57" s="8"/>
      <c r="M57" s="64"/>
      <c r="N57" s="8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s="238" customFormat="1">
      <c r="A58" s="7"/>
      <c r="B58" s="7"/>
      <c r="C58" s="8" t="s">
        <v>790</v>
      </c>
      <c r="D58" s="9">
        <v>55</v>
      </c>
      <c r="E58" s="8"/>
      <c r="F58" s="8"/>
      <c r="G58" s="8"/>
      <c r="H58" s="8"/>
      <c r="I58" s="15"/>
      <c r="J58" s="15"/>
      <c r="K58" s="8"/>
      <c r="L58" s="8"/>
      <c r="M58" s="64"/>
      <c r="N58" s="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s="238" customFormat="1">
      <c r="A59" s="7"/>
      <c r="B59" s="7"/>
      <c r="C59" s="8" t="s">
        <v>791</v>
      </c>
      <c r="D59" s="9">
        <v>56</v>
      </c>
      <c r="E59" s="8"/>
      <c r="F59" s="8"/>
      <c r="G59" s="8"/>
      <c r="H59" s="8"/>
      <c r="I59" s="15"/>
      <c r="J59" s="15"/>
      <c r="K59" s="8"/>
      <c r="L59" s="8"/>
      <c r="M59" s="64"/>
      <c r="N59" s="8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s="238" customFormat="1">
      <c r="A60" s="7"/>
      <c r="B60" s="7"/>
      <c r="C60" s="7" t="s">
        <v>792</v>
      </c>
      <c r="D60" s="587">
        <v>57</v>
      </c>
      <c r="E60" s="7"/>
      <c r="F60" s="7"/>
      <c r="G60" s="7"/>
      <c r="H60" s="7"/>
      <c r="I60" s="268"/>
      <c r="J60" s="268"/>
      <c r="K60" s="7"/>
      <c r="L60" s="7"/>
      <c r="M60" s="584"/>
      <c r="N60" s="7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s="238" customFormat="1">
      <c r="A61" s="7"/>
      <c r="B61" s="7"/>
      <c r="C61" s="7" t="s">
        <v>793</v>
      </c>
      <c r="D61" s="587">
        <v>58</v>
      </c>
      <c r="E61" s="7"/>
      <c r="F61" s="7"/>
      <c r="G61" s="7"/>
      <c r="H61" s="7"/>
      <c r="I61" s="268"/>
      <c r="J61" s="268"/>
      <c r="K61" s="7"/>
      <c r="L61" s="7"/>
      <c r="M61" s="584"/>
      <c r="N61" s="7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8" customFormat="1">
      <c r="A62" s="7"/>
      <c r="B62" s="7"/>
      <c r="C62" s="7" t="s">
        <v>794</v>
      </c>
      <c r="D62" s="587">
        <v>59</v>
      </c>
      <c r="E62" s="7"/>
      <c r="F62" s="7"/>
      <c r="G62" s="7"/>
      <c r="H62" s="7"/>
      <c r="I62" s="268"/>
      <c r="J62" s="268"/>
      <c r="K62" s="7"/>
      <c r="L62" s="7"/>
      <c r="M62" s="584"/>
      <c r="N62" s="7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s="238" customFormat="1">
      <c r="A63" s="7"/>
      <c r="B63" s="7"/>
      <c r="C63" s="7" t="s">
        <v>795</v>
      </c>
      <c r="D63" s="587">
        <v>60</v>
      </c>
      <c r="E63" s="7"/>
      <c r="F63" s="7"/>
      <c r="G63" s="7"/>
      <c r="H63" s="7"/>
      <c r="I63" s="268"/>
      <c r="J63" s="268"/>
      <c r="K63" s="7"/>
      <c r="L63" s="7"/>
      <c r="M63" s="584"/>
      <c r="N63" s="7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36" s="238" customFormat="1">
      <c r="A64" s="7"/>
      <c r="B64" s="7"/>
      <c r="C64" s="7" t="s">
        <v>796</v>
      </c>
      <c r="D64" s="587">
        <v>61</v>
      </c>
      <c r="E64" s="7"/>
      <c r="F64" s="7"/>
      <c r="G64" s="7"/>
      <c r="H64" s="7"/>
      <c r="I64" s="268"/>
      <c r="J64" s="268"/>
      <c r="K64" s="7"/>
      <c r="L64" s="7"/>
      <c r="M64" s="584"/>
      <c r="N64" s="7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:36" s="238" customFormat="1">
      <c r="A65" s="7"/>
      <c r="B65" s="7"/>
      <c r="C65" s="7" t="s">
        <v>797</v>
      </c>
      <c r="D65" s="587">
        <v>62</v>
      </c>
      <c r="E65" s="7"/>
      <c r="F65" s="7"/>
      <c r="G65" s="7"/>
      <c r="H65" s="7"/>
      <c r="I65" s="268"/>
      <c r="J65" s="268"/>
      <c r="K65" s="7"/>
      <c r="L65" s="7"/>
      <c r="M65" s="584"/>
      <c r="N65" s="7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36" s="238" customFormat="1">
      <c r="A66" s="7"/>
      <c r="B66" s="7"/>
      <c r="C66" s="590" t="s">
        <v>798</v>
      </c>
      <c r="D66" s="591">
        <v>63</v>
      </c>
      <c r="E66" s="590"/>
      <c r="F66" s="590"/>
      <c r="G66" s="590"/>
      <c r="H66" s="7"/>
      <c r="I66" s="268"/>
      <c r="J66" s="268"/>
      <c r="K66" s="590"/>
      <c r="L66" s="590"/>
      <c r="M66" s="600"/>
      <c r="N66" s="590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36" s="238" customFormat="1">
      <c r="A67" s="7"/>
      <c r="B67" s="7"/>
      <c r="C67" s="7" t="s">
        <v>799</v>
      </c>
      <c r="D67" s="587">
        <v>64</v>
      </c>
      <c r="E67" s="7"/>
      <c r="F67" s="7"/>
      <c r="G67" s="7"/>
      <c r="H67" s="7"/>
      <c r="I67" s="268"/>
      <c r="J67" s="268"/>
      <c r="K67" s="7"/>
      <c r="L67" s="7"/>
      <c r="M67" s="584"/>
      <c r="N67" s="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 spans="1:36" s="238" customFormat="1">
      <c r="A68" s="7"/>
      <c r="B68" s="7"/>
      <c r="C68" s="19" t="s">
        <v>800</v>
      </c>
      <c r="D68" s="18">
        <v>65</v>
      </c>
      <c r="E68" s="19"/>
      <c r="F68" s="19"/>
      <c r="G68" s="19"/>
      <c r="H68" s="8"/>
      <c r="I68" s="15"/>
      <c r="J68" s="15"/>
      <c r="K68" s="19"/>
      <c r="L68" s="19"/>
      <c r="M68" s="586"/>
      <c r="N68" s="19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 spans="1:36" s="238" customFormat="1">
      <c r="A69" s="7"/>
      <c r="B69" s="7"/>
      <c r="C69" s="8" t="s">
        <v>801</v>
      </c>
      <c r="D69" s="9">
        <v>66</v>
      </c>
      <c r="E69" s="8"/>
      <c r="F69" s="8"/>
      <c r="G69" s="8"/>
      <c r="H69" s="8"/>
      <c r="I69" s="15"/>
      <c r="J69" s="15"/>
      <c r="K69" s="8"/>
      <c r="L69" s="8"/>
      <c r="M69" s="64"/>
      <c r="N69" s="8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:36" s="238" customFormat="1">
      <c r="A70" s="7"/>
      <c r="B70" s="7"/>
      <c r="C70" s="8" t="s">
        <v>802</v>
      </c>
      <c r="D70" s="9">
        <v>67</v>
      </c>
      <c r="E70" s="8"/>
      <c r="F70" s="8"/>
      <c r="G70" s="8"/>
      <c r="H70" s="8"/>
      <c r="I70" s="15"/>
      <c r="J70" s="15"/>
      <c r="K70" s="8"/>
      <c r="L70" s="8"/>
      <c r="M70" s="64"/>
      <c r="N70" s="8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:36" s="238" customFormat="1">
      <c r="A71" s="7"/>
      <c r="B71" s="7"/>
      <c r="C71" s="8" t="s">
        <v>803</v>
      </c>
      <c r="D71" s="9">
        <v>68</v>
      </c>
      <c r="E71" s="8"/>
      <c r="F71" s="8"/>
      <c r="G71" s="8"/>
      <c r="H71" s="8"/>
      <c r="I71" s="15"/>
      <c r="J71" s="15"/>
      <c r="K71" s="8"/>
      <c r="L71" s="8"/>
      <c r="M71" s="64"/>
      <c r="N71" s="8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36" s="238" customFormat="1">
      <c r="A72" s="7"/>
      <c r="B72" s="7"/>
      <c r="C72" s="8" t="s">
        <v>804</v>
      </c>
      <c r="D72" s="9">
        <v>69</v>
      </c>
      <c r="E72" s="8"/>
      <c r="F72" s="8"/>
      <c r="G72" s="8"/>
      <c r="H72" s="8"/>
      <c r="I72" s="15"/>
      <c r="J72" s="15"/>
      <c r="K72" s="8"/>
      <c r="L72" s="8"/>
      <c r="M72" s="64"/>
      <c r="N72" s="8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s="238" customFormat="1">
      <c r="A73" s="7"/>
      <c r="B73" s="7"/>
      <c r="C73" s="8" t="s">
        <v>805</v>
      </c>
      <c r="D73" s="9">
        <v>70</v>
      </c>
      <c r="E73" s="8"/>
      <c r="F73" s="8"/>
      <c r="G73" s="8"/>
      <c r="H73" s="8"/>
      <c r="I73" s="15"/>
      <c r="J73" s="15"/>
      <c r="K73" s="8"/>
      <c r="L73" s="8"/>
      <c r="M73" s="64"/>
      <c r="N73" s="8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s="238" customFormat="1">
      <c r="A74" s="7"/>
      <c r="B74" s="7"/>
      <c r="C74" s="8" t="s">
        <v>806</v>
      </c>
      <c r="D74" s="9">
        <v>71</v>
      </c>
      <c r="E74" s="8"/>
      <c r="F74" s="8"/>
      <c r="G74" s="8"/>
      <c r="H74" s="8"/>
      <c r="I74" s="15"/>
      <c r="J74" s="15"/>
      <c r="K74" s="8"/>
      <c r="L74" s="8"/>
      <c r="M74" s="64"/>
      <c r="N74" s="8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 s="238" customFormat="1">
      <c r="A75" s="7"/>
      <c r="B75" s="7"/>
      <c r="C75" s="8" t="s">
        <v>807</v>
      </c>
      <c r="D75" s="9">
        <v>72</v>
      </c>
      <c r="E75" s="8"/>
      <c r="F75" s="8"/>
      <c r="G75" s="8"/>
      <c r="H75" s="8"/>
      <c r="I75" s="15"/>
      <c r="J75" s="15"/>
      <c r="K75" s="8"/>
      <c r="L75" s="8"/>
      <c r="M75" s="64"/>
      <c r="N75" s="8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s="238" customFormat="1">
      <c r="A76" s="7"/>
      <c r="B76" s="7"/>
      <c r="C76" s="7" t="s">
        <v>233</v>
      </c>
      <c r="D76" s="587">
        <v>73</v>
      </c>
      <c r="E76" s="7"/>
      <c r="F76" s="7"/>
      <c r="G76" s="7"/>
      <c r="H76" s="7"/>
      <c r="I76" s="268"/>
      <c r="J76" s="268"/>
      <c r="K76" s="268"/>
      <c r="L76" s="268"/>
      <c r="M76" s="584"/>
      <c r="N76" s="268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 s="238" customFormat="1">
      <c r="A77" s="7"/>
      <c r="B77" s="7"/>
      <c r="C77" s="7" t="s">
        <v>234</v>
      </c>
      <c r="D77" s="587">
        <v>74</v>
      </c>
      <c r="E77" s="7"/>
      <c r="F77" s="7"/>
      <c r="G77" s="7"/>
      <c r="H77" s="7"/>
      <c r="I77" s="268"/>
      <c r="J77" s="268"/>
      <c r="K77" s="268"/>
      <c r="L77" s="268"/>
      <c r="M77" s="584"/>
      <c r="N77" s="268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 s="238" customFormat="1">
      <c r="A78" s="7"/>
      <c r="B78" s="7"/>
      <c r="C78" s="7" t="s">
        <v>235</v>
      </c>
      <c r="D78" s="587">
        <v>75</v>
      </c>
      <c r="E78" s="7"/>
      <c r="F78" s="7"/>
      <c r="G78" s="7"/>
      <c r="H78" s="7"/>
      <c r="I78" s="268"/>
      <c r="J78" s="268"/>
      <c r="K78" s="583"/>
      <c r="L78" s="583"/>
      <c r="M78" s="584"/>
      <c r="N78" s="583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s="238" customFormat="1">
      <c r="A79" s="7"/>
      <c r="B79" s="7"/>
      <c r="C79" s="7" t="s">
        <v>236</v>
      </c>
      <c r="D79" s="587">
        <v>76</v>
      </c>
      <c r="E79" s="7"/>
      <c r="F79" s="7"/>
      <c r="G79" s="7"/>
      <c r="H79" s="7"/>
      <c r="I79" s="268"/>
      <c r="J79" s="268"/>
      <c r="K79" s="583"/>
      <c r="L79" s="583"/>
      <c r="M79" s="584"/>
      <c r="N79" s="583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36" s="238" customFormat="1">
      <c r="A80" s="7"/>
      <c r="B80" s="7"/>
      <c r="C80" s="7" t="s">
        <v>237</v>
      </c>
      <c r="D80" s="587">
        <v>77</v>
      </c>
      <c r="E80" s="7"/>
      <c r="F80" s="7"/>
      <c r="G80" s="7"/>
      <c r="H80" s="7"/>
      <c r="I80" s="268"/>
      <c r="J80" s="268"/>
      <c r="K80" s="583"/>
      <c r="L80" s="583"/>
      <c r="M80" s="584"/>
      <c r="N80" s="583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s="238" customFormat="1">
      <c r="A81" s="7"/>
      <c r="B81" s="7"/>
      <c r="C81" s="7" t="s">
        <v>238</v>
      </c>
      <c r="D81" s="587">
        <v>78</v>
      </c>
      <c r="E81" s="7"/>
      <c r="F81" s="7"/>
      <c r="G81" s="7"/>
      <c r="H81" s="7"/>
      <c r="I81" s="268"/>
      <c r="J81" s="268"/>
      <c r="K81" s="7"/>
      <c r="L81" s="7"/>
      <c r="M81" s="584"/>
      <c r="N81" s="7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38" customFormat="1">
      <c r="A82" s="7"/>
      <c r="B82" s="7"/>
      <c r="C82" s="7" t="s">
        <v>239</v>
      </c>
      <c r="D82" s="587">
        <v>79</v>
      </c>
      <c r="E82" s="7"/>
      <c r="F82" s="7"/>
      <c r="G82" s="7"/>
      <c r="H82" s="7"/>
      <c r="I82" s="268"/>
      <c r="J82" s="268"/>
      <c r="K82" s="7"/>
      <c r="L82" s="7"/>
      <c r="M82" s="584"/>
      <c r="N82" s="7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38" customFormat="1">
      <c r="A83" s="7"/>
      <c r="B83" s="7"/>
      <c r="C83" s="7" t="s">
        <v>240</v>
      </c>
      <c r="D83" s="587">
        <v>80</v>
      </c>
      <c r="E83" s="7"/>
      <c r="F83" s="7"/>
      <c r="G83" s="7"/>
      <c r="H83" s="7"/>
      <c r="I83" s="268"/>
      <c r="J83" s="268"/>
      <c r="K83" s="7"/>
      <c r="L83" s="7"/>
      <c r="M83" s="584"/>
      <c r="N83" s="7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s="238" customFormat="1">
      <c r="A84" s="7"/>
      <c r="B84" s="7"/>
      <c r="C84" s="8" t="s">
        <v>241</v>
      </c>
      <c r="D84" s="9">
        <v>81</v>
      </c>
      <c r="E84" s="8"/>
      <c r="F84" s="8"/>
      <c r="G84" s="8"/>
      <c r="H84" s="8"/>
      <c r="I84" s="15"/>
      <c r="J84" s="15"/>
      <c r="K84" s="8"/>
      <c r="L84" s="8"/>
      <c r="M84" s="64"/>
      <c r="N84" s="8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s="238" customFormat="1">
      <c r="A85" s="7"/>
      <c r="B85" s="7"/>
      <c r="C85" s="8" t="s">
        <v>242</v>
      </c>
      <c r="D85" s="9">
        <v>82</v>
      </c>
      <c r="E85" s="8"/>
      <c r="F85" s="8"/>
      <c r="G85" s="8"/>
      <c r="H85" s="8"/>
      <c r="I85" s="15"/>
      <c r="J85" s="15"/>
      <c r="K85" s="8"/>
      <c r="L85" s="8"/>
      <c r="M85" s="64"/>
      <c r="N85" s="8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s="238" customFormat="1">
      <c r="A86" s="7"/>
      <c r="B86" s="7"/>
      <c r="C86" s="8" t="s">
        <v>243</v>
      </c>
      <c r="D86" s="9">
        <v>83</v>
      </c>
      <c r="E86" s="8"/>
      <c r="F86" s="8"/>
      <c r="G86" s="8"/>
      <c r="H86" s="8"/>
      <c r="I86" s="15"/>
      <c r="J86" s="15"/>
      <c r="K86" s="8"/>
      <c r="L86" s="8"/>
      <c r="M86" s="64"/>
      <c r="N86" s="8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s="238" customFormat="1">
      <c r="A87" s="7"/>
      <c r="B87" s="7"/>
      <c r="C87" s="8" t="s">
        <v>244</v>
      </c>
      <c r="D87" s="9">
        <v>84</v>
      </c>
      <c r="E87" s="8"/>
      <c r="F87" s="8"/>
      <c r="G87" s="8"/>
      <c r="H87" s="8"/>
      <c r="I87" s="15"/>
      <c r="J87" s="15"/>
      <c r="K87" s="8"/>
      <c r="L87" s="8"/>
      <c r="M87" s="64"/>
      <c r="N87" s="8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 s="238" customFormat="1">
      <c r="A88" s="7"/>
      <c r="B88" s="7"/>
      <c r="C88" s="8" t="s">
        <v>245</v>
      </c>
      <c r="D88" s="9">
        <v>85</v>
      </c>
      <c r="E88" s="8"/>
      <c r="F88" s="8"/>
      <c r="G88" s="8"/>
      <c r="H88" s="8"/>
      <c r="I88" s="15"/>
      <c r="J88" s="15"/>
      <c r="K88" s="8"/>
      <c r="L88" s="8"/>
      <c r="M88" s="64"/>
      <c r="N88" s="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 s="238" customFormat="1">
      <c r="A89" s="7"/>
      <c r="B89" s="7"/>
      <c r="C89" s="8" t="s">
        <v>246</v>
      </c>
      <c r="D89" s="9">
        <v>86</v>
      </c>
      <c r="E89" s="8"/>
      <c r="F89" s="8"/>
      <c r="G89" s="8"/>
      <c r="H89" s="8"/>
      <c r="I89" s="15"/>
      <c r="J89" s="15"/>
      <c r="K89" s="8"/>
      <c r="L89" s="8"/>
      <c r="M89" s="64"/>
      <c r="N89" s="8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s="238" customFormat="1">
      <c r="A90" s="7"/>
      <c r="B90" s="7"/>
      <c r="C90" s="73" t="s">
        <v>247</v>
      </c>
      <c r="D90" s="71">
        <v>87</v>
      </c>
      <c r="E90" s="73"/>
      <c r="F90" s="73"/>
      <c r="G90" s="73"/>
      <c r="H90" s="8"/>
      <c r="I90" s="15"/>
      <c r="J90" s="15"/>
      <c r="K90" s="73"/>
      <c r="L90" s="73"/>
      <c r="M90" s="598"/>
      <c r="N90" s="73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 s="238" customFormat="1">
      <c r="A91" s="7"/>
      <c r="B91" s="7"/>
      <c r="C91" s="8" t="s">
        <v>248</v>
      </c>
      <c r="D91" s="9">
        <v>88</v>
      </c>
      <c r="E91" s="8"/>
      <c r="F91" s="8"/>
      <c r="G91" s="8"/>
      <c r="H91" s="8"/>
      <c r="I91" s="15"/>
      <c r="J91" s="15"/>
      <c r="K91" s="8"/>
      <c r="L91" s="8"/>
      <c r="M91" s="64"/>
      <c r="N91" s="8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s="238" customFormat="1">
      <c r="A92" s="7"/>
      <c r="B92" s="7"/>
      <c r="C92" s="588" t="s">
        <v>249</v>
      </c>
      <c r="D92" s="589">
        <v>89</v>
      </c>
      <c r="E92" s="588"/>
      <c r="F92" s="588"/>
      <c r="G92" s="588"/>
      <c r="H92" s="7"/>
      <c r="I92" s="268"/>
      <c r="J92" s="268"/>
      <c r="K92" s="588"/>
      <c r="L92" s="588"/>
      <c r="M92" s="599"/>
      <c r="N92" s="588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 s="238" customFormat="1">
      <c r="A93" s="7"/>
      <c r="B93" s="7"/>
      <c r="C93" s="7" t="s">
        <v>250</v>
      </c>
      <c r="D93" s="587">
        <v>90</v>
      </c>
      <c r="E93" s="7"/>
      <c r="F93" s="7"/>
      <c r="G93" s="7"/>
      <c r="H93" s="7"/>
      <c r="I93" s="268"/>
      <c r="J93" s="268"/>
      <c r="K93" s="7"/>
      <c r="L93" s="7"/>
      <c r="M93" s="584"/>
      <c r="N93" s="7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s="238" customFormat="1">
      <c r="A94" s="7"/>
      <c r="B94" s="7"/>
      <c r="C94" s="7" t="s">
        <v>251</v>
      </c>
      <c r="D94" s="587">
        <v>91</v>
      </c>
      <c r="E94" s="7"/>
      <c r="F94" s="7"/>
      <c r="G94" s="7"/>
      <c r="H94" s="7"/>
      <c r="I94" s="268"/>
      <c r="J94" s="268"/>
      <c r="K94" s="7"/>
      <c r="L94" s="7"/>
      <c r="M94" s="584"/>
      <c r="N94" s="7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s="238" customFormat="1">
      <c r="A95" s="7"/>
      <c r="B95" s="7"/>
      <c r="C95" s="7" t="s">
        <v>252</v>
      </c>
      <c r="D95" s="587">
        <v>92</v>
      </c>
      <c r="E95" s="7"/>
      <c r="F95" s="7"/>
      <c r="G95" s="7"/>
      <c r="H95" s="7"/>
      <c r="I95" s="268"/>
      <c r="J95" s="268"/>
      <c r="K95" s="7"/>
      <c r="L95" s="7"/>
      <c r="M95" s="584"/>
      <c r="N95" s="7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s="238" customFormat="1">
      <c r="A96" s="7"/>
      <c r="B96" s="7"/>
      <c r="C96" s="7" t="s">
        <v>253</v>
      </c>
      <c r="D96" s="587">
        <v>93</v>
      </c>
      <c r="E96" s="7"/>
      <c r="F96" s="7"/>
      <c r="G96" s="7"/>
      <c r="H96" s="7"/>
      <c r="I96" s="268"/>
      <c r="J96" s="268"/>
      <c r="K96" s="7"/>
      <c r="L96" s="7"/>
      <c r="M96" s="584"/>
      <c r="N96" s="7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s="238" customFormat="1">
      <c r="A97" s="7"/>
      <c r="B97" s="7"/>
      <c r="C97" s="7" t="s">
        <v>254</v>
      </c>
      <c r="D97" s="587">
        <v>94</v>
      </c>
      <c r="E97" s="7"/>
      <c r="F97" s="7"/>
      <c r="G97" s="7"/>
      <c r="H97" s="7"/>
      <c r="I97" s="268"/>
      <c r="J97" s="268"/>
      <c r="K97" s="7"/>
      <c r="L97" s="7"/>
      <c r="M97" s="584"/>
      <c r="N97" s="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s="238" customFormat="1">
      <c r="A98" s="7"/>
      <c r="B98" s="7"/>
      <c r="C98" s="7" t="s">
        <v>255</v>
      </c>
      <c r="D98" s="587">
        <v>95</v>
      </c>
      <c r="E98" s="7"/>
      <c r="F98" s="7"/>
      <c r="G98" s="7"/>
      <c r="H98" s="7"/>
      <c r="I98" s="268"/>
      <c r="J98" s="268"/>
      <c r="K98" s="7"/>
      <c r="L98" s="7"/>
      <c r="M98" s="584"/>
      <c r="N98" s="7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s="238" customFormat="1">
      <c r="A99" s="7"/>
      <c r="B99" s="7"/>
      <c r="C99" s="7" t="s">
        <v>256</v>
      </c>
      <c r="D99" s="587">
        <v>96</v>
      </c>
      <c r="E99" s="7"/>
      <c r="F99" s="7"/>
      <c r="G99" s="7"/>
      <c r="H99" s="7"/>
      <c r="I99" s="268"/>
      <c r="J99" s="268"/>
      <c r="K99" s="7"/>
      <c r="L99" s="7"/>
      <c r="M99" s="584"/>
      <c r="N99" s="7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</sheetData>
  <customSheetViews>
    <customSheetView guid="{A4BD9991-0908-4EDC-898A-8A5DE615ED00}">
      <selection activeCell="P8" sqref="P8:P9"/>
      <pageMargins left="0.7" right="0.7" top="0.75" bottom="0.75" header="0.3" footer="0.3"/>
    </customSheetView>
  </customSheetViews>
  <mergeCells count="1">
    <mergeCell ref="A1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A04E-D2B9-4A44-94AE-5FAF3C5E0F78}">
  <sheetPr codeName="Sheet17">
    <tabColor theme="5" tint="0.59999389629810485"/>
  </sheetPr>
  <dimension ref="A1:AI101"/>
  <sheetViews>
    <sheetView zoomScale="85" zoomScaleNormal="85" workbookViewId="0">
      <selection activeCell="J7" sqref="J7"/>
    </sheetView>
  </sheetViews>
  <sheetFormatPr defaultRowHeight="15"/>
  <cols>
    <col min="6" max="6" width="10.85546875" customWidth="1"/>
    <col min="8" max="8" width="10.42578125" customWidth="1"/>
    <col min="12" max="12" width="14" customWidth="1"/>
    <col min="13" max="14" width="8.5703125" customWidth="1"/>
  </cols>
  <sheetData>
    <row r="1" spans="1:14" ht="15.6" customHeight="1">
      <c r="A1" s="759" t="s">
        <v>1138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</row>
    <row r="2" spans="1:14" ht="15.6" customHeight="1">
      <c r="A2" s="756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</row>
    <row r="3" spans="1:14" ht="67.5" customHeight="1">
      <c r="A3" s="780" t="s">
        <v>965</v>
      </c>
      <c r="B3" s="780" t="s">
        <v>597</v>
      </c>
      <c r="C3" s="580" t="s">
        <v>1137</v>
      </c>
      <c r="D3" s="580" t="s">
        <v>193</v>
      </c>
      <c r="E3" s="580" t="s">
        <v>192</v>
      </c>
      <c r="F3" s="580" t="s">
        <v>291</v>
      </c>
      <c r="G3" s="580" t="s">
        <v>815</v>
      </c>
      <c r="H3" s="580" t="s">
        <v>618</v>
      </c>
      <c r="I3" s="580" t="s">
        <v>619</v>
      </c>
      <c r="J3" s="580" t="s">
        <v>267</v>
      </c>
      <c r="K3" s="580" t="s">
        <v>288</v>
      </c>
      <c r="L3" s="580" t="s">
        <v>311</v>
      </c>
      <c r="M3" s="780" t="s">
        <v>620</v>
      </c>
      <c r="N3" s="780" t="s">
        <v>1130</v>
      </c>
    </row>
    <row r="4" spans="1:14" ht="79.5">
      <c r="A4" s="781"/>
      <c r="B4" s="781"/>
      <c r="C4" s="285"/>
      <c r="D4" s="5"/>
      <c r="E4" s="287"/>
      <c r="F4" s="287"/>
      <c r="G4" s="288" t="s">
        <v>268</v>
      </c>
      <c r="H4" s="288"/>
      <c r="I4" s="288"/>
      <c r="J4" s="288" t="s">
        <v>616</v>
      </c>
      <c r="K4" s="281" t="s">
        <v>617</v>
      </c>
      <c r="L4" s="289" t="s">
        <v>312</v>
      </c>
      <c r="M4" s="781"/>
      <c r="N4" s="781"/>
    </row>
    <row r="5" spans="1:14">
      <c r="A5" s="1"/>
      <c r="B5" s="1"/>
      <c r="C5" s="601"/>
      <c r="D5" s="23"/>
      <c r="E5" s="286"/>
      <c r="F5" s="286"/>
      <c r="G5" s="24">
        <v>1</v>
      </c>
      <c r="H5" s="24"/>
      <c r="I5" s="24"/>
      <c r="J5" s="104">
        <v>1</v>
      </c>
      <c r="K5" s="24">
        <v>5</v>
      </c>
      <c r="L5" s="601"/>
      <c r="M5" s="601"/>
      <c r="N5" s="601"/>
    </row>
    <row r="6" spans="1:14">
      <c r="A6" s="1"/>
      <c r="B6" s="1"/>
      <c r="C6" s="8" t="s">
        <v>736</v>
      </c>
      <c r="D6" s="9">
        <v>1</v>
      </c>
      <c r="E6" s="8"/>
      <c r="F6" s="8"/>
      <c r="G6" s="8"/>
      <c r="H6" s="8"/>
      <c r="I6" s="15"/>
      <c r="J6" s="15"/>
      <c r="K6" s="15"/>
      <c r="L6" s="15"/>
      <c r="M6" s="64"/>
      <c r="N6" s="15"/>
    </row>
    <row r="7" spans="1:14">
      <c r="A7" s="1"/>
      <c r="B7" s="1"/>
      <c r="C7" s="8" t="s">
        <v>737</v>
      </c>
      <c r="D7" s="9">
        <v>2</v>
      </c>
      <c r="E7" s="8"/>
      <c r="F7" s="8"/>
      <c r="G7" s="8"/>
      <c r="H7" s="8"/>
      <c r="I7" s="15"/>
      <c r="J7" s="15"/>
      <c r="K7" s="15"/>
      <c r="L7" s="15"/>
      <c r="M7" s="64"/>
      <c r="N7" s="15"/>
    </row>
    <row r="8" spans="1:14">
      <c r="A8" s="1"/>
      <c r="B8" s="1"/>
      <c r="C8" s="8" t="s">
        <v>738</v>
      </c>
      <c r="D8" s="9">
        <v>3</v>
      </c>
      <c r="E8" s="8"/>
      <c r="F8" s="8"/>
      <c r="G8" s="8"/>
      <c r="H8" s="8"/>
      <c r="I8" s="15"/>
      <c r="J8" s="15"/>
      <c r="K8" s="14"/>
      <c r="L8" s="14"/>
      <c r="M8" s="64"/>
      <c r="N8" s="14"/>
    </row>
    <row r="9" spans="1:14">
      <c r="A9" s="1"/>
      <c r="B9" s="1"/>
      <c r="C9" s="8" t="s">
        <v>739</v>
      </c>
      <c r="D9" s="9">
        <v>4</v>
      </c>
      <c r="E9" s="8"/>
      <c r="F9" s="8"/>
      <c r="G9" s="8"/>
      <c r="H9" s="8"/>
      <c r="I9" s="15"/>
      <c r="J9" s="15"/>
      <c r="K9" s="14"/>
      <c r="L9" s="14"/>
      <c r="M9" s="64"/>
      <c r="N9" s="14"/>
    </row>
    <row r="10" spans="1:14">
      <c r="A10" s="1"/>
      <c r="B10" s="1"/>
      <c r="C10" s="8" t="s">
        <v>740</v>
      </c>
      <c r="D10" s="9">
        <v>5</v>
      </c>
      <c r="E10" s="8"/>
      <c r="F10" s="8"/>
      <c r="G10" s="8"/>
      <c r="H10" s="8"/>
      <c r="I10" s="15"/>
      <c r="J10" s="15"/>
      <c r="K10" s="14"/>
      <c r="L10" s="14"/>
      <c r="M10" s="64"/>
      <c r="N10" s="14"/>
    </row>
    <row r="11" spans="1:14">
      <c r="A11" s="1"/>
      <c r="B11" s="1"/>
      <c r="C11" s="8" t="s">
        <v>741</v>
      </c>
      <c r="D11" s="9">
        <v>6</v>
      </c>
      <c r="E11" s="8"/>
      <c r="F11" s="8"/>
      <c r="G11" s="8"/>
      <c r="H11" s="8"/>
      <c r="I11" s="15"/>
      <c r="J11" s="15"/>
      <c r="K11" s="8"/>
      <c r="L11" s="8"/>
      <c r="M11" s="64"/>
      <c r="N11" s="8"/>
    </row>
    <row r="12" spans="1:14">
      <c r="A12" s="1"/>
      <c r="B12" s="1"/>
      <c r="C12" s="8" t="s">
        <v>742</v>
      </c>
      <c r="D12" s="9">
        <v>7</v>
      </c>
      <c r="E12" s="8"/>
      <c r="F12" s="8"/>
      <c r="G12" s="8"/>
      <c r="H12" s="8"/>
      <c r="I12" s="15"/>
      <c r="J12" s="15"/>
      <c r="K12" s="8"/>
      <c r="L12" s="8"/>
      <c r="M12" s="64"/>
      <c r="N12" s="8"/>
    </row>
    <row r="13" spans="1:14">
      <c r="A13" s="1"/>
      <c r="B13" s="1"/>
      <c r="C13" s="8" t="s">
        <v>743</v>
      </c>
      <c r="D13" s="9">
        <v>8</v>
      </c>
      <c r="E13" s="8"/>
      <c r="F13" s="8"/>
      <c r="G13" s="8"/>
      <c r="H13" s="8"/>
      <c r="I13" s="15"/>
      <c r="J13" s="15"/>
      <c r="K13" s="8"/>
      <c r="L13" s="8"/>
      <c r="M13" s="64"/>
      <c r="N13" s="8"/>
    </row>
    <row r="14" spans="1:14">
      <c r="A14" s="1"/>
      <c r="B14" s="1"/>
      <c r="C14" s="1" t="s">
        <v>744</v>
      </c>
      <c r="D14" s="10">
        <v>9</v>
      </c>
      <c r="E14" s="1"/>
      <c r="F14" s="1"/>
      <c r="G14" s="1"/>
      <c r="H14" s="1"/>
      <c r="I14" s="268"/>
      <c r="J14" s="6"/>
      <c r="K14" s="1"/>
      <c r="L14" s="1"/>
      <c r="M14" s="22"/>
      <c r="N14" s="1"/>
    </row>
    <row r="15" spans="1:14">
      <c r="A15" s="1"/>
      <c r="B15" s="1"/>
      <c r="C15" s="1" t="s">
        <v>745</v>
      </c>
      <c r="D15" s="10">
        <v>10</v>
      </c>
      <c r="E15" s="1"/>
      <c r="F15" s="1"/>
      <c r="G15" s="1"/>
      <c r="H15" s="1"/>
      <c r="I15" s="268"/>
      <c r="J15" s="6"/>
      <c r="K15" s="1"/>
      <c r="L15" s="1"/>
      <c r="M15" s="22"/>
      <c r="N15" s="1"/>
    </row>
    <row r="16" spans="1:14">
      <c r="A16" s="1"/>
      <c r="B16" s="1"/>
      <c r="C16" s="1" t="s">
        <v>746</v>
      </c>
      <c r="D16" s="10">
        <v>11</v>
      </c>
      <c r="E16" s="1"/>
      <c r="F16" s="1"/>
      <c r="G16" s="1"/>
      <c r="H16" s="1"/>
      <c r="I16" s="268"/>
      <c r="J16" s="6"/>
      <c r="K16" s="1"/>
      <c r="L16" s="1"/>
      <c r="M16" s="22"/>
      <c r="N16" s="1"/>
    </row>
    <row r="17" spans="1:35">
      <c r="A17" s="1"/>
      <c r="B17" s="1"/>
      <c r="C17" s="1" t="s">
        <v>747</v>
      </c>
      <c r="D17" s="10">
        <v>12</v>
      </c>
      <c r="E17" s="1"/>
      <c r="F17" s="1"/>
      <c r="G17" s="1"/>
      <c r="H17" s="1"/>
      <c r="I17" s="268"/>
      <c r="J17" s="6"/>
      <c r="K17" s="1"/>
      <c r="L17" s="1"/>
      <c r="M17" s="22"/>
      <c r="N17" s="1"/>
    </row>
    <row r="18" spans="1:35">
      <c r="A18" s="1"/>
      <c r="B18" s="1"/>
      <c r="C18" s="1" t="s">
        <v>748</v>
      </c>
      <c r="D18" s="10">
        <v>13</v>
      </c>
      <c r="E18" s="1"/>
      <c r="F18" s="1"/>
      <c r="G18" s="1"/>
      <c r="H18" s="1"/>
      <c r="I18" s="268"/>
      <c r="J18" s="6"/>
      <c r="K18" s="1"/>
      <c r="L18" s="1"/>
      <c r="M18" s="22"/>
      <c r="N18" s="1"/>
    </row>
    <row r="19" spans="1:35">
      <c r="A19" s="1"/>
      <c r="B19" s="1"/>
      <c r="C19" s="1" t="s">
        <v>749</v>
      </c>
      <c r="D19" s="10">
        <v>14</v>
      </c>
      <c r="E19" s="1"/>
      <c r="F19" s="1"/>
      <c r="G19" s="1"/>
      <c r="H19" s="1"/>
      <c r="I19" s="268"/>
      <c r="J19" s="6"/>
      <c r="K19" s="1"/>
      <c r="L19" s="1"/>
      <c r="M19" s="22"/>
      <c r="N19" s="1"/>
    </row>
    <row r="20" spans="1:35">
      <c r="A20" s="1"/>
      <c r="B20" s="1"/>
      <c r="C20" s="17" t="s">
        <v>750</v>
      </c>
      <c r="D20" s="16">
        <v>15</v>
      </c>
      <c r="E20" s="17"/>
      <c r="F20" s="17"/>
      <c r="G20" s="17"/>
      <c r="H20" s="1"/>
      <c r="I20" s="268"/>
      <c r="J20" s="6"/>
      <c r="K20" s="17"/>
      <c r="L20" s="17"/>
      <c r="M20" s="585"/>
      <c r="N20" s="17"/>
    </row>
    <row r="21" spans="1:35">
      <c r="A21" s="1"/>
      <c r="B21" s="1"/>
      <c r="C21" s="1" t="s">
        <v>751</v>
      </c>
      <c r="D21" s="10">
        <v>16</v>
      </c>
      <c r="E21" s="1"/>
      <c r="F21" s="1"/>
      <c r="G21" s="1"/>
      <c r="H21" s="1"/>
      <c r="I21" s="268"/>
      <c r="J21" s="6"/>
      <c r="K21" s="1"/>
      <c r="L21" s="1"/>
      <c r="M21" s="22"/>
      <c r="N21" s="1"/>
    </row>
    <row r="22" spans="1:35">
      <c r="A22" s="1"/>
      <c r="B22" s="1"/>
      <c r="C22" s="19" t="s">
        <v>752</v>
      </c>
      <c r="D22" s="18">
        <v>17</v>
      </c>
      <c r="E22" s="19"/>
      <c r="F22" s="19"/>
      <c r="G22" s="19"/>
      <c r="H22" s="8"/>
      <c r="I22" s="15"/>
      <c r="J22" s="15"/>
      <c r="K22" s="19"/>
      <c r="L22" s="19"/>
      <c r="M22" s="586"/>
      <c r="N22" s="19"/>
    </row>
    <row r="23" spans="1:35">
      <c r="A23" s="1"/>
      <c r="B23" s="1"/>
      <c r="C23" s="8" t="s">
        <v>753</v>
      </c>
      <c r="D23" s="9">
        <v>18</v>
      </c>
      <c r="E23" s="8"/>
      <c r="F23" s="8"/>
      <c r="G23" s="8"/>
      <c r="H23" s="8"/>
      <c r="I23" s="15"/>
      <c r="J23" s="15"/>
      <c r="K23" s="8"/>
      <c r="L23" s="8"/>
      <c r="M23" s="64"/>
      <c r="N23" s="8"/>
    </row>
    <row r="24" spans="1:35">
      <c r="A24" s="1"/>
      <c r="B24" s="1"/>
      <c r="C24" s="8" t="s">
        <v>754</v>
      </c>
      <c r="D24" s="9">
        <v>19</v>
      </c>
      <c r="E24" s="8"/>
      <c r="F24" s="8"/>
      <c r="G24" s="8"/>
      <c r="H24" s="8"/>
      <c r="I24" s="15"/>
      <c r="J24" s="15"/>
      <c r="K24" s="8"/>
      <c r="L24" s="8"/>
      <c r="M24" s="64"/>
      <c r="N24" s="8"/>
    </row>
    <row r="25" spans="1:35">
      <c r="A25" s="1"/>
      <c r="B25" s="1"/>
      <c r="C25" s="8" t="s">
        <v>755</v>
      </c>
      <c r="D25" s="9">
        <v>20</v>
      </c>
      <c r="E25" s="8"/>
      <c r="F25" s="8"/>
      <c r="G25" s="8"/>
      <c r="H25" s="8"/>
      <c r="I25" s="15"/>
      <c r="J25" s="15"/>
      <c r="K25" s="8"/>
      <c r="L25" s="8"/>
      <c r="M25" s="64"/>
      <c r="N25" s="8"/>
    </row>
    <row r="26" spans="1:35">
      <c r="A26" s="1"/>
      <c r="B26" s="1"/>
      <c r="C26" s="8" t="s">
        <v>756</v>
      </c>
      <c r="D26" s="9">
        <v>21</v>
      </c>
      <c r="E26" s="8"/>
      <c r="F26" s="8"/>
      <c r="G26" s="8"/>
      <c r="H26" s="8"/>
      <c r="I26" s="15"/>
      <c r="J26" s="15"/>
      <c r="K26" s="8"/>
      <c r="L26" s="8"/>
      <c r="M26" s="64"/>
      <c r="N26" s="8"/>
    </row>
    <row r="27" spans="1:35" s="238" customFormat="1">
      <c r="A27" s="1"/>
      <c r="B27" s="1"/>
      <c r="C27" s="8" t="s">
        <v>757</v>
      </c>
      <c r="D27" s="9">
        <v>22</v>
      </c>
      <c r="E27" s="8"/>
      <c r="F27" s="8"/>
      <c r="G27" s="8"/>
      <c r="H27" s="8"/>
      <c r="I27" s="15"/>
      <c r="J27" s="15"/>
      <c r="K27" s="8"/>
      <c r="L27" s="8"/>
      <c r="M27" s="64"/>
      <c r="N27" s="8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s="238" customFormat="1">
      <c r="A28" s="1"/>
      <c r="B28" s="1"/>
      <c r="C28" s="8" t="s">
        <v>758</v>
      </c>
      <c r="D28" s="9">
        <v>23</v>
      </c>
      <c r="E28" s="8"/>
      <c r="F28" s="8"/>
      <c r="G28" s="8"/>
      <c r="H28" s="8"/>
      <c r="I28" s="15"/>
      <c r="J28" s="15"/>
      <c r="K28" s="8"/>
      <c r="L28" s="8"/>
      <c r="M28" s="64"/>
      <c r="N28" s="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s="238" customFormat="1">
      <c r="A29" s="1"/>
      <c r="B29" s="1"/>
      <c r="C29" s="8" t="s">
        <v>759</v>
      </c>
      <c r="D29" s="9">
        <v>24</v>
      </c>
      <c r="E29" s="8"/>
      <c r="F29" s="8"/>
      <c r="G29" s="8"/>
      <c r="H29" s="8"/>
      <c r="I29" s="15"/>
      <c r="J29" s="15"/>
      <c r="K29" s="8"/>
      <c r="L29" s="8"/>
      <c r="M29" s="64"/>
      <c r="N29" s="8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s="238" customFormat="1">
      <c r="A30" s="7"/>
      <c r="B30" s="7"/>
      <c r="C30" s="7" t="s">
        <v>760</v>
      </c>
      <c r="D30" s="587">
        <v>25</v>
      </c>
      <c r="E30" s="7"/>
      <c r="F30" s="7"/>
      <c r="G30" s="7"/>
      <c r="H30" s="7"/>
      <c r="I30" s="268"/>
      <c r="J30" s="268"/>
      <c r="K30" s="268"/>
      <c r="L30" s="268"/>
      <c r="M30" s="584"/>
      <c r="N30" s="268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s="238" customFormat="1">
      <c r="A31" s="7"/>
      <c r="B31" s="7"/>
      <c r="C31" s="7" t="s">
        <v>761</v>
      </c>
      <c r="D31" s="587">
        <v>26</v>
      </c>
      <c r="E31" s="7"/>
      <c r="F31" s="7"/>
      <c r="G31" s="7"/>
      <c r="H31" s="7"/>
      <c r="I31" s="268"/>
      <c r="J31" s="268"/>
      <c r="K31" s="268"/>
      <c r="L31" s="268"/>
      <c r="M31" s="584"/>
      <c r="N31" s="268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s="238" customFormat="1">
      <c r="A32" s="7"/>
      <c r="B32" s="7"/>
      <c r="C32" s="7" t="s">
        <v>762</v>
      </c>
      <c r="D32" s="587">
        <v>27</v>
      </c>
      <c r="E32" s="7"/>
      <c r="F32" s="7"/>
      <c r="G32" s="7"/>
      <c r="H32" s="7"/>
      <c r="I32" s="268"/>
      <c r="J32" s="268"/>
      <c r="K32" s="583"/>
      <c r="L32" s="583"/>
      <c r="M32" s="584"/>
      <c r="N32" s="583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s="238" customFormat="1">
      <c r="A33" s="7"/>
      <c r="B33" s="7"/>
      <c r="C33" s="7" t="s">
        <v>763</v>
      </c>
      <c r="D33" s="587">
        <v>28</v>
      </c>
      <c r="E33" s="7"/>
      <c r="F33" s="7"/>
      <c r="G33" s="7"/>
      <c r="H33" s="7"/>
      <c r="I33" s="268"/>
      <c r="J33" s="268"/>
      <c r="K33" s="583"/>
      <c r="L33" s="583"/>
      <c r="M33" s="584"/>
      <c r="N33" s="58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s="238" customFormat="1">
      <c r="A34" s="7"/>
      <c r="B34" s="7"/>
      <c r="C34" s="7" t="s">
        <v>764</v>
      </c>
      <c r="D34" s="587">
        <v>29</v>
      </c>
      <c r="E34" s="7"/>
      <c r="F34" s="7"/>
      <c r="G34" s="7"/>
      <c r="H34" s="7"/>
      <c r="I34" s="268"/>
      <c r="J34" s="268"/>
      <c r="K34" s="583"/>
      <c r="L34" s="583"/>
      <c r="M34" s="584"/>
      <c r="N34" s="583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>
      <c r="A35" s="7"/>
      <c r="B35" s="7"/>
      <c r="C35" s="7" t="s">
        <v>765</v>
      </c>
      <c r="D35" s="587">
        <v>30</v>
      </c>
      <c r="E35" s="7"/>
      <c r="F35" s="7"/>
      <c r="G35" s="7"/>
      <c r="H35" s="7"/>
      <c r="I35" s="268"/>
      <c r="J35" s="268"/>
      <c r="K35" s="7"/>
      <c r="L35" s="7"/>
      <c r="M35" s="584"/>
      <c r="N35" s="7"/>
    </row>
    <row r="36" spans="1:35">
      <c r="A36" s="7"/>
      <c r="B36" s="7"/>
      <c r="C36" s="7" t="s">
        <v>766</v>
      </c>
      <c r="D36" s="587">
        <v>31</v>
      </c>
      <c r="E36" s="7"/>
      <c r="F36" s="7"/>
      <c r="G36" s="7"/>
      <c r="H36" s="7"/>
      <c r="I36" s="268"/>
      <c r="J36" s="268"/>
      <c r="K36" s="7"/>
      <c r="L36" s="7"/>
      <c r="M36" s="584"/>
      <c r="N36" s="7"/>
    </row>
    <row r="37" spans="1:35">
      <c r="A37" s="7"/>
      <c r="B37" s="7"/>
      <c r="C37" s="7" t="s">
        <v>767</v>
      </c>
      <c r="D37" s="587">
        <v>32</v>
      </c>
      <c r="E37" s="7"/>
      <c r="F37" s="7"/>
      <c r="G37" s="7"/>
      <c r="H37" s="7"/>
      <c r="I37" s="268"/>
      <c r="J37" s="268"/>
      <c r="K37" s="7"/>
      <c r="L37" s="7"/>
      <c r="M37" s="584"/>
      <c r="N37" s="7"/>
    </row>
    <row r="38" spans="1:35">
      <c r="A38" s="1"/>
      <c r="B38" s="1"/>
      <c r="C38" s="8" t="s">
        <v>768</v>
      </c>
      <c r="D38" s="9">
        <v>33</v>
      </c>
      <c r="E38" s="8"/>
      <c r="F38" s="8"/>
      <c r="G38" s="8"/>
      <c r="H38" s="8"/>
      <c r="I38" s="15"/>
      <c r="J38" s="15"/>
      <c r="K38" s="8"/>
      <c r="L38" s="8"/>
      <c r="M38" s="64"/>
      <c r="N38" s="8"/>
    </row>
    <row r="39" spans="1:35">
      <c r="A39" s="1"/>
      <c r="B39" s="1"/>
      <c r="C39" s="8" t="s">
        <v>769</v>
      </c>
      <c r="D39" s="9">
        <v>34</v>
      </c>
      <c r="E39" s="8"/>
      <c r="F39" s="8"/>
      <c r="G39" s="8"/>
      <c r="H39" s="8"/>
      <c r="I39" s="15"/>
      <c r="J39" s="15"/>
      <c r="K39" s="8"/>
      <c r="L39" s="8"/>
      <c r="M39" s="64"/>
      <c r="N39" s="8"/>
    </row>
    <row r="40" spans="1:35">
      <c r="A40" s="1"/>
      <c r="B40" s="1"/>
      <c r="C40" s="8" t="s">
        <v>770</v>
      </c>
      <c r="D40" s="9">
        <v>35</v>
      </c>
      <c r="E40" s="8"/>
      <c r="F40" s="8"/>
      <c r="G40" s="8"/>
      <c r="H40" s="8"/>
      <c r="I40" s="15"/>
      <c r="J40" s="15"/>
      <c r="K40" s="8"/>
      <c r="L40" s="8"/>
      <c r="M40" s="64"/>
      <c r="N40" s="8"/>
    </row>
    <row r="41" spans="1:35">
      <c r="A41" s="1"/>
      <c r="B41" s="1"/>
      <c r="C41" s="8" t="s">
        <v>771</v>
      </c>
      <c r="D41" s="9">
        <v>36</v>
      </c>
      <c r="E41" s="8"/>
      <c r="F41" s="8"/>
      <c r="G41" s="8"/>
      <c r="H41" s="8"/>
      <c r="I41" s="15"/>
      <c r="J41" s="15"/>
      <c r="K41" s="8"/>
      <c r="L41" s="8"/>
      <c r="M41" s="64"/>
      <c r="N41" s="8"/>
    </row>
    <row r="42" spans="1:35">
      <c r="A42" s="1"/>
      <c r="B42" s="1"/>
      <c r="C42" s="8" t="s">
        <v>772</v>
      </c>
      <c r="D42" s="9">
        <v>37</v>
      </c>
      <c r="E42" s="8"/>
      <c r="F42" s="8"/>
      <c r="G42" s="8"/>
      <c r="H42" s="8"/>
      <c r="I42" s="15"/>
      <c r="J42" s="15"/>
      <c r="K42" s="8"/>
      <c r="L42" s="8"/>
      <c r="M42" s="64"/>
      <c r="N42" s="8"/>
    </row>
    <row r="43" spans="1:35" s="238" customFormat="1">
      <c r="A43" s="1"/>
      <c r="B43" s="1"/>
      <c r="C43" s="8" t="s">
        <v>773</v>
      </c>
      <c r="D43" s="9">
        <v>38</v>
      </c>
      <c r="E43" s="8"/>
      <c r="F43" s="8"/>
      <c r="G43" s="8"/>
      <c r="H43" s="8"/>
      <c r="I43" s="15"/>
      <c r="J43" s="15"/>
      <c r="K43" s="8"/>
      <c r="L43" s="8"/>
      <c r="M43" s="64"/>
      <c r="N43" s="8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s="238" customFormat="1">
      <c r="A44" s="1"/>
      <c r="B44" s="1"/>
      <c r="C44" s="73" t="s">
        <v>774</v>
      </c>
      <c r="D44" s="71">
        <v>39</v>
      </c>
      <c r="E44" s="73"/>
      <c r="F44" s="73"/>
      <c r="G44" s="73"/>
      <c r="H44" s="8"/>
      <c r="I44" s="15"/>
      <c r="J44" s="15"/>
      <c r="K44" s="73"/>
      <c r="L44" s="73"/>
      <c r="M44" s="598"/>
      <c r="N44" s="73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s="238" customFormat="1">
      <c r="A45" s="1"/>
      <c r="B45" s="1"/>
      <c r="C45" s="8" t="s">
        <v>775</v>
      </c>
      <c r="D45" s="9">
        <v>40</v>
      </c>
      <c r="E45" s="8"/>
      <c r="F45" s="8"/>
      <c r="G45" s="8"/>
      <c r="H45" s="8"/>
      <c r="I45" s="15"/>
      <c r="J45" s="15"/>
      <c r="K45" s="8"/>
      <c r="L45" s="8"/>
      <c r="M45" s="64"/>
      <c r="N45" s="8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s="238" customFormat="1">
      <c r="A46" s="7"/>
      <c r="B46" s="7"/>
      <c r="C46" s="588" t="s">
        <v>776</v>
      </c>
      <c r="D46" s="589">
        <v>41</v>
      </c>
      <c r="E46" s="588"/>
      <c r="F46" s="588"/>
      <c r="G46" s="588"/>
      <c r="H46" s="7"/>
      <c r="I46" s="268"/>
      <c r="J46" s="268"/>
      <c r="K46" s="588"/>
      <c r="L46" s="588"/>
      <c r="M46" s="599"/>
      <c r="N46" s="588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s="238" customFormat="1">
      <c r="A47" s="7"/>
      <c r="B47" s="7"/>
      <c r="C47" s="7" t="s">
        <v>777</v>
      </c>
      <c r="D47" s="587">
        <v>42</v>
      </c>
      <c r="E47" s="7"/>
      <c r="F47" s="7"/>
      <c r="G47" s="7"/>
      <c r="H47" s="7"/>
      <c r="I47" s="268"/>
      <c r="J47" s="268"/>
      <c r="K47" s="7"/>
      <c r="L47" s="7"/>
      <c r="M47" s="584"/>
      <c r="N47" s="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s="238" customFormat="1">
      <c r="A48" s="7"/>
      <c r="B48" s="7"/>
      <c r="C48" s="7" t="s">
        <v>778</v>
      </c>
      <c r="D48" s="587">
        <v>43</v>
      </c>
      <c r="E48" s="7"/>
      <c r="F48" s="7"/>
      <c r="G48" s="7"/>
      <c r="H48" s="7"/>
      <c r="I48" s="268"/>
      <c r="J48" s="268"/>
      <c r="K48" s="7"/>
      <c r="L48" s="7"/>
      <c r="M48" s="584"/>
      <c r="N48" s="7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s="238" customFormat="1">
      <c r="A49" s="7"/>
      <c r="B49" s="7"/>
      <c r="C49" s="7" t="s">
        <v>779</v>
      </c>
      <c r="D49" s="587">
        <v>44</v>
      </c>
      <c r="E49" s="7"/>
      <c r="F49" s="7"/>
      <c r="G49" s="7"/>
      <c r="H49" s="7"/>
      <c r="I49" s="268"/>
      <c r="J49" s="268"/>
      <c r="K49" s="7"/>
      <c r="L49" s="7"/>
      <c r="M49" s="584"/>
      <c r="N49" s="7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s="238" customFormat="1">
      <c r="A50" s="7"/>
      <c r="B50" s="7"/>
      <c r="C50" s="7" t="s">
        <v>780</v>
      </c>
      <c r="D50" s="587">
        <v>45</v>
      </c>
      <c r="E50" s="7"/>
      <c r="F50" s="7"/>
      <c r="G50" s="7"/>
      <c r="H50" s="7"/>
      <c r="I50" s="268"/>
      <c r="J50" s="268"/>
      <c r="K50" s="7"/>
      <c r="L50" s="7"/>
      <c r="M50" s="584"/>
      <c r="N50" s="7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s="238" customFormat="1">
      <c r="A51" s="7"/>
      <c r="B51" s="7"/>
      <c r="C51" s="7" t="s">
        <v>781</v>
      </c>
      <c r="D51" s="587">
        <v>46</v>
      </c>
      <c r="E51" s="7"/>
      <c r="F51" s="7"/>
      <c r="G51" s="7"/>
      <c r="H51" s="7"/>
      <c r="I51" s="268"/>
      <c r="J51" s="268"/>
      <c r="K51" s="7"/>
      <c r="L51" s="7"/>
      <c r="M51" s="584"/>
      <c r="N51" s="7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s="238" customFormat="1">
      <c r="A52" s="7"/>
      <c r="B52" s="7"/>
      <c r="C52" s="7" t="s">
        <v>782</v>
      </c>
      <c r="D52" s="587">
        <v>47</v>
      </c>
      <c r="E52" s="7"/>
      <c r="F52" s="7"/>
      <c r="G52" s="7"/>
      <c r="H52" s="7"/>
      <c r="I52" s="268"/>
      <c r="J52" s="268"/>
      <c r="K52" s="7"/>
      <c r="L52" s="7"/>
      <c r="M52" s="584"/>
      <c r="N52" s="7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s="238" customFormat="1">
      <c r="A53" s="7"/>
      <c r="B53" s="7"/>
      <c r="C53" s="7" t="s">
        <v>783</v>
      </c>
      <c r="D53" s="587">
        <v>48</v>
      </c>
      <c r="E53" s="7"/>
      <c r="F53" s="7"/>
      <c r="G53" s="7"/>
      <c r="H53" s="7"/>
      <c r="I53" s="268"/>
      <c r="J53" s="268"/>
      <c r="K53" s="7"/>
      <c r="L53" s="7"/>
      <c r="M53" s="584"/>
      <c r="N53" s="7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s="238" customFormat="1">
      <c r="A54" s="7"/>
      <c r="B54" s="7"/>
      <c r="C54" s="8" t="s">
        <v>784</v>
      </c>
      <c r="D54" s="9">
        <v>49</v>
      </c>
      <c r="E54" s="8"/>
      <c r="F54" s="8"/>
      <c r="G54" s="8"/>
      <c r="H54" s="8"/>
      <c r="I54" s="15"/>
      <c r="J54" s="15"/>
      <c r="K54" s="15"/>
      <c r="L54" s="15"/>
      <c r="M54" s="64"/>
      <c r="N54" s="15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s="238" customFormat="1">
      <c r="A55" s="7"/>
      <c r="B55" s="7"/>
      <c r="C55" s="8" t="s">
        <v>785</v>
      </c>
      <c r="D55" s="9">
        <v>50</v>
      </c>
      <c r="E55" s="8"/>
      <c r="F55" s="8"/>
      <c r="G55" s="8"/>
      <c r="H55" s="8"/>
      <c r="I55" s="15"/>
      <c r="J55" s="15"/>
      <c r="K55" s="15"/>
      <c r="L55" s="15"/>
      <c r="M55" s="64"/>
      <c r="N55" s="1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s="238" customFormat="1">
      <c r="A56" s="7"/>
      <c r="B56" s="7"/>
      <c r="C56" s="8" t="s">
        <v>786</v>
      </c>
      <c r="D56" s="9">
        <v>51</v>
      </c>
      <c r="E56" s="8"/>
      <c r="F56" s="8"/>
      <c r="G56" s="8"/>
      <c r="H56" s="8"/>
      <c r="I56" s="15"/>
      <c r="J56" s="15"/>
      <c r="K56" s="14"/>
      <c r="L56" s="14"/>
      <c r="M56" s="64"/>
      <c r="N56" s="14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s="238" customFormat="1">
      <c r="A57" s="7"/>
      <c r="B57" s="7"/>
      <c r="C57" s="8" t="s">
        <v>787</v>
      </c>
      <c r="D57" s="9">
        <v>52</v>
      </c>
      <c r="E57" s="8"/>
      <c r="F57" s="8"/>
      <c r="G57" s="8"/>
      <c r="H57" s="8"/>
      <c r="I57" s="15"/>
      <c r="J57" s="15"/>
      <c r="K57" s="14"/>
      <c r="L57" s="14"/>
      <c r="M57" s="64"/>
      <c r="N57" s="14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s="238" customFormat="1">
      <c r="A58" s="7"/>
      <c r="B58" s="7"/>
      <c r="C58" s="8" t="s">
        <v>788</v>
      </c>
      <c r="D58" s="9">
        <v>53</v>
      </c>
      <c r="E58" s="8"/>
      <c r="F58" s="8"/>
      <c r="G58" s="8"/>
      <c r="H58" s="8"/>
      <c r="I58" s="15"/>
      <c r="J58" s="15"/>
      <c r="K58" s="14"/>
      <c r="L58" s="14"/>
      <c r="M58" s="64"/>
      <c r="N58" s="14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s="238" customFormat="1">
      <c r="A59" s="7"/>
      <c r="B59" s="7"/>
      <c r="C59" s="8" t="s">
        <v>789</v>
      </c>
      <c r="D59" s="9">
        <v>54</v>
      </c>
      <c r="E59" s="8"/>
      <c r="F59" s="8"/>
      <c r="G59" s="8"/>
      <c r="H59" s="8"/>
      <c r="I59" s="15"/>
      <c r="J59" s="15"/>
      <c r="K59" s="8"/>
      <c r="L59" s="8"/>
      <c r="M59" s="64"/>
      <c r="N59" s="8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s="238" customFormat="1">
      <c r="A60" s="7"/>
      <c r="B60" s="7"/>
      <c r="C60" s="8" t="s">
        <v>790</v>
      </c>
      <c r="D60" s="9">
        <v>55</v>
      </c>
      <c r="E60" s="8"/>
      <c r="F60" s="8"/>
      <c r="G60" s="8"/>
      <c r="H60" s="8"/>
      <c r="I60" s="15"/>
      <c r="J60" s="15"/>
      <c r="K60" s="8"/>
      <c r="L60" s="8"/>
      <c r="M60" s="64"/>
      <c r="N60" s="8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s="238" customFormat="1">
      <c r="A61" s="7"/>
      <c r="B61" s="7"/>
      <c r="C61" s="8" t="s">
        <v>791</v>
      </c>
      <c r="D61" s="9">
        <v>56</v>
      </c>
      <c r="E61" s="8"/>
      <c r="F61" s="8"/>
      <c r="G61" s="8"/>
      <c r="H61" s="8"/>
      <c r="I61" s="15"/>
      <c r="J61" s="15"/>
      <c r="K61" s="8"/>
      <c r="L61" s="8"/>
      <c r="M61" s="64"/>
      <c r="N61" s="8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s="238" customFormat="1">
      <c r="A62" s="7"/>
      <c r="B62" s="7"/>
      <c r="C62" s="7" t="s">
        <v>792</v>
      </c>
      <c r="D62" s="587">
        <v>57</v>
      </c>
      <c r="E62" s="7"/>
      <c r="F62" s="7"/>
      <c r="G62" s="7"/>
      <c r="H62" s="7"/>
      <c r="I62" s="268"/>
      <c r="J62" s="268"/>
      <c r="K62" s="7"/>
      <c r="L62" s="7"/>
      <c r="M62" s="584"/>
      <c r="N62" s="7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s="238" customFormat="1">
      <c r="A63" s="7"/>
      <c r="B63" s="7"/>
      <c r="C63" s="7" t="s">
        <v>793</v>
      </c>
      <c r="D63" s="587">
        <v>58</v>
      </c>
      <c r="E63" s="7"/>
      <c r="F63" s="7"/>
      <c r="G63" s="7"/>
      <c r="H63" s="7"/>
      <c r="I63" s="268"/>
      <c r="J63" s="268"/>
      <c r="K63" s="7"/>
      <c r="L63" s="7"/>
      <c r="M63" s="584"/>
      <c r="N63" s="7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s="238" customFormat="1">
      <c r="A64" s="7"/>
      <c r="B64" s="7"/>
      <c r="C64" s="7" t="s">
        <v>794</v>
      </c>
      <c r="D64" s="587">
        <v>59</v>
      </c>
      <c r="E64" s="7"/>
      <c r="F64" s="7"/>
      <c r="G64" s="7"/>
      <c r="H64" s="7"/>
      <c r="I64" s="268"/>
      <c r="J64" s="268"/>
      <c r="K64" s="7"/>
      <c r="L64" s="7"/>
      <c r="M64" s="584"/>
      <c r="N64" s="7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s="238" customFormat="1">
      <c r="A65" s="7"/>
      <c r="B65" s="7"/>
      <c r="C65" s="7" t="s">
        <v>795</v>
      </c>
      <c r="D65" s="587">
        <v>60</v>
      </c>
      <c r="E65" s="7"/>
      <c r="F65" s="7"/>
      <c r="G65" s="7"/>
      <c r="H65" s="7"/>
      <c r="I65" s="268"/>
      <c r="J65" s="268"/>
      <c r="K65" s="7"/>
      <c r="L65" s="7"/>
      <c r="M65" s="584"/>
      <c r="N65" s="7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s="238" customFormat="1">
      <c r="A66" s="7"/>
      <c r="B66" s="7"/>
      <c r="C66" s="7" t="s">
        <v>796</v>
      </c>
      <c r="D66" s="587">
        <v>61</v>
      </c>
      <c r="E66" s="7"/>
      <c r="F66" s="7"/>
      <c r="G66" s="7"/>
      <c r="H66" s="7"/>
      <c r="I66" s="268"/>
      <c r="J66" s="268"/>
      <c r="K66" s="7"/>
      <c r="L66" s="7"/>
      <c r="M66" s="584"/>
      <c r="N66" s="7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s="238" customFormat="1">
      <c r="A67" s="7"/>
      <c r="B67" s="7"/>
      <c r="C67" s="7" t="s">
        <v>797</v>
      </c>
      <c r="D67" s="587">
        <v>62</v>
      </c>
      <c r="E67" s="7"/>
      <c r="F67" s="7"/>
      <c r="G67" s="7"/>
      <c r="H67" s="7"/>
      <c r="I67" s="268"/>
      <c r="J67" s="268"/>
      <c r="K67" s="7"/>
      <c r="L67" s="7"/>
      <c r="M67" s="584"/>
      <c r="N67" s="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s="238" customFormat="1">
      <c r="A68" s="7"/>
      <c r="B68" s="7"/>
      <c r="C68" s="590" t="s">
        <v>798</v>
      </c>
      <c r="D68" s="591">
        <v>63</v>
      </c>
      <c r="E68" s="590"/>
      <c r="F68" s="590"/>
      <c r="G68" s="590"/>
      <c r="H68" s="7"/>
      <c r="I68" s="268"/>
      <c r="J68" s="268"/>
      <c r="K68" s="590"/>
      <c r="L68" s="590"/>
      <c r="M68" s="600"/>
      <c r="N68" s="590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s="238" customFormat="1">
      <c r="A69" s="7"/>
      <c r="B69" s="7"/>
      <c r="C69" s="7" t="s">
        <v>799</v>
      </c>
      <c r="D69" s="587">
        <v>64</v>
      </c>
      <c r="E69" s="7"/>
      <c r="F69" s="7"/>
      <c r="G69" s="7"/>
      <c r="H69" s="7"/>
      <c r="I69" s="268"/>
      <c r="J69" s="268"/>
      <c r="K69" s="7"/>
      <c r="L69" s="7"/>
      <c r="M69" s="584"/>
      <c r="N69" s="7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s="238" customFormat="1">
      <c r="A70" s="7"/>
      <c r="B70" s="7"/>
      <c r="C70" s="19" t="s">
        <v>800</v>
      </c>
      <c r="D70" s="18">
        <v>65</v>
      </c>
      <c r="E70" s="19"/>
      <c r="F70" s="19"/>
      <c r="G70" s="19"/>
      <c r="H70" s="8"/>
      <c r="I70" s="15"/>
      <c r="J70" s="15"/>
      <c r="K70" s="19"/>
      <c r="L70" s="19"/>
      <c r="M70" s="586"/>
      <c r="N70" s="19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s="238" customFormat="1">
      <c r="A71" s="7"/>
      <c r="B71" s="7"/>
      <c r="C71" s="8" t="s">
        <v>801</v>
      </c>
      <c r="D71" s="9">
        <v>66</v>
      </c>
      <c r="E71" s="8"/>
      <c r="F71" s="8"/>
      <c r="G71" s="8"/>
      <c r="H71" s="8"/>
      <c r="I71" s="15"/>
      <c r="J71" s="15"/>
      <c r="K71" s="8"/>
      <c r="L71" s="8"/>
      <c r="M71" s="64"/>
      <c r="N71" s="8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s="238" customFormat="1">
      <c r="A72" s="7"/>
      <c r="B72" s="7"/>
      <c r="C72" s="8" t="s">
        <v>802</v>
      </c>
      <c r="D72" s="9">
        <v>67</v>
      </c>
      <c r="E72" s="8"/>
      <c r="F72" s="8"/>
      <c r="G72" s="8"/>
      <c r="H72" s="8"/>
      <c r="I72" s="15"/>
      <c r="J72" s="15"/>
      <c r="K72" s="8"/>
      <c r="L72" s="8"/>
      <c r="M72" s="64"/>
      <c r="N72" s="8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s="238" customFormat="1">
      <c r="A73" s="7"/>
      <c r="B73" s="7"/>
      <c r="C73" s="8" t="s">
        <v>803</v>
      </c>
      <c r="D73" s="9">
        <v>68</v>
      </c>
      <c r="E73" s="8"/>
      <c r="F73" s="8"/>
      <c r="G73" s="8"/>
      <c r="H73" s="8"/>
      <c r="I73" s="15"/>
      <c r="J73" s="15"/>
      <c r="K73" s="8"/>
      <c r="L73" s="8"/>
      <c r="M73" s="64"/>
      <c r="N73" s="8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s="238" customFormat="1">
      <c r="A74" s="7"/>
      <c r="B74" s="7"/>
      <c r="C74" s="8" t="s">
        <v>804</v>
      </c>
      <c r="D74" s="9">
        <v>69</v>
      </c>
      <c r="E74" s="8"/>
      <c r="F74" s="8"/>
      <c r="G74" s="8"/>
      <c r="H74" s="8"/>
      <c r="I74" s="15"/>
      <c r="J74" s="15"/>
      <c r="K74" s="8"/>
      <c r="L74" s="8"/>
      <c r="M74" s="64"/>
      <c r="N74" s="8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s="238" customFormat="1">
      <c r="A75" s="7"/>
      <c r="B75" s="7"/>
      <c r="C75" s="8" t="s">
        <v>805</v>
      </c>
      <c r="D75" s="9">
        <v>70</v>
      </c>
      <c r="E75" s="8"/>
      <c r="F75" s="8"/>
      <c r="G75" s="8"/>
      <c r="H75" s="8"/>
      <c r="I75" s="15"/>
      <c r="J75" s="15"/>
      <c r="K75" s="8"/>
      <c r="L75" s="8"/>
      <c r="M75" s="64"/>
      <c r="N75" s="8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s="238" customFormat="1">
      <c r="A76" s="7"/>
      <c r="B76" s="7"/>
      <c r="C76" s="8" t="s">
        <v>806</v>
      </c>
      <c r="D76" s="9">
        <v>71</v>
      </c>
      <c r="E76" s="8"/>
      <c r="F76" s="8"/>
      <c r="G76" s="8"/>
      <c r="H76" s="8"/>
      <c r="I76" s="15"/>
      <c r="J76" s="15"/>
      <c r="K76" s="8"/>
      <c r="L76" s="8"/>
      <c r="M76" s="64"/>
      <c r="N76" s="8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s="238" customFormat="1">
      <c r="A77" s="7"/>
      <c r="B77" s="7"/>
      <c r="C77" s="8" t="s">
        <v>807</v>
      </c>
      <c r="D77" s="9">
        <v>72</v>
      </c>
      <c r="E77" s="8"/>
      <c r="F77" s="8"/>
      <c r="G77" s="8"/>
      <c r="H77" s="8"/>
      <c r="I77" s="15"/>
      <c r="J77" s="15"/>
      <c r="K77" s="8"/>
      <c r="L77" s="8"/>
      <c r="M77" s="64"/>
      <c r="N77" s="8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s="238" customFormat="1">
      <c r="A78" s="7"/>
      <c r="B78" s="7"/>
      <c r="C78" s="7" t="s">
        <v>233</v>
      </c>
      <c r="D78" s="587">
        <v>73</v>
      </c>
      <c r="E78" s="7"/>
      <c r="F78" s="7"/>
      <c r="G78" s="7"/>
      <c r="H78" s="7"/>
      <c r="I78" s="268"/>
      <c r="J78" s="268"/>
      <c r="K78" s="268"/>
      <c r="L78" s="268"/>
      <c r="M78" s="584"/>
      <c r="N78" s="26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s="238" customFormat="1">
      <c r="A79" s="7"/>
      <c r="B79" s="7"/>
      <c r="C79" s="7" t="s">
        <v>234</v>
      </c>
      <c r="D79" s="587">
        <v>74</v>
      </c>
      <c r="E79" s="7"/>
      <c r="F79" s="7"/>
      <c r="G79" s="7"/>
      <c r="H79" s="7"/>
      <c r="I79" s="268"/>
      <c r="J79" s="268"/>
      <c r="K79" s="268"/>
      <c r="L79" s="268"/>
      <c r="M79" s="584"/>
      <c r="N79" s="268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s="238" customFormat="1">
      <c r="A80" s="7"/>
      <c r="B80" s="7"/>
      <c r="C80" s="7" t="s">
        <v>235</v>
      </c>
      <c r="D80" s="587">
        <v>75</v>
      </c>
      <c r="E80" s="7"/>
      <c r="F80" s="7"/>
      <c r="G80" s="7"/>
      <c r="H80" s="7"/>
      <c r="I80" s="268"/>
      <c r="J80" s="268"/>
      <c r="K80" s="583"/>
      <c r="L80" s="583"/>
      <c r="M80" s="584"/>
      <c r="N80" s="583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s="238" customFormat="1">
      <c r="A81" s="7"/>
      <c r="B81" s="7"/>
      <c r="C81" s="7" t="s">
        <v>236</v>
      </c>
      <c r="D81" s="587">
        <v>76</v>
      </c>
      <c r="E81" s="7"/>
      <c r="F81" s="7"/>
      <c r="G81" s="7"/>
      <c r="H81" s="7"/>
      <c r="I81" s="268"/>
      <c r="J81" s="268"/>
      <c r="K81" s="583"/>
      <c r="L81" s="583"/>
      <c r="M81" s="584"/>
      <c r="N81" s="583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s="238" customFormat="1">
      <c r="A82" s="7"/>
      <c r="B82" s="7"/>
      <c r="C82" s="7" t="s">
        <v>237</v>
      </c>
      <c r="D82" s="587">
        <v>77</v>
      </c>
      <c r="E82" s="7"/>
      <c r="F82" s="7"/>
      <c r="G82" s="7"/>
      <c r="H82" s="7"/>
      <c r="I82" s="268"/>
      <c r="J82" s="268"/>
      <c r="K82" s="583"/>
      <c r="L82" s="583"/>
      <c r="M82" s="584"/>
      <c r="N82" s="583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s="238" customFormat="1">
      <c r="A83" s="7"/>
      <c r="B83" s="7"/>
      <c r="C83" s="7" t="s">
        <v>238</v>
      </c>
      <c r="D83" s="587">
        <v>78</v>
      </c>
      <c r="E83" s="7"/>
      <c r="F83" s="7"/>
      <c r="G83" s="7"/>
      <c r="H83" s="7"/>
      <c r="I83" s="268"/>
      <c r="J83" s="268"/>
      <c r="K83" s="7"/>
      <c r="L83" s="7"/>
      <c r="M83" s="584"/>
      <c r="N83" s="7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s="238" customFormat="1">
      <c r="A84" s="7"/>
      <c r="B84" s="7"/>
      <c r="C84" s="7" t="s">
        <v>239</v>
      </c>
      <c r="D84" s="587">
        <v>79</v>
      </c>
      <c r="E84" s="7"/>
      <c r="F84" s="7"/>
      <c r="G84" s="7"/>
      <c r="H84" s="7"/>
      <c r="I84" s="268"/>
      <c r="J84" s="268"/>
      <c r="K84" s="7"/>
      <c r="L84" s="7"/>
      <c r="M84" s="584"/>
      <c r="N84" s="7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s="238" customFormat="1">
      <c r="A85" s="7"/>
      <c r="B85" s="7"/>
      <c r="C85" s="7" t="s">
        <v>240</v>
      </c>
      <c r="D85" s="587">
        <v>80</v>
      </c>
      <c r="E85" s="7"/>
      <c r="F85" s="7"/>
      <c r="G85" s="7"/>
      <c r="H85" s="7"/>
      <c r="I85" s="268"/>
      <c r="J85" s="268"/>
      <c r="K85" s="7"/>
      <c r="L85" s="7"/>
      <c r="M85" s="584"/>
      <c r="N85" s="7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s="238" customFormat="1">
      <c r="A86" s="7"/>
      <c r="B86" s="7"/>
      <c r="C86" s="8" t="s">
        <v>241</v>
      </c>
      <c r="D86" s="9">
        <v>81</v>
      </c>
      <c r="E86" s="8"/>
      <c r="F86" s="8"/>
      <c r="G86" s="8"/>
      <c r="H86" s="8"/>
      <c r="I86" s="15"/>
      <c r="J86" s="15"/>
      <c r="K86" s="8"/>
      <c r="L86" s="8"/>
      <c r="M86" s="64"/>
      <c r="N86" s="8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s="238" customFormat="1">
      <c r="A87" s="7"/>
      <c r="B87" s="7"/>
      <c r="C87" s="8" t="s">
        <v>242</v>
      </c>
      <c r="D87" s="9">
        <v>82</v>
      </c>
      <c r="E87" s="8"/>
      <c r="F87" s="8"/>
      <c r="G87" s="8"/>
      <c r="H87" s="8"/>
      <c r="I87" s="15"/>
      <c r="J87" s="15"/>
      <c r="K87" s="8"/>
      <c r="L87" s="8"/>
      <c r="M87" s="64"/>
      <c r="N87" s="8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s="238" customFormat="1">
      <c r="A88" s="7"/>
      <c r="B88" s="7"/>
      <c r="C88" s="8" t="s">
        <v>243</v>
      </c>
      <c r="D88" s="9">
        <v>83</v>
      </c>
      <c r="E88" s="8"/>
      <c r="F88" s="8"/>
      <c r="G88" s="8"/>
      <c r="H88" s="8"/>
      <c r="I88" s="15"/>
      <c r="J88" s="15"/>
      <c r="K88" s="8"/>
      <c r="L88" s="8"/>
      <c r="M88" s="64"/>
      <c r="N88" s="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s="238" customFormat="1">
      <c r="A89" s="7"/>
      <c r="B89" s="7"/>
      <c r="C89" s="8" t="s">
        <v>244</v>
      </c>
      <c r="D89" s="9">
        <v>84</v>
      </c>
      <c r="E89" s="8"/>
      <c r="F89" s="8"/>
      <c r="G89" s="8"/>
      <c r="H89" s="8"/>
      <c r="I89" s="15"/>
      <c r="J89" s="15"/>
      <c r="K89" s="8"/>
      <c r="L89" s="8"/>
      <c r="M89" s="64"/>
      <c r="N89" s="8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s="238" customFormat="1">
      <c r="A90" s="7"/>
      <c r="B90" s="7"/>
      <c r="C90" s="8" t="s">
        <v>245</v>
      </c>
      <c r="D90" s="9">
        <v>85</v>
      </c>
      <c r="E90" s="8"/>
      <c r="F90" s="8"/>
      <c r="G90" s="8"/>
      <c r="H90" s="8"/>
      <c r="I90" s="15"/>
      <c r="J90" s="15"/>
      <c r="K90" s="8"/>
      <c r="L90" s="8"/>
      <c r="M90" s="64"/>
      <c r="N90" s="8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s="238" customFormat="1">
      <c r="A91" s="7"/>
      <c r="B91" s="7"/>
      <c r="C91" s="8" t="s">
        <v>246</v>
      </c>
      <c r="D91" s="9">
        <v>86</v>
      </c>
      <c r="E91" s="8"/>
      <c r="F91" s="8"/>
      <c r="G91" s="8"/>
      <c r="H91" s="8"/>
      <c r="I91" s="15"/>
      <c r="J91" s="15"/>
      <c r="K91" s="8"/>
      <c r="L91" s="8"/>
      <c r="M91" s="64"/>
      <c r="N91" s="8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s="238" customFormat="1">
      <c r="A92" s="7"/>
      <c r="B92" s="7"/>
      <c r="C92" s="73" t="s">
        <v>247</v>
      </c>
      <c r="D92" s="71">
        <v>87</v>
      </c>
      <c r="E92" s="73"/>
      <c r="F92" s="73"/>
      <c r="G92" s="73"/>
      <c r="H92" s="8"/>
      <c r="I92" s="15"/>
      <c r="J92" s="15"/>
      <c r="K92" s="73"/>
      <c r="L92" s="73"/>
      <c r="M92" s="598"/>
      <c r="N92" s="73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s="238" customFormat="1">
      <c r="A93" s="7"/>
      <c r="B93" s="7"/>
      <c r="C93" s="8" t="s">
        <v>248</v>
      </c>
      <c r="D93" s="9">
        <v>88</v>
      </c>
      <c r="E93" s="8"/>
      <c r="F93" s="8"/>
      <c r="G93" s="8"/>
      <c r="H93" s="8"/>
      <c r="I93" s="15"/>
      <c r="J93" s="15"/>
      <c r="K93" s="8"/>
      <c r="L93" s="8"/>
      <c r="M93" s="64"/>
      <c r="N93" s="8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s="238" customFormat="1">
      <c r="A94" s="7"/>
      <c r="B94" s="7"/>
      <c r="C94" s="588" t="s">
        <v>249</v>
      </c>
      <c r="D94" s="589">
        <v>89</v>
      </c>
      <c r="E94" s="588"/>
      <c r="F94" s="588"/>
      <c r="G94" s="588"/>
      <c r="H94" s="7"/>
      <c r="I94" s="268"/>
      <c r="J94" s="268"/>
      <c r="K94" s="588"/>
      <c r="L94" s="588"/>
      <c r="M94" s="599"/>
      <c r="N94" s="588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s="238" customFormat="1">
      <c r="A95" s="7"/>
      <c r="B95" s="7"/>
      <c r="C95" s="7" t="s">
        <v>250</v>
      </c>
      <c r="D95" s="587">
        <v>90</v>
      </c>
      <c r="E95" s="7"/>
      <c r="F95" s="7"/>
      <c r="G95" s="7"/>
      <c r="H95" s="7"/>
      <c r="I95" s="268"/>
      <c r="J95" s="268"/>
      <c r="K95" s="7"/>
      <c r="L95" s="7"/>
      <c r="M95" s="584"/>
      <c r="N95" s="7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s="238" customFormat="1">
      <c r="A96" s="7"/>
      <c r="B96" s="7"/>
      <c r="C96" s="7" t="s">
        <v>251</v>
      </c>
      <c r="D96" s="587">
        <v>91</v>
      </c>
      <c r="E96" s="7"/>
      <c r="F96" s="7"/>
      <c r="G96" s="7"/>
      <c r="H96" s="7"/>
      <c r="I96" s="268"/>
      <c r="J96" s="268"/>
      <c r="K96" s="7"/>
      <c r="L96" s="7"/>
      <c r="M96" s="584"/>
      <c r="N96" s="7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s="238" customFormat="1">
      <c r="A97" s="7"/>
      <c r="B97" s="7"/>
      <c r="C97" s="7" t="s">
        <v>252</v>
      </c>
      <c r="D97" s="587">
        <v>92</v>
      </c>
      <c r="E97" s="7"/>
      <c r="F97" s="7"/>
      <c r="G97" s="7"/>
      <c r="H97" s="7"/>
      <c r="I97" s="268"/>
      <c r="J97" s="268"/>
      <c r="K97" s="7"/>
      <c r="L97" s="7"/>
      <c r="M97" s="584"/>
      <c r="N97" s="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s="238" customFormat="1">
      <c r="A98" s="7"/>
      <c r="B98" s="7"/>
      <c r="C98" s="7" t="s">
        <v>253</v>
      </c>
      <c r="D98" s="587">
        <v>93</v>
      </c>
      <c r="E98" s="7"/>
      <c r="F98" s="7"/>
      <c r="G98" s="7"/>
      <c r="H98" s="7"/>
      <c r="I98" s="268"/>
      <c r="J98" s="268"/>
      <c r="K98" s="7"/>
      <c r="L98" s="7"/>
      <c r="M98" s="584"/>
      <c r="N98" s="7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>
      <c r="A99" s="7"/>
      <c r="B99" s="7"/>
      <c r="C99" s="7" t="s">
        <v>254</v>
      </c>
      <c r="D99" s="587">
        <v>94</v>
      </c>
      <c r="E99" s="7"/>
      <c r="F99" s="7"/>
      <c r="G99" s="7"/>
      <c r="H99" s="7"/>
      <c r="I99" s="268"/>
      <c r="J99" s="268"/>
      <c r="K99" s="7"/>
      <c r="L99" s="7"/>
      <c r="M99" s="584"/>
      <c r="N99" s="7"/>
    </row>
    <row r="100" spans="1:35">
      <c r="A100" s="7"/>
      <c r="B100" s="7"/>
      <c r="C100" s="7" t="s">
        <v>255</v>
      </c>
      <c r="D100" s="587">
        <v>95</v>
      </c>
      <c r="E100" s="7"/>
      <c r="F100" s="7"/>
      <c r="G100" s="7"/>
      <c r="H100" s="7"/>
      <c r="I100" s="268"/>
      <c r="J100" s="268"/>
      <c r="K100" s="7"/>
      <c r="L100" s="7"/>
      <c r="M100" s="584"/>
      <c r="N100" s="7"/>
    </row>
    <row r="101" spans="1:35">
      <c r="A101" s="7"/>
      <c r="B101" s="7"/>
      <c r="C101" s="7" t="s">
        <v>256</v>
      </c>
      <c r="D101" s="587">
        <v>96</v>
      </c>
      <c r="E101" s="7"/>
      <c r="F101" s="7"/>
      <c r="G101" s="7"/>
      <c r="H101" s="7"/>
      <c r="I101" s="268"/>
      <c r="J101" s="268"/>
      <c r="K101" s="7"/>
      <c r="L101" s="7"/>
      <c r="M101" s="584"/>
      <c r="N101" s="7"/>
    </row>
  </sheetData>
  <customSheetViews>
    <customSheetView guid="{A4BD9991-0908-4EDC-898A-8A5DE615ED00}" scale="85">
      <selection activeCell="M6" sqref="M6:M101"/>
      <pageMargins left="0.7" right="0.7" top="0.75" bottom="0.75" header="0.3" footer="0.3"/>
    </customSheetView>
  </customSheetViews>
  <mergeCells count="5">
    <mergeCell ref="A3:A4"/>
    <mergeCell ref="B3:B4"/>
    <mergeCell ref="M3:M4"/>
    <mergeCell ref="N3:N4"/>
    <mergeCell ref="A1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20A5-4518-4259-ACF5-3560F410318E}">
  <sheetPr codeName="Sheet18">
    <tabColor theme="5" tint="-0.249977111117893"/>
  </sheetPr>
  <dimension ref="A1:BM297"/>
  <sheetViews>
    <sheetView zoomScale="70" zoomScaleNormal="70" workbookViewId="0">
      <selection activeCell="AH15" sqref="AH15"/>
    </sheetView>
  </sheetViews>
  <sheetFormatPr defaultColWidth="9.140625" defaultRowHeight="15"/>
  <cols>
    <col min="5" max="5" width="16.42578125" customWidth="1"/>
    <col min="6" max="6" width="12" hidden="1" customWidth="1"/>
    <col min="7" max="7" width="10.140625" hidden="1" customWidth="1"/>
    <col min="8" max="8" width="11.7109375" customWidth="1"/>
    <col min="9" max="10" width="11.7109375" hidden="1" customWidth="1"/>
    <col min="24" max="24" width="11.140625" customWidth="1"/>
    <col min="25" max="26" width="11.28515625" customWidth="1"/>
    <col min="27" max="27" width="14.140625" customWidth="1"/>
    <col min="28" max="28" width="20.28515625" customWidth="1"/>
    <col min="29" max="29" width="16.7109375" customWidth="1"/>
    <col min="32" max="32" width="10" customWidth="1"/>
    <col min="34" max="34" width="23.140625" customWidth="1"/>
  </cols>
  <sheetData>
    <row r="1" spans="1:65" ht="15.75" thickBot="1"/>
    <row r="2" spans="1:65" ht="30.75" customHeight="1" thickTop="1">
      <c r="A2" s="575"/>
      <c r="B2" s="782" t="s">
        <v>1106</v>
      </c>
      <c r="C2" s="783"/>
      <c r="D2" s="783"/>
      <c r="E2" s="783"/>
      <c r="F2" s="783"/>
      <c r="G2" s="783"/>
      <c r="H2" s="784"/>
      <c r="I2" s="577"/>
      <c r="J2" s="577"/>
      <c r="K2" s="788" t="s">
        <v>1105</v>
      </c>
      <c r="L2" s="788"/>
      <c r="M2" s="789"/>
      <c r="P2" t="s">
        <v>1104</v>
      </c>
      <c r="T2" s="792" t="s">
        <v>1103</v>
      </c>
      <c r="U2" s="793"/>
      <c r="V2" s="793"/>
      <c r="W2" s="793"/>
      <c r="X2" s="793"/>
      <c r="Y2" s="793"/>
      <c r="Z2" s="793"/>
      <c r="AA2" s="793"/>
      <c r="AB2" s="793"/>
      <c r="AC2" s="793"/>
      <c r="AD2" s="793"/>
      <c r="AE2" s="793"/>
      <c r="AF2" s="793"/>
      <c r="AG2" s="793"/>
      <c r="AH2" s="793"/>
      <c r="AI2" s="793"/>
      <c r="AJ2" s="793"/>
      <c r="AK2" s="793"/>
      <c r="AL2" s="793"/>
      <c r="AM2" s="794"/>
      <c r="AQ2" s="578" t="s">
        <v>1102</v>
      </c>
      <c r="AR2" s="577"/>
      <c r="AS2" s="577"/>
      <c r="AT2" s="577"/>
      <c r="AU2" s="577"/>
      <c r="AV2" s="577"/>
      <c r="AW2" s="577"/>
      <c r="AX2" s="577"/>
      <c r="AY2" s="577"/>
      <c r="AZ2" s="577"/>
      <c r="BA2" s="577"/>
      <c r="BB2" s="577"/>
      <c r="BC2" s="577"/>
      <c r="BD2" s="577"/>
      <c r="BE2" s="577"/>
      <c r="BF2" s="577"/>
      <c r="BG2" s="577"/>
      <c r="BH2" s="577"/>
      <c r="BI2" s="577"/>
      <c r="BJ2" s="577"/>
      <c r="BK2" s="577"/>
      <c r="BL2" s="577"/>
      <c r="BM2" s="576"/>
    </row>
    <row r="3" spans="1:65" ht="15.75" thickBot="1">
      <c r="A3" s="575"/>
      <c r="B3" s="785"/>
      <c r="C3" s="786"/>
      <c r="D3" s="786"/>
      <c r="E3" s="786"/>
      <c r="F3" s="786"/>
      <c r="G3" s="786"/>
      <c r="H3" s="787"/>
      <c r="I3" s="573"/>
      <c r="J3" s="573"/>
      <c r="K3" s="790"/>
      <c r="L3" s="790"/>
      <c r="M3" s="791"/>
      <c r="T3" s="795"/>
      <c r="U3" s="796"/>
      <c r="V3" s="796"/>
      <c r="W3" s="796"/>
      <c r="X3" s="796"/>
      <c r="Y3" s="796"/>
      <c r="Z3" s="796"/>
      <c r="AA3" s="796"/>
      <c r="AB3" s="796"/>
      <c r="AC3" s="796"/>
      <c r="AD3" s="796"/>
      <c r="AE3" s="796"/>
      <c r="AF3" s="796"/>
      <c r="AG3" s="796"/>
      <c r="AH3" s="796"/>
      <c r="AI3" s="796"/>
      <c r="AJ3" s="796"/>
      <c r="AK3" s="796"/>
      <c r="AL3" s="796"/>
      <c r="AM3" s="797"/>
      <c r="AQ3" s="574"/>
      <c r="AR3" s="573"/>
      <c r="AS3" s="573"/>
      <c r="AT3" s="573"/>
      <c r="AU3" s="573"/>
      <c r="AV3" s="573"/>
      <c r="AW3" s="573"/>
      <c r="AX3" s="573"/>
      <c r="AY3" s="573"/>
      <c r="AZ3" s="573"/>
      <c r="BA3" s="573"/>
      <c r="BB3" s="573"/>
      <c r="BC3" s="573"/>
      <c r="BD3" s="573"/>
      <c r="BE3" s="573"/>
      <c r="BF3" s="573"/>
      <c r="BG3" s="573"/>
      <c r="BH3" s="573"/>
      <c r="BI3" s="573"/>
      <c r="BJ3" s="573"/>
      <c r="BK3" s="573"/>
      <c r="BL3" s="573"/>
      <c r="BM3" s="572"/>
    </row>
    <row r="4" spans="1:65" ht="3" customHeight="1" thickTop="1" thickBot="1"/>
    <row r="5" spans="1:65" ht="75.75" thickTop="1">
      <c r="B5" s="571" t="s">
        <v>1090</v>
      </c>
      <c r="C5" s="558" t="s">
        <v>1089</v>
      </c>
      <c r="D5" s="564" t="s">
        <v>1088</v>
      </c>
      <c r="E5" s="558" t="s">
        <v>1101</v>
      </c>
      <c r="F5" s="558" t="s">
        <v>1100</v>
      </c>
      <c r="G5" s="558" t="s">
        <v>1099</v>
      </c>
      <c r="H5" s="558" t="s">
        <v>1098</v>
      </c>
      <c r="I5" s="558" t="s">
        <v>1097</v>
      </c>
      <c r="J5" s="558" t="s">
        <v>1096</v>
      </c>
      <c r="K5" s="566" t="s">
        <v>1095</v>
      </c>
      <c r="L5" s="566" t="s">
        <v>1094</v>
      </c>
      <c r="M5" s="565" t="s">
        <v>1093</v>
      </c>
      <c r="N5" s="320"/>
      <c r="O5" s="320"/>
      <c r="P5" s="570" t="s">
        <v>1092</v>
      </c>
      <c r="Q5" s="569" t="s">
        <v>1091</v>
      </c>
      <c r="S5" s="320"/>
      <c r="T5" s="563" t="s">
        <v>1090</v>
      </c>
      <c r="U5" s="558" t="s">
        <v>1089</v>
      </c>
      <c r="V5" s="564" t="s">
        <v>1088</v>
      </c>
      <c r="W5" s="558" t="s">
        <v>1087</v>
      </c>
      <c r="X5" s="558" t="s">
        <v>1086</v>
      </c>
      <c r="Y5" s="558" t="s">
        <v>1085</v>
      </c>
      <c r="Z5" s="558" t="s">
        <v>1084</v>
      </c>
      <c r="AA5" s="558" t="s">
        <v>1083</v>
      </c>
      <c r="AB5" s="563" t="s">
        <v>271</v>
      </c>
      <c r="AC5" s="568" t="s">
        <v>192</v>
      </c>
      <c r="AD5" s="567"/>
      <c r="AE5" s="559" t="s">
        <v>1079</v>
      </c>
      <c r="AF5" s="558" t="s">
        <v>1078</v>
      </c>
      <c r="AG5" s="558" t="s">
        <v>1077</v>
      </c>
      <c r="AH5" s="557" t="s">
        <v>1076</v>
      </c>
      <c r="AI5" s="566" t="s">
        <v>1075</v>
      </c>
      <c r="AJ5" s="566" t="s">
        <v>1074</v>
      </c>
      <c r="AK5" s="566" t="s">
        <v>1073</v>
      </c>
      <c r="AL5" s="566" t="s">
        <v>1072</v>
      </c>
      <c r="AM5" s="565" t="s">
        <v>1071</v>
      </c>
      <c r="AN5" s="320"/>
      <c r="AO5" s="320"/>
      <c r="AP5" s="320"/>
      <c r="AQ5" s="563" t="s">
        <v>1090</v>
      </c>
      <c r="AR5" s="558" t="s">
        <v>1089</v>
      </c>
      <c r="AS5" s="564" t="s">
        <v>1088</v>
      </c>
      <c r="AT5" s="558" t="s">
        <v>1087</v>
      </c>
      <c r="AU5" s="558" t="s">
        <v>1086</v>
      </c>
      <c r="AV5" s="558" t="s">
        <v>1085</v>
      </c>
      <c r="AW5" s="558" t="s">
        <v>1084</v>
      </c>
      <c r="AX5" s="558" t="s">
        <v>1083</v>
      </c>
      <c r="AY5" s="563" t="s">
        <v>271</v>
      </c>
      <c r="AZ5" s="562" t="s">
        <v>192</v>
      </c>
      <c r="BA5" s="558" t="s">
        <v>1082</v>
      </c>
      <c r="BB5" s="558" t="s">
        <v>1081</v>
      </c>
      <c r="BC5" s="561" t="s">
        <v>1080</v>
      </c>
      <c r="BD5" s="560"/>
      <c r="BE5" s="559" t="s">
        <v>1079</v>
      </c>
      <c r="BF5" s="558" t="s">
        <v>1078</v>
      </c>
      <c r="BG5" s="558" t="s">
        <v>1077</v>
      </c>
      <c r="BH5" s="557" t="s">
        <v>1076</v>
      </c>
      <c r="BI5" s="556" t="s">
        <v>1075</v>
      </c>
      <c r="BJ5" s="556" t="s">
        <v>1074</v>
      </c>
      <c r="BK5" s="556" t="s">
        <v>1073</v>
      </c>
      <c r="BL5" s="556" t="s">
        <v>1072</v>
      </c>
      <c r="BM5" s="555" t="s">
        <v>1071</v>
      </c>
    </row>
    <row r="6" spans="1:65">
      <c r="B6" s="345">
        <v>1</v>
      </c>
      <c r="C6" s="397" t="s">
        <v>736</v>
      </c>
      <c r="D6" s="343">
        <v>1</v>
      </c>
      <c r="E6" s="342"/>
      <c r="F6" s="342"/>
      <c r="G6" s="342"/>
      <c r="H6" s="340"/>
      <c r="I6" s="340"/>
      <c r="J6" s="340"/>
      <c r="K6" s="340"/>
      <c r="L6" s="340"/>
      <c r="M6" s="417"/>
      <c r="N6" s="320"/>
      <c r="O6" s="320"/>
      <c r="P6" s="546">
        <v>1</v>
      </c>
      <c r="Q6" s="545" t="s">
        <v>925</v>
      </c>
      <c r="S6" s="320"/>
      <c r="T6" s="495">
        <v>1</v>
      </c>
      <c r="U6" s="494" t="s">
        <v>736</v>
      </c>
      <c r="V6" s="493">
        <v>1</v>
      </c>
      <c r="W6" s="492"/>
      <c r="X6" s="491"/>
      <c r="Y6" s="491"/>
      <c r="Z6" s="490"/>
      <c r="AA6" s="489"/>
      <c r="AB6" s="554">
        <f>AH6</f>
        <v>0</v>
      </c>
      <c r="AC6" s="553"/>
      <c r="AD6" s="320"/>
      <c r="AE6" s="367">
        <v>1</v>
      </c>
      <c r="AF6" s="366" t="s">
        <v>1070</v>
      </c>
      <c r="AG6" s="364">
        <f>W6</f>
        <v>0</v>
      </c>
      <c r="AH6" s="331"/>
      <c r="AI6" s="550"/>
      <c r="AJ6" s="331"/>
      <c r="AK6" s="331"/>
      <c r="AL6" s="331"/>
      <c r="AM6" s="330"/>
      <c r="AN6" s="320"/>
      <c r="AO6" s="320"/>
      <c r="AP6" s="320"/>
      <c r="AQ6" s="344">
        <v>1</v>
      </c>
      <c r="AR6" s="397" t="s">
        <v>736</v>
      </c>
      <c r="AS6" s="343">
        <v>1</v>
      </c>
      <c r="AT6" s="486"/>
      <c r="AU6" s="485"/>
      <c r="AV6" s="485"/>
      <c r="AW6" s="484"/>
      <c r="AX6" s="483"/>
      <c r="AY6" s="342">
        <f>BH6</f>
        <v>0</v>
      </c>
      <c r="AZ6" s="552"/>
      <c r="BA6" s="342"/>
      <c r="BB6" s="342"/>
      <c r="BC6" s="481"/>
      <c r="BD6" s="423"/>
      <c r="BE6" s="367">
        <v>1</v>
      </c>
      <c r="BF6" s="366" t="s">
        <v>1070</v>
      </c>
      <c r="BG6" s="364">
        <f>AW6</f>
        <v>0</v>
      </c>
      <c r="BH6" s="331"/>
      <c r="BI6" s="550"/>
      <c r="BJ6" s="331"/>
      <c r="BK6" s="331"/>
      <c r="BL6" s="331"/>
      <c r="BM6" s="330"/>
    </row>
    <row r="7" spans="1:65">
      <c r="B7" s="345">
        <v>1</v>
      </c>
      <c r="C7" s="397" t="s">
        <v>737</v>
      </c>
      <c r="D7" s="343">
        <v>2</v>
      </c>
      <c r="E7" s="342"/>
      <c r="F7" s="342"/>
      <c r="G7" s="342"/>
      <c r="H7" s="340"/>
      <c r="I7" s="340"/>
      <c r="J7" s="340"/>
      <c r="K7" s="340"/>
      <c r="L7" s="340"/>
      <c r="M7" s="417"/>
      <c r="N7" s="320"/>
      <c r="O7" s="320"/>
      <c r="P7" s="546">
        <v>2</v>
      </c>
      <c r="Q7" s="545" t="s">
        <v>926</v>
      </c>
      <c r="S7" s="320"/>
      <c r="T7" s="495">
        <v>1</v>
      </c>
      <c r="U7" s="494" t="s">
        <v>737</v>
      </c>
      <c r="V7" s="493">
        <v>2</v>
      </c>
      <c r="W7" s="492"/>
      <c r="X7" s="491"/>
      <c r="Y7" s="491"/>
      <c r="Z7" s="490"/>
      <c r="AA7" s="489"/>
      <c r="AB7" s="488"/>
      <c r="AC7" s="487"/>
      <c r="AD7" s="320"/>
      <c r="AE7" s="367">
        <v>2</v>
      </c>
      <c r="AF7" s="366" t="s">
        <v>1069</v>
      </c>
      <c r="AG7" s="364">
        <f>W30</f>
        <v>0</v>
      </c>
      <c r="AH7" s="331"/>
      <c r="AI7" s="550"/>
      <c r="AJ7" s="331"/>
      <c r="AK7" s="331"/>
      <c r="AL7" s="331"/>
      <c r="AM7" s="330"/>
      <c r="AN7" s="320"/>
      <c r="AO7" s="320"/>
      <c r="AP7" s="320"/>
      <c r="AQ7" s="344">
        <v>1</v>
      </c>
      <c r="AR7" s="397" t="s">
        <v>737</v>
      </c>
      <c r="AS7" s="343">
        <v>2</v>
      </c>
      <c r="AT7" s="486"/>
      <c r="AU7" s="485"/>
      <c r="AV7" s="485"/>
      <c r="AW7" s="484"/>
      <c r="AX7" s="483"/>
      <c r="AY7" s="482"/>
      <c r="AZ7" s="363"/>
      <c r="BA7" s="342"/>
      <c r="BB7" s="342"/>
      <c r="BC7" s="481"/>
      <c r="BD7" s="423"/>
      <c r="BE7" s="367">
        <v>2</v>
      </c>
      <c r="BF7" s="366" t="s">
        <v>1069</v>
      </c>
      <c r="BG7" s="364">
        <f>AW30</f>
        <v>0</v>
      </c>
      <c r="BH7" s="331"/>
      <c r="BI7" s="550"/>
      <c r="BJ7" s="331"/>
      <c r="BK7" s="331"/>
      <c r="BL7" s="331"/>
      <c r="BM7" s="330"/>
    </row>
    <row r="8" spans="1:65">
      <c r="B8" s="345">
        <v>1</v>
      </c>
      <c r="C8" s="397" t="s">
        <v>738</v>
      </c>
      <c r="D8" s="343">
        <v>3</v>
      </c>
      <c r="E8" s="342"/>
      <c r="F8" s="342"/>
      <c r="G8" s="342"/>
      <c r="H8" s="340"/>
      <c r="I8" s="340"/>
      <c r="J8" s="340"/>
      <c r="K8" s="340"/>
      <c r="L8" s="340"/>
      <c r="M8" s="417"/>
      <c r="N8" s="320"/>
      <c r="O8" s="320"/>
      <c r="P8" s="546">
        <v>3</v>
      </c>
      <c r="Q8" s="545" t="s">
        <v>927</v>
      </c>
      <c r="S8" s="320"/>
      <c r="T8" s="495">
        <v>1</v>
      </c>
      <c r="U8" s="494" t="s">
        <v>738</v>
      </c>
      <c r="V8" s="493">
        <v>3</v>
      </c>
      <c r="W8" s="492"/>
      <c r="X8" s="491"/>
      <c r="Y8" s="491"/>
      <c r="Z8" s="490"/>
      <c r="AA8" s="489"/>
      <c r="AB8" s="488"/>
      <c r="AC8" s="487"/>
      <c r="AD8" s="320"/>
      <c r="AE8" s="367">
        <v>3</v>
      </c>
      <c r="AF8" s="366" t="s">
        <v>1068</v>
      </c>
      <c r="AG8" s="364">
        <f>W54</f>
        <v>0</v>
      </c>
      <c r="AH8" s="331"/>
      <c r="AI8" s="550"/>
      <c r="AJ8" s="331"/>
      <c r="AK8" s="331"/>
      <c r="AL8" s="331"/>
      <c r="AM8" s="330"/>
      <c r="AN8" s="320"/>
      <c r="AO8" s="320"/>
      <c r="AP8" s="320"/>
      <c r="AQ8" s="344">
        <v>1</v>
      </c>
      <c r="AR8" s="397" t="s">
        <v>738</v>
      </c>
      <c r="AS8" s="343">
        <v>3</v>
      </c>
      <c r="AT8" s="486"/>
      <c r="AU8" s="485"/>
      <c r="AV8" s="485"/>
      <c r="AW8" s="484"/>
      <c r="AX8" s="483"/>
      <c r="AY8" s="482"/>
      <c r="AZ8" s="363"/>
      <c r="BA8" s="342"/>
      <c r="BB8" s="342"/>
      <c r="BC8" s="481"/>
      <c r="BD8" s="423"/>
      <c r="BE8" s="367">
        <v>3</v>
      </c>
      <c r="BF8" s="366" t="s">
        <v>1068</v>
      </c>
      <c r="BG8" s="364">
        <f>AW54</f>
        <v>0</v>
      </c>
      <c r="BH8" s="331"/>
      <c r="BI8" s="550"/>
      <c r="BJ8" s="331"/>
      <c r="BK8" s="331"/>
      <c r="BL8" s="331"/>
      <c r="BM8" s="330"/>
    </row>
    <row r="9" spans="1:65">
      <c r="B9" s="345">
        <v>1</v>
      </c>
      <c r="C9" s="397" t="s">
        <v>739</v>
      </c>
      <c r="D9" s="343">
        <v>4</v>
      </c>
      <c r="E9" s="342"/>
      <c r="F9" s="342"/>
      <c r="G9" s="342"/>
      <c r="H9" s="340"/>
      <c r="I9" s="340"/>
      <c r="J9" s="340"/>
      <c r="K9" s="340"/>
      <c r="L9" s="340"/>
      <c r="M9" s="417"/>
      <c r="N9" s="320"/>
      <c r="O9" s="320"/>
      <c r="P9" s="546">
        <v>4</v>
      </c>
      <c r="Q9" s="545" t="s">
        <v>928</v>
      </c>
      <c r="S9" s="320"/>
      <c r="T9" s="495">
        <v>1</v>
      </c>
      <c r="U9" s="494" t="s">
        <v>739</v>
      </c>
      <c r="V9" s="493">
        <v>4</v>
      </c>
      <c r="W9" s="492"/>
      <c r="X9" s="491"/>
      <c r="Y9" s="491"/>
      <c r="Z9" s="490"/>
      <c r="AA9" s="489"/>
      <c r="AB9" s="488"/>
      <c r="AC9" s="487"/>
      <c r="AD9" s="320"/>
      <c r="AE9" s="367">
        <v>4</v>
      </c>
      <c r="AF9" s="366" t="s">
        <v>1067</v>
      </c>
      <c r="AG9" s="364">
        <f>W78</f>
        <v>0</v>
      </c>
      <c r="AH9" s="331"/>
      <c r="AI9" s="550"/>
      <c r="AJ9" s="331"/>
      <c r="AK9" s="331"/>
      <c r="AL9" s="331"/>
      <c r="AM9" s="330"/>
      <c r="AN9" s="320"/>
      <c r="AO9" s="320"/>
      <c r="AP9" s="320"/>
      <c r="AQ9" s="344">
        <v>1</v>
      </c>
      <c r="AR9" s="397" t="s">
        <v>739</v>
      </c>
      <c r="AS9" s="343">
        <v>4</v>
      </c>
      <c r="AT9" s="486"/>
      <c r="AU9" s="485"/>
      <c r="AV9" s="485"/>
      <c r="AW9" s="484"/>
      <c r="AX9" s="483"/>
      <c r="AY9" s="482"/>
      <c r="AZ9" s="363"/>
      <c r="BA9" s="342"/>
      <c r="BB9" s="342"/>
      <c r="BC9" s="481"/>
      <c r="BD9" s="423"/>
      <c r="BE9" s="367">
        <v>4</v>
      </c>
      <c r="BF9" s="366" t="s">
        <v>1067</v>
      </c>
      <c r="BG9" s="364">
        <f>AW78</f>
        <v>0</v>
      </c>
      <c r="BH9" s="331"/>
      <c r="BI9" s="550"/>
      <c r="BJ9" s="331"/>
      <c r="BK9" s="331"/>
      <c r="BL9" s="331"/>
      <c r="BM9" s="330"/>
    </row>
    <row r="10" spans="1:65">
      <c r="B10" s="345">
        <v>1</v>
      </c>
      <c r="C10" s="397" t="s">
        <v>740</v>
      </c>
      <c r="D10" s="343">
        <v>5</v>
      </c>
      <c r="E10" s="342"/>
      <c r="F10" s="342"/>
      <c r="G10" s="342"/>
      <c r="H10" s="340"/>
      <c r="I10" s="340"/>
      <c r="J10" s="340"/>
      <c r="K10" s="340"/>
      <c r="L10" s="340"/>
      <c r="M10" s="417"/>
      <c r="N10" s="320"/>
      <c r="O10" s="320"/>
      <c r="P10" s="546">
        <v>5</v>
      </c>
      <c r="Q10" s="545" t="s">
        <v>929</v>
      </c>
      <c r="S10" s="320"/>
      <c r="T10" s="495">
        <v>1</v>
      </c>
      <c r="U10" s="494" t="s">
        <v>740</v>
      </c>
      <c r="V10" s="493">
        <v>5</v>
      </c>
      <c r="W10" s="492"/>
      <c r="X10" s="491"/>
      <c r="Y10" s="491"/>
      <c r="Z10" s="490"/>
      <c r="AA10" s="489"/>
      <c r="AB10" s="488"/>
      <c r="AC10" s="487"/>
      <c r="AD10" s="320"/>
      <c r="AE10" s="367">
        <v>5</v>
      </c>
      <c r="AF10" s="366" t="s">
        <v>1066</v>
      </c>
      <c r="AG10" s="364">
        <f>W102</f>
        <v>0</v>
      </c>
      <c r="AH10" s="331"/>
      <c r="AI10" s="550"/>
      <c r="AJ10" s="331"/>
      <c r="AK10" s="331"/>
      <c r="AL10" s="331"/>
      <c r="AM10" s="330"/>
      <c r="AN10" s="320"/>
      <c r="AO10" s="320"/>
      <c r="AP10" s="320"/>
      <c r="AQ10" s="344">
        <v>1</v>
      </c>
      <c r="AR10" s="397" t="s">
        <v>740</v>
      </c>
      <c r="AS10" s="343">
        <v>5</v>
      </c>
      <c r="AT10" s="486"/>
      <c r="AU10" s="485"/>
      <c r="AV10" s="485"/>
      <c r="AW10" s="484"/>
      <c r="AX10" s="483"/>
      <c r="AY10" s="482"/>
      <c r="AZ10" s="363"/>
      <c r="BA10" s="342"/>
      <c r="BB10" s="342"/>
      <c r="BC10" s="481"/>
      <c r="BD10" s="423"/>
      <c r="BE10" s="367">
        <v>5</v>
      </c>
      <c r="BF10" s="366" t="s">
        <v>1066</v>
      </c>
      <c r="BG10" s="364">
        <f>AW102</f>
        <v>0</v>
      </c>
      <c r="BH10" s="331"/>
      <c r="BI10" s="550"/>
      <c r="BJ10" s="331"/>
      <c r="BK10" s="331"/>
      <c r="BL10" s="331"/>
      <c r="BM10" s="330"/>
    </row>
    <row r="11" spans="1:65">
      <c r="B11" s="345">
        <v>1</v>
      </c>
      <c r="C11" s="397" t="s">
        <v>741</v>
      </c>
      <c r="D11" s="343">
        <v>6</v>
      </c>
      <c r="E11" s="342"/>
      <c r="F11" s="342"/>
      <c r="G11" s="342"/>
      <c r="H11" s="340"/>
      <c r="I11" s="340"/>
      <c r="J11" s="340"/>
      <c r="K11" s="340"/>
      <c r="L11" s="340"/>
      <c r="M11" s="417"/>
      <c r="N11" s="320"/>
      <c r="O11" s="320"/>
      <c r="P11" s="546">
        <v>6</v>
      </c>
      <c r="Q11" s="545" t="s">
        <v>930</v>
      </c>
      <c r="S11" s="320"/>
      <c r="T11" s="495">
        <v>1</v>
      </c>
      <c r="U11" s="494" t="s">
        <v>741</v>
      </c>
      <c r="V11" s="493">
        <v>6</v>
      </c>
      <c r="W11" s="492"/>
      <c r="X11" s="491"/>
      <c r="Y11" s="491"/>
      <c r="Z11" s="490"/>
      <c r="AA11" s="489"/>
      <c r="AB11" s="488"/>
      <c r="AC11" s="487"/>
      <c r="AD11" s="320"/>
      <c r="AE11" s="367">
        <v>6</v>
      </c>
      <c r="AF11" s="366" t="s">
        <v>1065</v>
      </c>
      <c r="AG11" s="364">
        <f>W126</f>
        <v>0</v>
      </c>
      <c r="AH11" s="331"/>
      <c r="AI11" s="550"/>
      <c r="AJ11" s="331"/>
      <c r="AK11" s="331"/>
      <c r="AL11" s="331"/>
      <c r="AM11" s="330"/>
      <c r="AN11" s="320"/>
      <c r="AO11" s="320"/>
      <c r="AP11" s="320"/>
      <c r="AQ11" s="344">
        <v>1</v>
      </c>
      <c r="AR11" s="397" t="s">
        <v>741</v>
      </c>
      <c r="AS11" s="343">
        <v>6</v>
      </c>
      <c r="AT11" s="486"/>
      <c r="AU11" s="485"/>
      <c r="AV11" s="485"/>
      <c r="AW11" s="484"/>
      <c r="AX11" s="483"/>
      <c r="AY11" s="482"/>
      <c r="AZ11" s="363"/>
      <c r="BA11" s="342"/>
      <c r="BB11" s="342"/>
      <c r="BC11" s="481"/>
      <c r="BD11" s="423"/>
      <c r="BE11" s="367">
        <v>6</v>
      </c>
      <c r="BF11" s="366" t="s">
        <v>1064</v>
      </c>
      <c r="BG11" s="364">
        <f>AW126</f>
        <v>0</v>
      </c>
      <c r="BH11" s="331"/>
      <c r="BI11" s="550"/>
      <c r="BJ11" s="331"/>
      <c r="BK11" s="331"/>
      <c r="BL11" s="331"/>
      <c r="BM11" s="330"/>
    </row>
    <row r="12" spans="1:65">
      <c r="B12" s="345">
        <v>1</v>
      </c>
      <c r="C12" s="397" t="s">
        <v>742</v>
      </c>
      <c r="D12" s="343">
        <v>7</v>
      </c>
      <c r="E12" s="342"/>
      <c r="F12" s="342"/>
      <c r="G12" s="342"/>
      <c r="H12" s="340"/>
      <c r="I12" s="340"/>
      <c r="J12" s="340"/>
      <c r="K12" s="340"/>
      <c r="L12" s="340"/>
      <c r="M12" s="417"/>
      <c r="N12" s="320"/>
      <c r="O12" s="320"/>
      <c r="P12" s="546">
        <v>7</v>
      </c>
      <c r="Q12" s="545" t="s">
        <v>931</v>
      </c>
      <c r="S12" s="320"/>
      <c r="T12" s="495">
        <v>1</v>
      </c>
      <c r="U12" s="494" t="s">
        <v>742</v>
      </c>
      <c r="V12" s="493">
        <v>7</v>
      </c>
      <c r="W12" s="492"/>
      <c r="X12" s="491"/>
      <c r="Y12" s="491"/>
      <c r="Z12" s="490"/>
      <c r="AA12" s="489"/>
      <c r="AB12" s="488"/>
      <c r="AC12" s="487"/>
      <c r="AD12" s="320"/>
      <c r="AE12" s="367"/>
      <c r="AF12" s="366"/>
      <c r="AG12" s="364"/>
      <c r="AH12" s="331"/>
      <c r="AI12" s="550"/>
      <c r="AJ12" s="331"/>
      <c r="AK12" s="331"/>
      <c r="AL12" s="331"/>
      <c r="AM12" s="330"/>
      <c r="AN12" s="320"/>
      <c r="AO12" s="320"/>
      <c r="AP12" s="320"/>
      <c r="AQ12" s="344">
        <v>1</v>
      </c>
      <c r="AR12" s="397" t="s">
        <v>742</v>
      </c>
      <c r="AS12" s="343">
        <v>7</v>
      </c>
      <c r="AT12" s="486"/>
      <c r="AU12" s="485"/>
      <c r="AV12" s="485"/>
      <c r="AW12" s="484"/>
      <c r="AX12" s="483"/>
      <c r="AY12" s="482"/>
      <c r="AZ12" s="363"/>
      <c r="BA12" s="342"/>
      <c r="BB12" s="342"/>
      <c r="BC12" s="481"/>
      <c r="BD12" s="423"/>
      <c r="BE12" s="367">
        <v>7</v>
      </c>
      <c r="BF12" s="366" t="s">
        <v>1063</v>
      </c>
      <c r="BG12" s="364">
        <f>AW150</f>
        <v>0</v>
      </c>
      <c r="BH12" s="331"/>
      <c r="BI12" s="550"/>
      <c r="BJ12" s="331"/>
      <c r="BK12" s="331"/>
      <c r="BL12" s="331"/>
      <c r="BM12" s="330"/>
    </row>
    <row r="13" spans="1:65">
      <c r="B13" s="345">
        <v>1</v>
      </c>
      <c r="C13" s="397" t="s">
        <v>743</v>
      </c>
      <c r="D13" s="343">
        <v>8</v>
      </c>
      <c r="E13" s="342"/>
      <c r="F13" s="342"/>
      <c r="G13" s="342"/>
      <c r="H13" s="340"/>
      <c r="I13" s="340"/>
      <c r="J13" s="340"/>
      <c r="K13" s="340"/>
      <c r="L13" s="340"/>
      <c r="M13" s="417"/>
      <c r="N13" s="320"/>
      <c r="O13" s="320"/>
      <c r="P13" s="546">
        <v>8</v>
      </c>
      <c r="Q13" s="545" t="s">
        <v>932</v>
      </c>
      <c r="S13" s="320"/>
      <c r="T13" s="495">
        <v>1</v>
      </c>
      <c r="U13" s="494" t="s">
        <v>743</v>
      </c>
      <c r="V13" s="493">
        <v>8</v>
      </c>
      <c r="W13" s="492"/>
      <c r="X13" s="491"/>
      <c r="Y13" s="491"/>
      <c r="Z13" s="490"/>
      <c r="AA13" s="489"/>
      <c r="AB13" s="488"/>
      <c r="AC13" s="487"/>
      <c r="AD13" s="320"/>
      <c r="AE13" s="367"/>
      <c r="AF13" s="366"/>
      <c r="AG13" s="364"/>
      <c r="AH13" s="331"/>
      <c r="AI13" s="550"/>
      <c r="AJ13" s="331"/>
      <c r="AK13" s="331"/>
      <c r="AL13" s="331"/>
      <c r="AM13" s="330"/>
      <c r="AN13" s="320"/>
      <c r="AO13" s="320"/>
      <c r="AP13" s="320"/>
      <c r="AQ13" s="344">
        <v>1</v>
      </c>
      <c r="AR13" s="397" t="s">
        <v>743</v>
      </c>
      <c r="AS13" s="343">
        <v>8</v>
      </c>
      <c r="AT13" s="486"/>
      <c r="AU13" s="485"/>
      <c r="AV13" s="485"/>
      <c r="AW13" s="484"/>
      <c r="AX13" s="483"/>
      <c r="AY13" s="482"/>
      <c r="AZ13" s="363"/>
      <c r="BA13" s="342"/>
      <c r="BB13" s="342"/>
      <c r="BC13" s="481"/>
      <c r="BD13" s="423"/>
      <c r="BE13" s="367">
        <v>8</v>
      </c>
      <c r="BF13" s="366" t="s">
        <v>1062</v>
      </c>
      <c r="BG13" s="364">
        <f>AW174</f>
        <v>0</v>
      </c>
      <c r="BH13" s="331"/>
      <c r="BI13" s="550"/>
      <c r="BJ13" s="331"/>
      <c r="BK13" s="331"/>
      <c r="BL13" s="331"/>
      <c r="BM13" s="330"/>
    </row>
    <row r="14" spans="1:65">
      <c r="B14" s="367">
        <v>1</v>
      </c>
      <c r="C14" s="396" t="s">
        <v>744</v>
      </c>
      <c r="D14" s="365">
        <v>9</v>
      </c>
      <c r="E14" s="364"/>
      <c r="F14" s="364"/>
      <c r="G14" s="364"/>
      <c r="H14" s="336"/>
      <c r="I14" s="336"/>
      <c r="J14" s="336"/>
      <c r="K14" s="336"/>
      <c r="L14" s="336"/>
      <c r="M14" s="416"/>
      <c r="N14" s="320"/>
      <c r="O14" s="320"/>
      <c r="P14" s="546">
        <v>9</v>
      </c>
      <c r="Q14" s="545" t="s">
        <v>933</v>
      </c>
      <c r="S14" s="320"/>
      <c r="T14" s="495">
        <v>1</v>
      </c>
      <c r="U14" s="494" t="s">
        <v>744</v>
      </c>
      <c r="V14" s="493">
        <v>9</v>
      </c>
      <c r="W14" s="492"/>
      <c r="X14" s="491"/>
      <c r="Y14" s="491"/>
      <c r="Z14" s="490"/>
      <c r="AA14" s="489"/>
      <c r="AB14" s="488"/>
      <c r="AC14" s="487"/>
      <c r="AD14" s="320"/>
      <c r="AE14" s="367"/>
      <c r="AF14" s="366"/>
      <c r="AG14" s="364"/>
      <c r="AH14" s="331"/>
      <c r="AI14" s="550"/>
      <c r="AJ14" s="331"/>
      <c r="AK14" s="331"/>
      <c r="AL14" s="331"/>
      <c r="AM14" s="330"/>
      <c r="AN14" s="320"/>
      <c r="AO14" s="320"/>
      <c r="AP14" s="320"/>
      <c r="AQ14" s="344">
        <v>1</v>
      </c>
      <c r="AR14" s="397" t="s">
        <v>744</v>
      </c>
      <c r="AS14" s="343">
        <v>9</v>
      </c>
      <c r="AT14" s="486"/>
      <c r="AU14" s="485"/>
      <c r="AV14" s="485"/>
      <c r="AW14" s="484"/>
      <c r="AX14" s="483"/>
      <c r="AY14" s="482"/>
      <c r="AZ14" s="363"/>
      <c r="BA14" s="342"/>
      <c r="BB14" s="342"/>
      <c r="BC14" s="481"/>
      <c r="BD14" s="423"/>
      <c r="BE14" s="367">
        <v>9</v>
      </c>
      <c r="BF14" s="366" t="s">
        <v>1061</v>
      </c>
      <c r="BG14" s="364">
        <f>AW198</f>
        <v>0</v>
      </c>
      <c r="BH14" s="331"/>
      <c r="BI14" s="550"/>
      <c r="BJ14" s="331"/>
      <c r="BK14" s="331"/>
      <c r="BL14" s="331"/>
      <c r="BM14" s="330"/>
    </row>
    <row r="15" spans="1:65">
      <c r="B15" s="367">
        <v>1</v>
      </c>
      <c r="C15" s="396" t="s">
        <v>745</v>
      </c>
      <c r="D15" s="365">
        <v>10</v>
      </c>
      <c r="E15" s="364"/>
      <c r="F15" s="364"/>
      <c r="G15" s="364"/>
      <c r="H15" s="336"/>
      <c r="I15" s="336"/>
      <c r="J15" s="336"/>
      <c r="K15" s="336"/>
      <c r="L15" s="336"/>
      <c r="M15" s="416"/>
      <c r="N15" s="320"/>
      <c r="O15" s="320"/>
      <c r="P15" s="546">
        <v>10</v>
      </c>
      <c r="Q15" s="545" t="s">
        <v>934</v>
      </c>
      <c r="S15" s="320"/>
      <c r="T15" s="495">
        <v>1</v>
      </c>
      <c r="U15" s="494" t="s">
        <v>745</v>
      </c>
      <c r="V15" s="493">
        <v>10</v>
      </c>
      <c r="W15" s="492"/>
      <c r="X15" s="491"/>
      <c r="Y15" s="491"/>
      <c r="Z15" s="490"/>
      <c r="AA15" s="489"/>
      <c r="AB15" s="488"/>
      <c r="AC15" s="487"/>
      <c r="AD15" s="320"/>
      <c r="AE15" s="367"/>
      <c r="AF15" s="366"/>
      <c r="AG15" s="364"/>
      <c r="AH15" s="331"/>
      <c r="AI15" s="550"/>
      <c r="AJ15" s="331"/>
      <c r="AK15" s="331"/>
      <c r="AL15" s="331"/>
      <c r="AM15" s="330"/>
      <c r="AN15" s="320"/>
      <c r="AO15" s="320"/>
      <c r="AP15" s="320"/>
      <c r="AQ15" s="344">
        <v>1</v>
      </c>
      <c r="AR15" s="397" t="s">
        <v>745</v>
      </c>
      <c r="AS15" s="343">
        <v>10</v>
      </c>
      <c r="AT15" s="486"/>
      <c r="AU15" s="485"/>
      <c r="AV15" s="485"/>
      <c r="AW15" s="484"/>
      <c r="AX15" s="483"/>
      <c r="AY15" s="482"/>
      <c r="AZ15" s="363"/>
      <c r="BA15" s="342"/>
      <c r="BB15" s="342"/>
      <c r="BC15" s="481"/>
      <c r="BD15" s="423"/>
      <c r="BE15" s="367">
        <v>10</v>
      </c>
      <c r="BF15" s="366" t="s">
        <v>1060</v>
      </c>
      <c r="BG15" s="364">
        <f>AW222</f>
        <v>0</v>
      </c>
      <c r="BH15" s="331"/>
      <c r="BI15" s="550"/>
      <c r="BJ15" s="331"/>
      <c r="BK15" s="331"/>
      <c r="BL15" s="331"/>
      <c r="BM15" s="330"/>
    </row>
    <row r="16" spans="1:65">
      <c r="B16" s="367">
        <v>1</v>
      </c>
      <c r="C16" s="396" t="s">
        <v>746</v>
      </c>
      <c r="D16" s="365">
        <v>11</v>
      </c>
      <c r="E16" s="364"/>
      <c r="F16" s="364"/>
      <c r="G16" s="364"/>
      <c r="H16" s="336"/>
      <c r="I16" s="336"/>
      <c r="J16" s="336"/>
      <c r="K16" s="336"/>
      <c r="L16" s="336"/>
      <c r="M16" s="416"/>
      <c r="N16" s="320"/>
      <c r="O16" s="320"/>
      <c r="P16" s="546">
        <v>11</v>
      </c>
      <c r="Q16" s="545" t="s">
        <v>935</v>
      </c>
      <c r="S16" s="320"/>
      <c r="T16" s="495">
        <v>1</v>
      </c>
      <c r="U16" s="494" t="s">
        <v>746</v>
      </c>
      <c r="V16" s="493">
        <v>11</v>
      </c>
      <c r="W16" s="492"/>
      <c r="X16" s="491"/>
      <c r="Y16" s="491"/>
      <c r="Z16" s="490"/>
      <c r="AA16" s="489"/>
      <c r="AB16" s="488"/>
      <c r="AC16" s="487"/>
      <c r="AD16" s="320"/>
      <c r="AE16" s="367"/>
      <c r="AF16" s="366"/>
      <c r="AG16" s="364"/>
      <c r="AH16" s="331"/>
      <c r="AI16" s="550"/>
      <c r="AJ16" s="331"/>
      <c r="AK16" s="331"/>
      <c r="AL16" s="331"/>
      <c r="AM16" s="330"/>
      <c r="AN16" s="320"/>
      <c r="AO16" s="320"/>
      <c r="AP16" s="320"/>
      <c r="AQ16" s="344">
        <v>1</v>
      </c>
      <c r="AR16" s="397" t="s">
        <v>746</v>
      </c>
      <c r="AS16" s="343">
        <v>11</v>
      </c>
      <c r="AT16" s="486"/>
      <c r="AU16" s="485"/>
      <c r="AV16" s="485"/>
      <c r="AW16" s="484"/>
      <c r="AX16" s="483"/>
      <c r="AY16" s="482"/>
      <c r="AZ16" s="363"/>
      <c r="BA16" s="342"/>
      <c r="BB16" s="342"/>
      <c r="BC16" s="481"/>
      <c r="BD16" s="423"/>
      <c r="BE16" s="367">
        <v>11</v>
      </c>
      <c r="BF16" s="366" t="s">
        <v>1059</v>
      </c>
      <c r="BG16" s="364">
        <f>AW246</f>
        <v>0</v>
      </c>
      <c r="BH16" s="331"/>
      <c r="BI16" s="550"/>
      <c r="BJ16" s="331"/>
      <c r="BK16" s="331"/>
      <c r="BL16" s="331"/>
      <c r="BM16" s="330"/>
    </row>
    <row r="17" spans="2:65">
      <c r="B17" s="367">
        <v>1</v>
      </c>
      <c r="C17" s="396" t="s">
        <v>747</v>
      </c>
      <c r="D17" s="365">
        <v>12</v>
      </c>
      <c r="E17" s="364"/>
      <c r="F17" s="364"/>
      <c r="G17" s="364"/>
      <c r="H17" s="336"/>
      <c r="I17" s="336"/>
      <c r="J17" s="336"/>
      <c r="K17" s="336"/>
      <c r="L17" s="336"/>
      <c r="M17" s="416"/>
      <c r="N17" s="320"/>
      <c r="O17" s="320"/>
      <c r="P17" s="546">
        <v>12</v>
      </c>
      <c r="Q17" s="545" t="s">
        <v>936</v>
      </c>
      <c r="S17" s="320"/>
      <c r="T17" s="495">
        <v>1</v>
      </c>
      <c r="U17" s="494" t="s">
        <v>747</v>
      </c>
      <c r="V17" s="493">
        <v>12</v>
      </c>
      <c r="W17" s="492"/>
      <c r="X17" s="491"/>
      <c r="Y17" s="491"/>
      <c r="Z17" s="490"/>
      <c r="AA17" s="489"/>
      <c r="AB17" s="488"/>
      <c r="AC17" s="487"/>
      <c r="AD17" s="320"/>
      <c r="AE17" s="367"/>
      <c r="AF17" s="366"/>
      <c r="AG17" s="364"/>
      <c r="AH17" s="331"/>
      <c r="AI17" s="550"/>
      <c r="AJ17" s="331"/>
      <c r="AK17" s="331"/>
      <c r="AL17" s="331"/>
      <c r="AM17" s="330"/>
      <c r="AN17" s="320"/>
      <c r="AO17" s="320"/>
      <c r="AP17" s="320"/>
      <c r="AQ17" s="344">
        <v>1</v>
      </c>
      <c r="AR17" s="397" t="s">
        <v>747</v>
      </c>
      <c r="AS17" s="343">
        <v>12</v>
      </c>
      <c r="AT17" s="486"/>
      <c r="AU17" s="485"/>
      <c r="AV17" s="485"/>
      <c r="AW17" s="484"/>
      <c r="AX17" s="483"/>
      <c r="AY17" s="482"/>
      <c r="AZ17" s="363"/>
      <c r="BA17" s="342"/>
      <c r="BB17" s="342"/>
      <c r="BC17" s="481"/>
      <c r="BD17" s="423"/>
      <c r="BE17" s="367">
        <v>12</v>
      </c>
      <c r="BF17" s="366" t="s">
        <v>1058</v>
      </c>
      <c r="BG17" s="364">
        <f>AW270</f>
        <v>0</v>
      </c>
      <c r="BH17" s="331"/>
      <c r="BI17" s="550"/>
      <c r="BJ17" s="331"/>
      <c r="BK17" s="331"/>
      <c r="BL17" s="331"/>
      <c r="BM17" s="330"/>
    </row>
    <row r="18" spans="2:65">
      <c r="B18" s="367">
        <v>1</v>
      </c>
      <c r="C18" s="396" t="s">
        <v>748</v>
      </c>
      <c r="D18" s="365">
        <v>13</v>
      </c>
      <c r="E18" s="364"/>
      <c r="F18" s="364"/>
      <c r="G18" s="364"/>
      <c r="H18" s="336"/>
      <c r="I18" s="336"/>
      <c r="J18" s="336"/>
      <c r="K18" s="336"/>
      <c r="L18" s="336"/>
      <c r="M18" s="416"/>
      <c r="N18" s="320"/>
      <c r="O18" s="320"/>
      <c r="P18" s="546">
        <v>13</v>
      </c>
      <c r="Q18" s="545" t="s">
        <v>938</v>
      </c>
      <c r="S18" s="320"/>
      <c r="T18" s="495">
        <v>1</v>
      </c>
      <c r="U18" s="494" t="s">
        <v>748</v>
      </c>
      <c r="V18" s="493">
        <v>13</v>
      </c>
      <c r="W18" s="492"/>
      <c r="X18" s="491"/>
      <c r="Y18" s="491"/>
      <c r="Z18" s="490"/>
      <c r="AA18" s="489"/>
      <c r="AB18" s="488"/>
      <c r="AC18" s="487"/>
      <c r="AD18" s="320"/>
      <c r="AE18" s="551"/>
      <c r="AF18" s="364"/>
      <c r="AG18" s="364"/>
      <c r="AH18" s="331"/>
      <c r="AI18" s="550"/>
      <c r="AJ18" s="331"/>
      <c r="AK18" s="331"/>
      <c r="AL18" s="331"/>
      <c r="AM18" s="330"/>
      <c r="AN18" s="320"/>
      <c r="AO18" s="320"/>
      <c r="AP18" s="320"/>
      <c r="AQ18" s="344">
        <v>1</v>
      </c>
      <c r="AR18" s="397" t="s">
        <v>748</v>
      </c>
      <c r="AS18" s="343">
        <v>13</v>
      </c>
      <c r="AT18" s="486"/>
      <c r="AU18" s="485"/>
      <c r="AV18" s="485"/>
      <c r="AW18" s="484"/>
      <c r="AX18" s="483"/>
      <c r="AY18" s="482"/>
      <c r="AZ18" s="363"/>
      <c r="BA18" s="342"/>
      <c r="BB18" s="342"/>
      <c r="BC18" s="481"/>
      <c r="BD18" s="423"/>
      <c r="BE18" s="551"/>
      <c r="BF18" s="364"/>
      <c r="BG18" s="364"/>
      <c r="BH18" s="331"/>
      <c r="BI18" s="550"/>
      <c r="BJ18" s="331"/>
      <c r="BK18" s="331"/>
      <c r="BL18" s="331"/>
      <c r="BM18" s="330"/>
    </row>
    <row r="19" spans="2:65">
      <c r="B19" s="367">
        <v>1</v>
      </c>
      <c r="C19" s="396" t="s">
        <v>749</v>
      </c>
      <c r="D19" s="365">
        <v>14</v>
      </c>
      <c r="E19" s="364"/>
      <c r="F19" s="364"/>
      <c r="G19" s="364"/>
      <c r="H19" s="336"/>
      <c r="I19" s="336"/>
      <c r="J19" s="336"/>
      <c r="K19" s="336"/>
      <c r="L19" s="336"/>
      <c r="M19" s="416"/>
      <c r="N19" s="320"/>
      <c r="O19" s="320"/>
      <c r="P19" s="546">
        <v>14</v>
      </c>
      <c r="Q19" s="545" t="s">
        <v>939</v>
      </c>
      <c r="S19" s="320"/>
      <c r="T19" s="495">
        <v>1</v>
      </c>
      <c r="U19" s="494" t="s">
        <v>749</v>
      </c>
      <c r="V19" s="493">
        <v>14</v>
      </c>
      <c r="W19" s="492"/>
      <c r="X19" s="491"/>
      <c r="Y19" s="491"/>
      <c r="Z19" s="490"/>
      <c r="AA19" s="489"/>
      <c r="AB19" s="488"/>
      <c r="AC19" s="487"/>
      <c r="AD19" s="320"/>
      <c r="AE19" s="551"/>
      <c r="AF19" s="364"/>
      <c r="AG19" s="364"/>
      <c r="AH19" s="331"/>
      <c r="AI19" s="550"/>
      <c r="AJ19" s="331"/>
      <c r="AK19" s="331"/>
      <c r="AL19" s="331"/>
      <c r="AM19" s="330"/>
      <c r="AN19" s="320"/>
      <c r="AO19" s="320"/>
      <c r="AP19" s="320"/>
      <c r="AQ19" s="344">
        <v>1</v>
      </c>
      <c r="AR19" s="397" t="s">
        <v>749</v>
      </c>
      <c r="AS19" s="343">
        <v>14</v>
      </c>
      <c r="AT19" s="486"/>
      <c r="AU19" s="485"/>
      <c r="AV19" s="485"/>
      <c r="AW19" s="484"/>
      <c r="AX19" s="483"/>
      <c r="AY19" s="482"/>
      <c r="AZ19" s="363"/>
      <c r="BA19" s="342"/>
      <c r="BB19" s="342"/>
      <c r="BC19" s="481"/>
      <c r="BD19" s="423"/>
      <c r="BE19" s="551"/>
      <c r="BF19" s="364"/>
      <c r="BG19" s="364"/>
      <c r="BH19" s="331"/>
      <c r="BI19" s="550"/>
      <c r="BJ19" s="331"/>
      <c r="BK19" s="331"/>
      <c r="BL19" s="331"/>
      <c r="BM19" s="330"/>
    </row>
    <row r="20" spans="2:65">
      <c r="B20" s="367">
        <v>1</v>
      </c>
      <c r="C20" s="396" t="s">
        <v>750</v>
      </c>
      <c r="D20" s="365">
        <v>15</v>
      </c>
      <c r="E20" s="364"/>
      <c r="F20" s="364"/>
      <c r="G20" s="364"/>
      <c r="H20" s="336"/>
      <c r="I20" s="336"/>
      <c r="J20" s="336"/>
      <c r="K20" s="336"/>
      <c r="L20" s="336"/>
      <c r="M20" s="416"/>
      <c r="N20" s="320"/>
      <c r="O20" s="320"/>
      <c r="P20" s="546">
        <v>15</v>
      </c>
      <c r="Q20" s="545" t="s">
        <v>940</v>
      </c>
      <c r="S20" s="320"/>
      <c r="T20" s="495">
        <v>1</v>
      </c>
      <c r="U20" s="494" t="s">
        <v>750</v>
      </c>
      <c r="V20" s="493">
        <v>15</v>
      </c>
      <c r="W20" s="492"/>
      <c r="X20" s="491"/>
      <c r="Y20" s="491"/>
      <c r="Z20" s="490"/>
      <c r="AA20" s="489"/>
      <c r="AB20" s="488"/>
      <c r="AC20" s="487"/>
      <c r="AD20" s="320"/>
      <c r="AE20" s="551"/>
      <c r="AF20" s="364"/>
      <c r="AG20" s="364"/>
      <c r="AH20" s="331"/>
      <c r="AI20" s="550"/>
      <c r="AJ20" s="331"/>
      <c r="AK20" s="331"/>
      <c r="AL20" s="331"/>
      <c r="AM20" s="330"/>
      <c r="AN20" s="320"/>
      <c r="AO20" s="320"/>
      <c r="AP20" s="320"/>
      <c r="AQ20" s="344">
        <v>1</v>
      </c>
      <c r="AR20" s="397" t="s">
        <v>750</v>
      </c>
      <c r="AS20" s="343">
        <v>15</v>
      </c>
      <c r="AT20" s="486"/>
      <c r="AU20" s="485"/>
      <c r="AV20" s="485"/>
      <c r="AW20" s="484"/>
      <c r="AX20" s="483"/>
      <c r="AY20" s="482"/>
      <c r="AZ20" s="363"/>
      <c r="BA20" s="342"/>
      <c r="BB20" s="342"/>
      <c r="BC20" s="481"/>
      <c r="BD20" s="423"/>
      <c r="BE20" s="551"/>
      <c r="BF20" s="364"/>
      <c r="BG20" s="364"/>
      <c r="BH20" s="331"/>
      <c r="BI20" s="550"/>
      <c r="BJ20" s="331"/>
      <c r="BK20" s="331"/>
      <c r="BL20" s="331"/>
      <c r="BM20" s="330"/>
    </row>
    <row r="21" spans="2:65" ht="15.75" thickBot="1">
      <c r="B21" s="367">
        <v>1</v>
      </c>
      <c r="C21" s="396" t="s">
        <v>751</v>
      </c>
      <c r="D21" s="365">
        <v>16</v>
      </c>
      <c r="E21" s="364"/>
      <c r="F21" s="364"/>
      <c r="G21" s="364"/>
      <c r="H21" s="336"/>
      <c r="I21" s="336"/>
      <c r="J21" s="336"/>
      <c r="K21" s="336"/>
      <c r="L21" s="336"/>
      <c r="M21" s="416"/>
      <c r="N21" s="320"/>
      <c r="O21" s="320"/>
      <c r="P21" s="546">
        <v>16</v>
      </c>
      <c r="Q21" s="545" t="s">
        <v>941</v>
      </c>
      <c r="S21" s="320"/>
      <c r="T21" s="495">
        <v>1</v>
      </c>
      <c r="U21" s="494" t="s">
        <v>751</v>
      </c>
      <c r="V21" s="493">
        <v>16</v>
      </c>
      <c r="W21" s="492"/>
      <c r="X21" s="491"/>
      <c r="Y21" s="491"/>
      <c r="Z21" s="490"/>
      <c r="AA21" s="489"/>
      <c r="AB21" s="488"/>
      <c r="AC21" s="487"/>
      <c r="AD21" s="320"/>
      <c r="AE21" s="549"/>
      <c r="AF21" s="548"/>
      <c r="AG21" s="548"/>
      <c r="AH21" s="322"/>
      <c r="AI21" s="547"/>
      <c r="AJ21" s="322"/>
      <c r="AK21" s="322"/>
      <c r="AL21" s="322"/>
      <c r="AM21" s="321"/>
      <c r="AN21" s="320"/>
      <c r="AO21" s="320"/>
      <c r="AP21" s="320"/>
      <c r="AQ21" s="344">
        <v>1</v>
      </c>
      <c r="AR21" s="397" t="s">
        <v>751</v>
      </c>
      <c r="AS21" s="343">
        <v>16</v>
      </c>
      <c r="AT21" s="486"/>
      <c r="AU21" s="485"/>
      <c r="AV21" s="485"/>
      <c r="AW21" s="484"/>
      <c r="AX21" s="483"/>
      <c r="AY21" s="482"/>
      <c r="AZ21" s="363"/>
      <c r="BA21" s="342"/>
      <c r="BB21" s="342"/>
      <c r="BC21" s="481"/>
      <c r="BD21" s="423"/>
      <c r="BE21" s="549"/>
      <c r="BF21" s="548"/>
      <c r="BG21" s="548"/>
      <c r="BH21" s="322"/>
      <c r="BI21" s="547"/>
      <c r="BJ21" s="322"/>
      <c r="BK21" s="322"/>
      <c r="BL21" s="322"/>
      <c r="BM21" s="321"/>
    </row>
    <row r="22" spans="2:65" ht="15.75" thickTop="1">
      <c r="B22" s="345">
        <v>1</v>
      </c>
      <c r="C22" s="397" t="s">
        <v>752</v>
      </c>
      <c r="D22" s="343">
        <v>17</v>
      </c>
      <c r="E22" s="342"/>
      <c r="F22" s="342"/>
      <c r="G22" s="342"/>
      <c r="H22" s="340"/>
      <c r="I22" s="340"/>
      <c r="J22" s="340"/>
      <c r="K22" s="340"/>
      <c r="L22" s="340"/>
      <c r="M22" s="417"/>
      <c r="N22" s="320"/>
      <c r="O22" s="320"/>
      <c r="P22" s="546">
        <v>17</v>
      </c>
      <c r="Q22" s="545" t="s">
        <v>942</v>
      </c>
      <c r="S22" s="320"/>
      <c r="T22" s="495">
        <v>1</v>
      </c>
      <c r="U22" s="494" t="s">
        <v>752</v>
      </c>
      <c r="V22" s="493">
        <v>17</v>
      </c>
      <c r="W22" s="492"/>
      <c r="X22" s="491"/>
      <c r="Y22" s="491"/>
      <c r="Z22" s="490"/>
      <c r="AA22" s="489"/>
      <c r="AB22" s="497"/>
      <c r="AC22" s="487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44">
        <v>1</v>
      </c>
      <c r="AR22" s="397" t="s">
        <v>752</v>
      </c>
      <c r="AS22" s="343">
        <v>17</v>
      </c>
      <c r="AT22" s="486"/>
      <c r="AU22" s="485"/>
      <c r="AV22" s="485"/>
      <c r="AW22" s="484"/>
      <c r="AX22" s="483"/>
      <c r="AY22" s="496"/>
      <c r="AZ22" s="363"/>
      <c r="BA22" s="342"/>
      <c r="BB22" s="342"/>
      <c r="BC22" s="481"/>
      <c r="BD22" s="423"/>
      <c r="BE22" s="423"/>
      <c r="BF22" s="423"/>
      <c r="BG22" s="320"/>
      <c r="BH22" s="320"/>
      <c r="BI22" s="320"/>
      <c r="BJ22" s="320"/>
      <c r="BK22" s="320"/>
      <c r="BL22" s="320"/>
      <c r="BM22" s="320"/>
    </row>
    <row r="23" spans="2:65">
      <c r="B23" s="345">
        <v>1</v>
      </c>
      <c r="C23" s="397" t="s">
        <v>753</v>
      </c>
      <c r="D23" s="343">
        <v>18</v>
      </c>
      <c r="E23" s="342"/>
      <c r="F23" s="342"/>
      <c r="G23" s="342"/>
      <c r="H23" s="340"/>
      <c r="I23" s="340"/>
      <c r="J23" s="340"/>
      <c r="K23" s="340"/>
      <c r="L23" s="340"/>
      <c r="M23" s="417"/>
      <c r="N23" s="320"/>
      <c r="O23" s="320"/>
      <c r="P23" s="546">
        <v>18</v>
      </c>
      <c r="Q23" s="545" t="s">
        <v>943</v>
      </c>
      <c r="S23" s="320"/>
      <c r="T23" s="495">
        <v>1</v>
      </c>
      <c r="U23" s="494" t="s">
        <v>753</v>
      </c>
      <c r="V23" s="493">
        <v>18</v>
      </c>
      <c r="W23" s="492"/>
      <c r="X23" s="491"/>
      <c r="Y23" s="491"/>
      <c r="Z23" s="490"/>
      <c r="AA23" s="489"/>
      <c r="AB23" s="488"/>
      <c r="AC23" s="487"/>
      <c r="AD23" s="320"/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44">
        <v>1</v>
      </c>
      <c r="AR23" s="397" t="s">
        <v>753</v>
      </c>
      <c r="AS23" s="343">
        <v>18</v>
      </c>
      <c r="AT23" s="486"/>
      <c r="AU23" s="485"/>
      <c r="AV23" s="485"/>
      <c r="AW23" s="484"/>
      <c r="AX23" s="483"/>
      <c r="AY23" s="482"/>
      <c r="AZ23" s="363"/>
      <c r="BA23" s="342"/>
      <c r="BB23" s="342"/>
      <c r="BC23" s="481"/>
      <c r="BD23" s="423"/>
      <c r="BE23" s="423"/>
      <c r="BF23" s="423"/>
      <c r="BG23" s="320"/>
      <c r="BH23" s="320"/>
      <c r="BI23" s="320"/>
      <c r="BJ23" s="320"/>
      <c r="BK23" s="320"/>
      <c r="BL23" s="320"/>
      <c r="BM23" s="320"/>
    </row>
    <row r="24" spans="2:65">
      <c r="B24" s="345">
        <v>1</v>
      </c>
      <c r="C24" s="397" t="s">
        <v>754</v>
      </c>
      <c r="D24" s="343">
        <v>19</v>
      </c>
      <c r="E24" s="342"/>
      <c r="F24" s="342"/>
      <c r="G24" s="342"/>
      <c r="H24" s="340"/>
      <c r="I24" s="340"/>
      <c r="J24" s="340"/>
      <c r="K24" s="340"/>
      <c r="L24" s="340"/>
      <c r="M24" s="417"/>
      <c r="N24" s="320"/>
      <c r="O24" s="320"/>
      <c r="P24" s="546">
        <v>19</v>
      </c>
      <c r="Q24" s="545" t="s">
        <v>944</v>
      </c>
      <c r="S24" s="320"/>
      <c r="T24" s="495">
        <v>1</v>
      </c>
      <c r="U24" s="494" t="s">
        <v>754</v>
      </c>
      <c r="V24" s="493">
        <v>19</v>
      </c>
      <c r="W24" s="492"/>
      <c r="X24" s="491"/>
      <c r="Y24" s="491"/>
      <c r="Z24" s="490"/>
      <c r="AA24" s="489"/>
      <c r="AB24" s="488"/>
      <c r="AC24" s="487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44">
        <v>1</v>
      </c>
      <c r="AR24" s="397" t="s">
        <v>754</v>
      </c>
      <c r="AS24" s="343">
        <v>19</v>
      </c>
      <c r="AT24" s="486"/>
      <c r="AU24" s="485"/>
      <c r="AV24" s="485"/>
      <c r="AW24" s="484"/>
      <c r="AX24" s="483"/>
      <c r="AY24" s="482"/>
      <c r="AZ24" s="363"/>
      <c r="BA24" s="342"/>
      <c r="BB24" s="342"/>
      <c r="BC24" s="481"/>
      <c r="BD24" s="423"/>
      <c r="BE24" s="423"/>
      <c r="BF24" s="423"/>
      <c r="BG24" s="320"/>
      <c r="BH24" s="320"/>
      <c r="BI24" s="320"/>
      <c r="BJ24" s="320"/>
      <c r="BK24" s="320"/>
      <c r="BL24" s="320"/>
      <c r="BM24" s="320"/>
    </row>
    <row r="25" spans="2:65">
      <c r="B25" s="345">
        <v>1</v>
      </c>
      <c r="C25" s="397" t="s">
        <v>755</v>
      </c>
      <c r="D25" s="343">
        <v>20</v>
      </c>
      <c r="E25" s="342"/>
      <c r="F25" s="342"/>
      <c r="G25" s="342"/>
      <c r="H25" s="340"/>
      <c r="I25" s="340"/>
      <c r="J25" s="340"/>
      <c r="K25" s="340"/>
      <c r="L25" s="340"/>
      <c r="M25" s="417"/>
      <c r="N25" s="320"/>
      <c r="O25" s="320"/>
      <c r="P25" s="546">
        <v>20</v>
      </c>
      <c r="Q25" s="545" t="s">
        <v>945</v>
      </c>
      <c r="S25" s="320"/>
      <c r="T25" s="495">
        <v>1</v>
      </c>
      <c r="U25" s="494" t="s">
        <v>755</v>
      </c>
      <c r="V25" s="493">
        <v>20</v>
      </c>
      <c r="W25" s="492"/>
      <c r="X25" s="491"/>
      <c r="Y25" s="491"/>
      <c r="Z25" s="490"/>
      <c r="AA25" s="489"/>
      <c r="AB25" s="488"/>
      <c r="AC25" s="487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44">
        <v>1</v>
      </c>
      <c r="AR25" s="397" t="s">
        <v>755</v>
      </c>
      <c r="AS25" s="343">
        <v>20</v>
      </c>
      <c r="AT25" s="486"/>
      <c r="AU25" s="485"/>
      <c r="AV25" s="485"/>
      <c r="AW25" s="484"/>
      <c r="AX25" s="483"/>
      <c r="AY25" s="482"/>
      <c r="AZ25" s="363"/>
      <c r="BA25" s="342"/>
      <c r="BB25" s="342"/>
      <c r="BC25" s="481"/>
      <c r="BD25" s="423"/>
      <c r="BE25" s="423"/>
      <c r="BF25" s="423"/>
      <c r="BG25" s="320"/>
      <c r="BH25" s="320"/>
      <c r="BI25" s="320"/>
      <c r="BJ25" s="320"/>
      <c r="BK25" s="320"/>
      <c r="BL25" s="320"/>
      <c r="BM25" s="320"/>
    </row>
    <row r="26" spans="2:65">
      <c r="B26" s="345">
        <v>1</v>
      </c>
      <c r="C26" s="397" t="s">
        <v>756</v>
      </c>
      <c r="D26" s="343">
        <v>21</v>
      </c>
      <c r="E26" s="342"/>
      <c r="F26" s="342"/>
      <c r="G26" s="342"/>
      <c r="H26" s="340"/>
      <c r="I26" s="340"/>
      <c r="J26" s="340"/>
      <c r="K26" s="340"/>
      <c r="L26" s="340"/>
      <c r="M26" s="417"/>
      <c r="N26" s="320"/>
      <c r="O26" s="320"/>
      <c r="P26" s="546">
        <v>21</v>
      </c>
      <c r="Q26" s="545" t="s">
        <v>946</v>
      </c>
      <c r="S26" s="320"/>
      <c r="T26" s="495">
        <v>1</v>
      </c>
      <c r="U26" s="494" t="s">
        <v>756</v>
      </c>
      <c r="V26" s="493">
        <v>21</v>
      </c>
      <c r="W26" s="492"/>
      <c r="X26" s="491"/>
      <c r="Y26" s="491"/>
      <c r="Z26" s="490"/>
      <c r="AA26" s="489"/>
      <c r="AB26" s="488"/>
      <c r="AC26" s="487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44">
        <v>1</v>
      </c>
      <c r="AR26" s="397" t="s">
        <v>756</v>
      </c>
      <c r="AS26" s="343">
        <v>21</v>
      </c>
      <c r="AT26" s="486"/>
      <c r="AU26" s="485"/>
      <c r="AV26" s="485"/>
      <c r="AW26" s="484"/>
      <c r="AX26" s="483"/>
      <c r="AY26" s="482"/>
      <c r="AZ26" s="363"/>
      <c r="BA26" s="342"/>
      <c r="BB26" s="342"/>
      <c r="BC26" s="481"/>
      <c r="BD26" s="423"/>
      <c r="BE26" s="423"/>
      <c r="BF26" s="423"/>
      <c r="BG26" s="320"/>
      <c r="BH26" s="320"/>
      <c r="BI26" s="320"/>
      <c r="BJ26" s="320"/>
      <c r="BK26" s="320"/>
      <c r="BL26" s="320"/>
      <c r="BM26" s="320"/>
    </row>
    <row r="27" spans="2:65">
      <c r="B27" s="345">
        <v>1</v>
      </c>
      <c r="C27" s="397" t="s">
        <v>757</v>
      </c>
      <c r="D27" s="343">
        <v>22</v>
      </c>
      <c r="E27" s="342"/>
      <c r="F27" s="342"/>
      <c r="G27" s="342"/>
      <c r="H27" s="340"/>
      <c r="I27" s="340"/>
      <c r="J27" s="340"/>
      <c r="K27" s="340"/>
      <c r="L27" s="340"/>
      <c r="M27" s="417"/>
      <c r="N27" s="320"/>
      <c r="O27" s="320"/>
      <c r="P27" s="546">
        <v>22</v>
      </c>
      <c r="Q27" s="545" t="s">
        <v>947</v>
      </c>
      <c r="S27" s="320"/>
      <c r="T27" s="495">
        <v>1</v>
      </c>
      <c r="U27" s="494" t="s">
        <v>757</v>
      </c>
      <c r="V27" s="493">
        <v>22</v>
      </c>
      <c r="W27" s="492"/>
      <c r="X27" s="491"/>
      <c r="Y27" s="491"/>
      <c r="Z27" s="490"/>
      <c r="AA27" s="489"/>
      <c r="AB27" s="488"/>
      <c r="AC27" s="487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44">
        <v>1</v>
      </c>
      <c r="AR27" s="397" t="s">
        <v>757</v>
      </c>
      <c r="AS27" s="343">
        <v>22</v>
      </c>
      <c r="AT27" s="486"/>
      <c r="AU27" s="485"/>
      <c r="AV27" s="485"/>
      <c r="AW27" s="484"/>
      <c r="AX27" s="483"/>
      <c r="AY27" s="482"/>
      <c r="AZ27" s="363"/>
      <c r="BA27" s="342"/>
      <c r="BB27" s="342"/>
      <c r="BC27" s="481"/>
      <c r="BD27" s="423"/>
      <c r="BE27" s="423"/>
      <c r="BF27" s="423"/>
      <c r="BG27" s="320"/>
      <c r="BH27" s="320"/>
      <c r="BI27" s="320"/>
      <c r="BJ27" s="320"/>
      <c r="BK27" s="320"/>
      <c r="BL27" s="320"/>
      <c r="BM27" s="320"/>
    </row>
    <row r="28" spans="2:65">
      <c r="B28" s="345">
        <v>1</v>
      </c>
      <c r="C28" s="397" t="s">
        <v>758</v>
      </c>
      <c r="D28" s="343">
        <v>23</v>
      </c>
      <c r="E28" s="342"/>
      <c r="F28" s="342"/>
      <c r="G28" s="342"/>
      <c r="H28" s="340"/>
      <c r="I28" s="340"/>
      <c r="J28" s="340"/>
      <c r="K28" s="340"/>
      <c r="L28" s="340"/>
      <c r="M28" s="417"/>
      <c r="N28" s="320"/>
      <c r="O28" s="320"/>
      <c r="P28" s="546">
        <v>23</v>
      </c>
      <c r="Q28" s="545" t="s">
        <v>948</v>
      </c>
      <c r="S28" s="320"/>
      <c r="T28" s="495">
        <v>1</v>
      </c>
      <c r="U28" s="494" t="s">
        <v>758</v>
      </c>
      <c r="V28" s="493">
        <v>23</v>
      </c>
      <c r="W28" s="492"/>
      <c r="X28" s="491"/>
      <c r="Y28" s="491"/>
      <c r="Z28" s="490"/>
      <c r="AA28" s="489"/>
      <c r="AB28" s="488"/>
      <c r="AC28" s="487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44">
        <v>1</v>
      </c>
      <c r="AR28" s="397" t="s">
        <v>758</v>
      </c>
      <c r="AS28" s="343">
        <v>23</v>
      </c>
      <c r="AT28" s="486"/>
      <c r="AU28" s="485"/>
      <c r="AV28" s="485"/>
      <c r="AW28" s="484"/>
      <c r="AX28" s="483"/>
      <c r="AY28" s="482"/>
      <c r="AZ28" s="363"/>
      <c r="BA28" s="342"/>
      <c r="BB28" s="342"/>
      <c r="BC28" s="481"/>
      <c r="BD28" s="423"/>
      <c r="BE28" s="423"/>
      <c r="BF28" s="423"/>
      <c r="BG28" s="320"/>
      <c r="BH28" s="320"/>
      <c r="BI28" s="320"/>
      <c r="BJ28" s="320"/>
      <c r="BK28" s="320"/>
      <c r="BL28" s="320"/>
      <c r="BM28" s="320"/>
    </row>
    <row r="29" spans="2:65" ht="15.75" thickBot="1">
      <c r="B29" s="362">
        <v>1</v>
      </c>
      <c r="C29" s="406" t="s">
        <v>759</v>
      </c>
      <c r="D29" s="358">
        <v>24</v>
      </c>
      <c r="E29" s="356"/>
      <c r="F29" s="356"/>
      <c r="G29" s="356"/>
      <c r="H29" s="360"/>
      <c r="I29" s="360"/>
      <c r="J29" s="360"/>
      <c r="K29" s="360"/>
      <c r="L29" s="360"/>
      <c r="M29" s="480"/>
      <c r="N29" s="320"/>
      <c r="O29" s="320"/>
      <c r="P29" s="544">
        <v>24</v>
      </c>
      <c r="Q29" s="543" t="s">
        <v>949</v>
      </c>
      <c r="S29" s="320"/>
      <c r="T29" s="479">
        <v>1</v>
      </c>
      <c r="U29" s="478" t="s">
        <v>759</v>
      </c>
      <c r="V29" s="477">
        <v>24</v>
      </c>
      <c r="W29" s="476"/>
      <c r="X29" s="475"/>
      <c r="Y29" s="475"/>
      <c r="Z29" s="474"/>
      <c r="AA29" s="473"/>
      <c r="AB29" s="472"/>
      <c r="AC29" s="471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0"/>
      <c r="AQ29" s="359">
        <v>1</v>
      </c>
      <c r="AR29" s="406" t="s">
        <v>759</v>
      </c>
      <c r="AS29" s="358">
        <v>24</v>
      </c>
      <c r="AT29" s="470"/>
      <c r="AU29" s="469"/>
      <c r="AV29" s="469"/>
      <c r="AW29" s="468"/>
      <c r="AX29" s="467"/>
      <c r="AY29" s="466"/>
      <c r="AZ29" s="357"/>
      <c r="BA29" s="356"/>
      <c r="BB29" s="356"/>
      <c r="BC29" s="465"/>
      <c r="BD29" s="423"/>
      <c r="BE29" s="423"/>
      <c r="BF29" s="423"/>
      <c r="BG29" s="320"/>
      <c r="BH29" s="320"/>
      <c r="BI29" s="320"/>
      <c r="BJ29" s="320"/>
      <c r="BK29" s="320"/>
      <c r="BL29" s="320"/>
      <c r="BM29" s="320"/>
    </row>
    <row r="30" spans="2:65">
      <c r="B30" s="405">
        <v>1</v>
      </c>
      <c r="C30" s="404" t="s">
        <v>760</v>
      </c>
      <c r="D30" s="403">
        <v>25</v>
      </c>
      <c r="E30" s="347"/>
      <c r="F30" s="347"/>
      <c r="G30" s="347"/>
      <c r="H30" s="540"/>
      <c r="I30" s="540"/>
      <c r="J30" s="540"/>
      <c r="K30" s="352"/>
      <c r="L30" s="352"/>
      <c r="M30" s="464"/>
      <c r="N30" s="320"/>
      <c r="O30" s="320"/>
      <c r="P30" s="320"/>
      <c r="Q30" s="320"/>
      <c r="R30" s="320"/>
      <c r="S30" s="320"/>
      <c r="T30" s="463">
        <v>1</v>
      </c>
      <c r="U30" s="462" t="s">
        <v>760</v>
      </c>
      <c r="V30" s="461">
        <v>25</v>
      </c>
      <c r="W30" s="460"/>
      <c r="X30" s="459"/>
      <c r="Y30" s="459"/>
      <c r="Z30" s="458"/>
      <c r="AA30" s="457"/>
      <c r="AB30" s="456">
        <f>AH7</f>
        <v>0</v>
      </c>
      <c r="AC30" s="455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454">
        <v>1</v>
      </c>
      <c r="AR30" s="404" t="s">
        <v>760</v>
      </c>
      <c r="AS30" s="403">
        <v>25</v>
      </c>
      <c r="AT30" s="453"/>
      <c r="AU30" s="452"/>
      <c r="AV30" s="452"/>
      <c r="AW30" s="451"/>
      <c r="AX30" s="450"/>
      <c r="AY30" s="449">
        <f>BH7</f>
        <v>0</v>
      </c>
      <c r="AZ30" s="448"/>
      <c r="BA30" s="388"/>
      <c r="BB30" s="388"/>
      <c r="BC30" s="447"/>
      <c r="BD30" s="423"/>
      <c r="BE30" s="423"/>
      <c r="BF30" s="423"/>
      <c r="BG30" s="320"/>
      <c r="BH30" s="320"/>
      <c r="BI30" s="320"/>
      <c r="BJ30" s="320"/>
      <c r="BK30" s="320"/>
      <c r="BL30" s="320"/>
      <c r="BM30" s="320"/>
    </row>
    <row r="31" spans="2:65">
      <c r="B31" s="367">
        <v>1</v>
      </c>
      <c r="C31" s="396" t="s">
        <v>761</v>
      </c>
      <c r="D31" s="365">
        <v>26</v>
      </c>
      <c r="E31" s="331"/>
      <c r="F31" s="331"/>
      <c r="G31" s="331"/>
      <c r="H31" s="529"/>
      <c r="I31" s="529"/>
      <c r="J31" s="529"/>
      <c r="K31" s="336"/>
      <c r="L31" s="336"/>
      <c r="M31" s="416"/>
      <c r="N31" s="320"/>
      <c r="O31" s="320"/>
      <c r="P31" s="320"/>
      <c r="Q31" s="320"/>
      <c r="R31" s="320"/>
      <c r="S31" s="320"/>
      <c r="T31" s="422">
        <v>1</v>
      </c>
      <c r="U31" s="421" t="s">
        <v>761</v>
      </c>
      <c r="V31" s="420">
        <v>26</v>
      </c>
      <c r="W31" s="434"/>
      <c r="X31" s="433"/>
      <c r="Y31" s="433"/>
      <c r="Z31" s="432"/>
      <c r="AA31" s="431"/>
      <c r="AB31" s="430"/>
      <c r="AC31" s="418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66">
        <v>1</v>
      </c>
      <c r="AR31" s="396" t="s">
        <v>761</v>
      </c>
      <c r="AS31" s="365">
        <v>26</v>
      </c>
      <c r="AT31" s="429"/>
      <c r="AU31" s="428"/>
      <c r="AV31" s="428"/>
      <c r="AW31" s="427"/>
      <c r="AX31" s="426"/>
      <c r="AY31" s="425"/>
      <c r="AZ31" s="415"/>
      <c r="BA31" s="331"/>
      <c r="BB31" s="331"/>
      <c r="BC31" s="424"/>
      <c r="BD31" s="423"/>
      <c r="BE31" s="423"/>
      <c r="BF31" s="423"/>
      <c r="BG31" s="320"/>
      <c r="BH31" s="320"/>
      <c r="BI31" s="320"/>
      <c r="BJ31" s="320"/>
      <c r="BK31" s="320"/>
      <c r="BL31" s="320"/>
      <c r="BM31" s="320"/>
    </row>
    <row r="32" spans="2:65">
      <c r="B32" s="367">
        <v>1</v>
      </c>
      <c r="C32" s="396" t="s">
        <v>762</v>
      </c>
      <c r="D32" s="365">
        <v>27</v>
      </c>
      <c r="E32" s="331"/>
      <c r="F32" s="331"/>
      <c r="G32" s="331"/>
      <c r="H32" s="529"/>
      <c r="I32" s="529"/>
      <c r="J32" s="529"/>
      <c r="K32" s="336"/>
      <c r="L32" s="336"/>
      <c r="M32" s="416"/>
      <c r="N32" s="320"/>
      <c r="O32" s="320"/>
      <c r="P32" s="320"/>
      <c r="Q32" s="320"/>
      <c r="R32" s="320"/>
      <c r="S32" s="320"/>
      <c r="T32" s="422">
        <v>1</v>
      </c>
      <c r="U32" s="421" t="s">
        <v>762</v>
      </c>
      <c r="V32" s="420">
        <v>27</v>
      </c>
      <c r="W32" s="434"/>
      <c r="X32" s="433"/>
      <c r="Y32" s="433"/>
      <c r="Z32" s="432"/>
      <c r="AA32" s="431"/>
      <c r="AB32" s="430"/>
      <c r="AC32" s="418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66">
        <v>1</v>
      </c>
      <c r="AR32" s="396" t="s">
        <v>762</v>
      </c>
      <c r="AS32" s="365">
        <v>27</v>
      </c>
      <c r="AT32" s="429"/>
      <c r="AU32" s="428"/>
      <c r="AV32" s="428"/>
      <c r="AW32" s="427"/>
      <c r="AX32" s="426"/>
      <c r="AY32" s="425"/>
      <c r="AZ32" s="415"/>
      <c r="BA32" s="331"/>
      <c r="BB32" s="331"/>
      <c r="BC32" s="424"/>
      <c r="BD32" s="423"/>
      <c r="BE32" s="423"/>
      <c r="BF32" s="423"/>
      <c r="BG32" s="320"/>
      <c r="BH32" s="320"/>
      <c r="BI32" s="320"/>
      <c r="BJ32" s="320"/>
      <c r="BK32" s="320"/>
      <c r="BL32" s="320"/>
      <c r="BM32" s="320"/>
    </row>
    <row r="33" spans="2:65">
      <c r="B33" s="367">
        <v>1</v>
      </c>
      <c r="C33" s="396" t="s">
        <v>763</v>
      </c>
      <c r="D33" s="365">
        <v>28</v>
      </c>
      <c r="E33" s="331"/>
      <c r="F33" s="331"/>
      <c r="G33" s="331"/>
      <c r="H33" s="529"/>
      <c r="I33" s="529"/>
      <c r="J33" s="529"/>
      <c r="K33" s="336"/>
      <c r="L33" s="336"/>
      <c r="M33" s="416"/>
      <c r="N33" s="320"/>
      <c r="O33" s="320"/>
      <c r="P33" s="320"/>
      <c r="Q33" s="320"/>
      <c r="R33" s="320"/>
      <c r="S33" s="320"/>
      <c r="T33" s="422">
        <v>1</v>
      </c>
      <c r="U33" s="421" t="s">
        <v>763</v>
      </c>
      <c r="V33" s="420">
        <v>28</v>
      </c>
      <c r="W33" s="434"/>
      <c r="X33" s="433"/>
      <c r="Y33" s="433"/>
      <c r="Z33" s="432"/>
      <c r="AA33" s="431"/>
      <c r="AB33" s="430"/>
      <c r="AC33" s="418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66">
        <v>1</v>
      </c>
      <c r="AR33" s="396" t="s">
        <v>763</v>
      </c>
      <c r="AS33" s="365">
        <v>28</v>
      </c>
      <c r="AT33" s="429"/>
      <c r="AU33" s="428"/>
      <c r="AV33" s="428"/>
      <c r="AW33" s="427"/>
      <c r="AX33" s="426"/>
      <c r="AY33" s="425"/>
      <c r="AZ33" s="415"/>
      <c r="BA33" s="331"/>
      <c r="BB33" s="331"/>
      <c r="BC33" s="424"/>
      <c r="BD33" s="423"/>
      <c r="BE33" s="423"/>
      <c r="BF33" s="423"/>
      <c r="BG33" s="320"/>
      <c r="BH33" s="320"/>
      <c r="BI33" s="320"/>
      <c r="BJ33" s="320"/>
      <c r="BK33" s="320"/>
      <c r="BL33" s="320"/>
      <c r="BM33" s="320"/>
    </row>
    <row r="34" spans="2:65">
      <c r="B34" s="367">
        <v>1</v>
      </c>
      <c r="C34" s="396" t="s">
        <v>764</v>
      </c>
      <c r="D34" s="365">
        <v>29</v>
      </c>
      <c r="E34" s="331"/>
      <c r="F34" s="331"/>
      <c r="G34" s="331"/>
      <c r="H34" s="529"/>
      <c r="I34" s="529"/>
      <c r="J34" s="529"/>
      <c r="K34" s="336"/>
      <c r="L34" s="336"/>
      <c r="M34" s="416"/>
      <c r="N34" s="320"/>
      <c r="O34" s="320"/>
      <c r="P34" s="320"/>
      <c r="Q34" s="320"/>
      <c r="R34" s="320"/>
      <c r="S34" s="320"/>
      <c r="T34" s="422">
        <v>1</v>
      </c>
      <c r="U34" s="421" t="s">
        <v>764</v>
      </c>
      <c r="V34" s="420">
        <v>29</v>
      </c>
      <c r="W34" s="434"/>
      <c r="X34" s="433"/>
      <c r="Y34" s="433"/>
      <c r="Z34" s="432"/>
      <c r="AA34" s="431"/>
      <c r="AB34" s="430"/>
      <c r="AC34" s="418"/>
      <c r="AD34" s="320"/>
      <c r="AE34" s="320"/>
      <c r="AF34" s="320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66">
        <v>1</v>
      </c>
      <c r="AR34" s="396" t="s">
        <v>764</v>
      </c>
      <c r="AS34" s="365">
        <v>29</v>
      </c>
      <c r="AT34" s="429"/>
      <c r="AU34" s="428"/>
      <c r="AV34" s="428"/>
      <c r="AW34" s="427"/>
      <c r="AX34" s="426"/>
      <c r="AY34" s="425"/>
      <c r="AZ34" s="415"/>
      <c r="BA34" s="331"/>
      <c r="BB34" s="331"/>
      <c r="BC34" s="424"/>
      <c r="BD34" s="423"/>
      <c r="BE34" s="423"/>
      <c r="BF34" s="423"/>
      <c r="BG34" s="320"/>
      <c r="BH34" s="320"/>
      <c r="BI34" s="320"/>
      <c r="BJ34" s="320"/>
      <c r="BK34" s="320"/>
      <c r="BL34" s="320"/>
      <c r="BM34" s="320"/>
    </row>
    <row r="35" spans="2:65">
      <c r="B35" s="367">
        <v>1</v>
      </c>
      <c r="C35" s="396" t="s">
        <v>765</v>
      </c>
      <c r="D35" s="365">
        <v>30</v>
      </c>
      <c r="E35" s="331"/>
      <c r="F35" s="331"/>
      <c r="G35" s="331"/>
      <c r="H35" s="529"/>
      <c r="I35" s="529"/>
      <c r="J35" s="529"/>
      <c r="K35" s="336"/>
      <c r="L35" s="336"/>
      <c r="M35" s="416"/>
      <c r="N35" s="320"/>
      <c r="O35" s="320"/>
      <c r="P35" s="320"/>
      <c r="Q35" s="320"/>
      <c r="R35" s="320"/>
      <c r="S35" s="320"/>
      <c r="T35" s="422">
        <v>1</v>
      </c>
      <c r="U35" s="421" t="s">
        <v>765</v>
      </c>
      <c r="V35" s="420">
        <v>30</v>
      </c>
      <c r="W35" s="434"/>
      <c r="X35" s="433"/>
      <c r="Y35" s="433"/>
      <c r="Z35" s="432"/>
      <c r="AA35" s="431"/>
      <c r="AB35" s="430"/>
      <c r="AC35" s="418"/>
      <c r="AD35" s="320"/>
      <c r="AE35" s="320"/>
      <c r="AF35" s="320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66">
        <v>1</v>
      </c>
      <c r="AR35" s="396" t="s">
        <v>765</v>
      </c>
      <c r="AS35" s="365">
        <v>30</v>
      </c>
      <c r="AT35" s="429"/>
      <c r="AU35" s="428"/>
      <c r="AV35" s="428"/>
      <c r="AW35" s="427"/>
      <c r="AX35" s="426"/>
      <c r="AY35" s="425"/>
      <c r="AZ35" s="415"/>
      <c r="BA35" s="331"/>
      <c r="BB35" s="331"/>
      <c r="BC35" s="424"/>
      <c r="BD35" s="423"/>
      <c r="BE35" s="423"/>
      <c r="BF35" s="423"/>
      <c r="BG35" s="320"/>
      <c r="BH35" s="320"/>
      <c r="BI35" s="320"/>
      <c r="BJ35" s="320"/>
      <c r="BK35" s="320"/>
      <c r="BL35" s="320"/>
      <c r="BM35" s="320"/>
    </row>
    <row r="36" spans="2:65">
      <c r="B36" s="367">
        <v>1</v>
      </c>
      <c r="C36" s="396" t="s">
        <v>766</v>
      </c>
      <c r="D36" s="365">
        <v>31</v>
      </c>
      <c r="E36" s="331"/>
      <c r="F36" s="331"/>
      <c r="G36" s="331"/>
      <c r="H36" s="529"/>
      <c r="I36" s="529"/>
      <c r="J36" s="529"/>
      <c r="K36" s="336"/>
      <c r="L36" s="336"/>
      <c r="M36" s="416"/>
      <c r="N36" s="320"/>
      <c r="O36" s="320"/>
      <c r="P36" s="320"/>
      <c r="Q36" s="320"/>
      <c r="R36" s="320"/>
      <c r="S36" s="320"/>
      <c r="T36" s="422">
        <v>1</v>
      </c>
      <c r="U36" s="421" t="s">
        <v>766</v>
      </c>
      <c r="V36" s="420">
        <v>31</v>
      </c>
      <c r="W36" s="434"/>
      <c r="X36" s="433"/>
      <c r="Y36" s="433"/>
      <c r="Z36" s="432"/>
      <c r="AA36" s="431"/>
      <c r="AB36" s="430"/>
      <c r="AC36" s="418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66">
        <v>1</v>
      </c>
      <c r="AR36" s="396" t="s">
        <v>766</v>
      </c>
      <c r="AS36" s="365">
        <v>31</v>
      </c>
      <c r="AT36" s="429"/>
      <c r="AU36" s="428"/>
      <c r="AV36" s="428"/>
      <c r="AW36" s="427"/>
      <c r="AX36" s="426"/>
      <c r="AY36" s="425"/>
      <c r="AZ36" s="415"/>
      <c r="BA36" s="331"/>
      <c r="BB36" s="331"/>
      <c r="BC36" s="424"/>
      <c r="BD36" s="423"/>
      <c r="BE36" s="423"/>
      <c r="BF36" s="423"/>
      <c r="BG36" s="320"/>
      <c r="BH36" s="320"/>
      <c r="BI36" s="320"/>
      <c r="BJ36" s="320"/>
      <c r="BK36" s="320"/>
      <c r="BL36" s="320"/>
      <c r="BM36" s="320"/>
    </row>
    <row r="37" spans="2:65">
      <c r="B37" s="367">
        <v>1</v>
      </c>
      <c r="C37" s="396" t="s">
        <v>767</v>
      </c>
      <c r="D37" s="365">
        <v>32</v>
      </c>
      <c r="E37" s="331"/>
      <c r="F37" s="331"/>
      <c r="G37" s="331"/>
      <c r="H37" s="529"/>
      <c r="I37" s="529"/>
      <c r="J37" s="529"/>
      <c r="K37" s="336"/>
      <c r="L37" s="336"/>
      <c r="M37" s="416"/>
      <c r="N37" s="320"/>
      <c r="O37" s="320"/>
      <c r="P37" s="320"/>
      <c r="Q37" s="320"/>
      <c r="R37" s="320"/>
      <c r="S37" s="320"/>
      <c r="T37" s="422">
        <v>1</v>
      </c>
      <c r="U37" s="421" t="s">
        <v>767</v>
      </c>
      <c r="V37" s="420">
        <v>32</v>
      </c>
      <c r="W37" s="434"/>
      <c r="X37" s="433"/>
      <c r="Y37" s="433"/>
      <c r="Z37" s="432"/>
      <c r="AA37" s="431"/>
      <c r="AB37" s="430"/>
      <c r="AC37" s="418"/>
      <c r="AD37" s="320"/>
      <c r="AE37" s="320"/>
      <c r="AF37" s="320"/>
      <c r="AG37" s="320"/>
      <c r="AH37" s="320"/>
      <c r="AI37" s="320"/>
      <c r="AJ37" s="320"/>
      <c r="AK37" s="320"/>
      <c r="AL37" s="320"/>
      <c r="AM37" s="320"/>
      <c r="AN37" s="320"/>
      <c r="AO37" s="320"/>
      <c r="AP37" s="320"/>
      <c r="AQ37" s="366">
        <v>1</v>
      </c>
      <c r="AR37" s="396" t="s">
        <v>767</v>
      </c>
      <c r="AS37" s="365">
        <v>32</v>
      </c>
      <c r="AT37" s="429"/>
      <c r="AU37" s="428"/>
      <c r="AV37" s="428"/>
      <c r="AW37" s="427"/>
      <c r="AX37" s="426"/>
      <c r="AY37" s="425"/>
      <c r="AZ37" s="415"/>
      <c r="BA37" s="331"/>
      <c r="BB37" s="331"/>
      <c r="BC37" s="424"/>
      <c r="BD37" s="423"/>
      <c r="BE37" s="423"/>
      <c r="BF37" s="423"/>
      <c r="BG37" s="320"/>
      <c r="BH37" s="320"/>
      <c r="BI37" s="320"/>
      <c r="BJ37" s="320"/>
      <c r="BK37" s="320"/>
      <c r="BL37" s="320"/>
      <c r="BM37" s="320"/>
    </row>
    <row r="38" spans="2:65">
      <c r="B38" s="345">
        <v>1</v>
      </c>
      <c r="C38" s="397" t="s">
        <v>768</v>
      </c>
      <c r="D38" s="343">
        <v>33</v>
      </c>
      <c r="E38" s="342"/>
      <c r="F38" s="342"/>
      <c r="G38" s="342"/>
      <c r="H38" s="340"/>
      <c r="I38" s="340"/>
      <c r="J38" s="340"/>
      <c r="K38" s="340"/>
      <c r="L38" s="340"/>
      <c r="M38" s="417"/>
      <c r="N38" s="320"/>
      <c r="O38" s="320"/>
      <c r="P38" s="320"/>
      <c r="Q38" s="320"/>
      <c r="R38" s="320"/>
      <c r="S38" s="320"/>
      <c r="T38" s="422">
        <v>1</v>
      </c>
      <c r="U38" s="421" t="s">
        <v>768</v>
      </c>
      <c r="V38" s="420">
        <v>33</v>
      </c>
      <c r="W38" s="434"/>
      <c r="X38" s="433"/>
      <c r="Y38" s="433"/>
      <c r="Z38" s="432"/>
      <c r="AA38" s="431"/>
      <c r="AB38" s="531"/>
      <c r="AC38" s="418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66">
        <v>1</v>
      </c>
      <c r="AR38" s="396" t="s">
        <v>768</v>
      </c>
      <c r="AS38" s="365">
        <v>33</v>
      </c>
      <c r="AT38" s="429"/>
      <c r="AU38" s="428"/>
      <c r="AV38" s="428"/>
      <c r="AW38" s="427"/>
      <c r="AX38" s="426"/>
      <c r="AY38" s="530"/>
      <c r="AZ38" s="415"/>
      <c r="BA38" s="331"/>
      <c r="BB38" s="331"/>
      <c r="BC38" s="424"/>
      <c r="BD38" s="423"/>
      <c r="BE38" s="423"/>
      <c r="BF38" s="423"/>
      <c r="BG38" s="320"/>
      <c r="BH38" s="320"/>
      <c r="BI38" s="320"/>
      <c r="BJ38" s="320"/>
      <c r="BK38" s="320"/>
      <c r="BL38" s="320"/>
      <c r="BM38" s="320"/>
    </row>
    <row r="39" spans="2:65">
      <c r="B39" s="345">
        <v>1</v>
      </c>
      <c r="C39" s="397" t="s">
        <v>769</v>
      </c>
      <c r="D39" s="343">
        <v>34</v>
      </c>
      <c r="E39" s="342"/>
      <c r="F39" s="342"/>
      <c r="G39" s="342"/>
      <c r="H39" s="340"/>
      <c r="I39" s="340"/>
      <c r="J39" s="340"/>
      <c r="K39" s="340"/>
      <c r="L39" s="340"/>
      <c r="M39" s="417"/>
      <c r="N39" s="320"/>
      <c r="O39" s="320"/>
      <c r="P39" s="320"/>
      <c r="Q39" s="320"/>
      <c r="R39" s="320"/>
      <c r="S39" s="320"/>
      <c r="T39" s="422">
        <v>1</v>
      </c>
      <c r="U39" s="421" t="s">
        <v>769</v>
      </c>
      <c r="V39" s="420">
        <v>34</v>
      </c>
      <c r="W39" s="434"/>
      <c r="X39" s="433"/>
      <c r="Y39" s="433"/>
      <c r="Z39" s="432"/>
      <c r="AA39" s="431"/>
      <c r="AB39" s="430"/>
      <c r="AC39" s="418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66">
        <v>1</v>
      </c>
      <c r="AR39" s="396" t="s">
        <v>769</v>
      </c>
      <c r="AS39" s="365">
        <v>34</v>
      </c>
      <c r="AT39" s="429"/>
      <c r="AU39" s="428"/>
      <c r="AV39" s="428"/>
      <c r="AW39" s="427"/>
      <c r="AX39" s="426"/>
      <c r="AY39" s="425"/>
      <c r="AZ39" s="415"/>
      <c r="BA39" s="331"/>
      <c r="BB39" s="331"/>
      <c r="BC39" s="424"/>
      <c r="BD39" s="423"/>
      <c r="BE39" s="423"/>
      <c r="BF39" s="423"/>
      <c r="BG39" s="320"/>
      <c r="BH39" s="320"/>
      <c r="BI39" s="320"/>
      <c r="BJ39" s="320"/>
      <c r="BK39" s="320"/>
      <c r="BL39" s="320"/>
      <c r="BM39" s="320"/>
    </row>
    <row r="40" spans="2:65">
      <c r="B40" s="345">
        <v>1</v>
      </c>
      <c r="C40" s="397" t="s">
        <v>770</v>
      </c>
      <c r="D40" s="343">
        <v>35</v>
      </c>
      <c r="E40" s="342"/>
      <c r="F40" s="342"/>
      <c r="G40" s="342"/>
      <c r="H40" s="340"/>
      <c r="I40" s="340"/>
      <c r="J40" s="340"/>
      <c r="K40" s="340"/>
      <c r="L40" s="340"/>
      <c r="M40" s="417"/>
      <c r="N40" s="320"/>
      <c r="O40" s="320"/>
      <c r="P40" s="320"/>
      <c r="Q40" s="320"/>
      <c r="R40" s="320"/>
      <c r="S40" s="320"/>
      <c r="T40" s="422">
        <v>1</v>
      </c>
      <c r="U40" s="421" t="s">
        <v>770</v>
      </c>
      <c r="V40" s="420">
        <v>35</v>
      </c>
      <c r="W40" s="434"/>
      <c r="X40" s="433"/>
      <c r="Y40" s="433"/>
      <c r="Z40" s="432"/>
      <c r="AA40" s="431"/>
      <c r="AB40" s="430"/>
      <c r="AC40" s="418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66">
        <v>1</v>
      </c>
      <c r="AR40" s="396" t="s">
        <v>770</v>
      </c>
      <c r="AS40" s="365">
        <v>35</v>
      </c>
      <c r="AT40" s="429"/>
      <c r="AU40" s="428"/>
      <c r="AV40" s="428"/>
      <c r="AW40" s="427"/>
      <c r="AX40" s="426"/>
      <c r="AY40" s="425"/>
      <c r="AZ40" s="415"/>
      <c r="BA40" s="331"/>
      <c r="BB40" s="331"/>
      <c r="BC40" s="424"/>
      <c r="BD40" s="423"/>
      <c r="BE40" s="423"/>
      <c r="BF40" s="423"/>
      <c r="BG40" s="320"/>
      <c r="BH40" s="320"/>
      <c r="BI40" s="320"/>
      <c r="BJ40" s="320"/>
      <c r="BK40" s="320"/>
      <c r="BL40" s="320"/>
      <c r="BM40" s="320"/>
    </row>
    <row r="41" spans="2:65">
      <c r="B41" s="345">
        <v>1</v>
      </c>
      <c r="C41" s="397" t="s">
        <v>771</v>
      </c>
      <c r="D41" s="343">
        <v>36</v>
      </c>
      <c r="E41" s="342"/>
      <c r="F41" s="342"/>
      <c r="G41" s="342"/>
      <c r="H41" s="340"/>
      <c r="I41" s="340"/>
      <c r="J41" s="340"/>
      <c r="K41" s="340"/>
      <c r="L41" s="340"/>
      <c r="M41" s="417"/>
      <c r="N41" s="320"/>
      <c r="O41" s="320"/>
      <c r="P41" s="320"/>
      <c r="Q41" s="320"/>
      <c r="R41" s="320"/>
      <c r="S41" s="320"/>
      <c r="T41" s="422">
        <v>1</v>
      </c>
      <c r="U41" s="421" t="s">
        <v>771</v>
      </c>
      <c r="V41" s="420">
        <v>36</v>
      </c>
      <c r="W41" s="434"/>
      <c r="X41" s="433"/>
      <c r="Y41" s="433"/>
      <c r="Z41" s="432"/>
      <c r="AA41" s="431"/>
      <c r="AB41" s="430"/>
      <c r="AC41" s="418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20"/>
      <c r="AO41" s="320"/>
      <c r="AP41" s="320"/>
      <c r="AQ41" s="366">
        <v>1</v>
      </c>
      <c r="AR41" s="396" t="s">
        <v>771</v>
      </c>
      <c r="AS41" s="365">
        <v>36</v>
      </c>
      <c r="AT41" s="429"/>
      <c r="AU41" s="428"/>
      <c r="AV41" s="428"/>
      <c r="AW41" s="427"/>
      <c r="AX41" s="426"/>
      <c r="AY41" s="425"/>
      <c r="AZ41" s="415"/>
      <c r="BA41" s="331"/>
      <c r="BB41" s="331"/>
      <c r="BC41" s="424"/>
      <c r="BD41" s="423"/>
      <c r="BE41" s="423"/>
      <c r="BF41" s="423"/>
      <c r="BG41" s="320"/>
      <c r="BH41" s="320"/>
      <c r="BI41" s="320"/>
      <c r="BJ41" s="320"/>
      <c r="BK41" s="320"/>
      <c r="BL41" s="320"/>
      <c r="BM41" s="320"/>
    </row>
    <row r="42" spans="2:65">
      <c r="B42" s="345">
        <v>1</v>
      </c>
      <c r="C42" s="397" t="s">
        <v>772</v>
      </c>
      <c r="D42" s="343">
        <v>37</v>
      </c>
      <c r="E42" s="342"/>
      <c r="F42" s="342"/>
      <c r="G42" s="342"/>
      <c r="H42" s="340"/>
      <c r="I42" s="340"/>
      <c r="J42" s="340"/>
      <c r="K42" s="340"/>
      <c r="L42" s="340"/>
      <c r="M42" s="417"/>
      <c r="N42" s="320"/>
      <c r="O42" s="320"/>
      <c r="P42" s="320"/>
      <c r="Q42" s="320"/>
      <c r="R42" s="320"/>
      <c r="S42" s="320"/>
      <c r="T42" s="422">
        <v>1</v>
      </c>
      <c r="U42" s="421" t="s">
        <v>772</v>
      </c>
      <c r="V42" s="420">
        <v>37</v>
      </c>
      <c r="W42" s="434"/>
      <c r="X42" s="433"/>
      <c r="Y42" s="433"/>
      <c r="Z42" s="432"/>
      <c r="AA42" s="431"/>
      <c r="AB42" s="430"/>
      <c r="AC42" s="418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66">
        <v>1</v>
      </c>
      <c r="AR42" s="396" t="s">
        <v>772</v>
      </c>
      <c r="AS42" s="365">
        <v>37</v>
      </c>
      <c r="AT42" s="429"/>
      <c r="AU42" s="428"/>
      <c r="AV42" s="428"/>
      <c r="AW42" s="427"/>
      <c r="AX42" s="426"/>
      <c r="AY42" s="425"/>
      <c r="AZ42" s="415"/>
      <c r="BA42" s="331"/>
      <c r="BB42" s="331"/>
      <c r="BC42" s="424"/>
      <c r="BD42" s="423"/>
      <c r="BE42" s="423"/>
      <c r="BF42" s="423"/>
      <c r="BG42" s="320"/>
      <c r="BH42" s="320"/>
      <c r="BI42" s="320"/>
      <c r="BJ42" s="320"/>
      <c r="BK42" s="320"/>
      <c r="BL42" s="320"/>
      <c r="BM42" s="320"/>
    </row>
    <row r="43" spans="2:65">
      <c r="B43" s="345">
        <v>1</v>
      </c>
      <c r="C43" s="397" t="s">
        <v>773</v>
      </c>
      <c r="D43" s="343">
        <v>38</v>
      </c>
      <c r="E43" s="342"/>
      <c r="F43" s="342"/>
      <c r="G43" s="342"/>
      <c r="H43" s="340"/>
      <c r="I43" s="340"/>
      <c r="J43" s="340"/>
      <c r="K43" s="340"/>
      <c r="L43" s="340"/>
      <c r="M43" s="417"/>
      <c r="N43" s="320"/>
      <c r="O43" s="320"/>
      <c r="P43" s="320"/>
      <c r="Q43" s="320"/>
      <c r="R43" s="320"/>
      <c r="S43" s="320"/>
      <c r="T43" s="422">
        <v>1</v>
      </c>
      <c r="U43" s="421" t="s">
        <v>773</v>
      </c>
      <c r="V43" s="420">
        <v>38</v>
      </c>
      <c r="W43" s="434"/>
      <c r="X43" s="433"/>
      <c r="Y43" s="433"/>
      <c r="Z43" s="432"/>
      <c r="AA43" s="431"/>
      <c r="AB43" s="430"/>
      <c r="AC43" s="418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320"/>
      <c r="AO43" s="320"/>
      <c r="AP43" s="320"/>
      <c r="AQ43" s="366">
        <v>1</v>
      </c>
      <c r="AR43" s="396" t="s">
        <v>773</v>
      </c>
      <c r="AS43" s="365">
        <v>38</v>
      </c>
      <c r="AT43" s="429"/>
      <c r="AU43" s="428"/>
      <c r="AV43" s="428"/>
      <c r="AW43" s="427"/>
      <c r="AX43" s="426"/>
      <c r="AY43" s="425"/>
      <c r="AZ43" s="415"/>
      <c r="BA43" s="331"/>
      <c r="BB43" s="331"/>
      <c r="BC43" s="424"/>
      <c r="BD43" s="423"/>
      <c r="BE43" s="423"/>
      <c r="BF43" s="423"/>
      <c r="BG43" s="320"/>
      <c r="BH43" s="320"/>
      <c r="BI43" s="320"/>
      <c r="BJ43" s="320"/>
      <c r="BK43" s="320"/>
      <c r="BL43" s="320"/>
      <c r="BM43" s="320"/>
    </row>
    <row r="44" spans="2:65">
      <c r="B44" s="345">
        <v>1</v>
      </c>
      <c r="C44" s="397" t="s">
        <v>774</v>
      </c>
      <c r="D44" s="343">
        <v>39</v>
      </c>
      <c r="E44" s="342"/>
      <c r="F44" s="342"/>
      <c r="G44" s="342"/>
      <c r="H44" s="340"/>
      <c r="I44" s="340"/>
      <c r="J44" s="340"/>
      <c r="K44" s="340"/>
      <c r="L44" s="340"/>
      <c r="M44" s="417"/>
      <c r="N44" s="320"/>
      <c r="O44" s="320"/>
      <c r="P44" s="320"/>
      <c r="Q44" s="320"/>
      <c r="R44" s="320"/>
      <c r="S44" s="320"/>
      <c r="T44" s="422">
        <v>1</v>
      </c>
      <c r="U44" s="421" t="s">
        <v>774</v>
      </c>
      <c r="V44" s="420">
        <v>39</v>
      </c>
      <c r="W44" s="434"/>
      <c r="X44" s="433"/>
      <c r="Y44" s="433"/>
      <c r="Z44" s="432"/>
      <c r="AA44" s="431"/>
      <c r="AB44" s="430"/>
      <c r="AC44" s="418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66">
        <v>1</v>
      </c>
      <c r="AR44" s="396" t="s">
        <v>774</v>
      </c>
      <c r="AS44" s="365">
        <v>39</v>
      </c>
      <c r="AT44" s="429"/>
      <c r="AU44" s="428"/>
      <c r="AV44" s="428"/>
      <c r="AW44" s="427"/>
      <c r="AX44" s="426"/>
      <c r="AY44" s="425"/>
      <c r="AZ44" s="415"/>
      <c r="BA44" s="331"/>
      <c r="BB44" s="331"/>
      <c r="BC44" s="424"/>
      <c r="BD44" s="423"/>
      <c r="BE44" s="423"/>
      <c r="BF44" s="423"/>
      <c r="BG44" s="320"/>
      <c r="BH44" s="320"/>
      <c r="BI44" s="320"/>
      <c r="BJ44" s="320"/>
      <c r="BK44" s="320"/>
      <c r="BL44" s="320"/>
      <c r="BM44" s="320"/>
    </row>
    <row r="45" spans="2:65">
      <c r="B45" s="345">
        <v>1</v>
      </c>
      <c r="C45" s="397" t="s">
        <v>775</v>
      </c>
      <c r="D45" s="343">
        <v>40</v>
      </c>
      <c r="E45" s="342"/>
      <c r="F45" s="342"/>
      <c r="G45" s="342"/>
      <c r="H45" s="340"/>
      <c r="I45" s="340"/>
      <c r="J45" s="340"/>
      <c r="K45" s="340"/>
      <c r="L45" s="340"/>
      <c r="M45" s="417"/>
      <c r="N45" s="320"/>
      <c r="O45" s="320"/>
      <c r="P45" s="320"/>
      <c r="Q45" s="320"/>
      <c r="R45" s="320"/>
      <c r="S45" s="320"/>
      <c r="T45" s="422">
        <v>1</v>
      </c>
      <c r="U45" s="421" t="s">
        <v>775</v>
      </c>
      <c r="V45" s="420">
        <v>40</v>
      </c>
      <c r="W45" s="434"/>
      <c r="X45" s="433"/>
      <c r="Y45" s="433"/>
      <c r="Z45" s="432"/>
      <c r="AA45" s="431"/>
      <c r="AB45" s="430"/>
      <c r="AC45" s="418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66">
        <v>1</v>
      </c>
      <c r="AR45" s="396" t="s">
        <v>775</v>
      </c>
      <c r="AS45" s="365">
        <v>40</v>
      </c>
      <c r="AT45" s="429"/>
      <c r="AU45" s="428"/>
      <c r="AV45" s="428"/>
      <c r="AW45" s="427"/>
      <c r="AX45" s="426"/>
      <c r="AY45" s="425"/>
      <c r="AZ45" s="415"/>
      <c r="BA45" s="331"/>
      <c r="BB45" s="331"/>
      <c r="BC45" s="424"/>
      <c r="BD45" s="423"/>
      <c r="BE45" s="423"/>
      <c r="BF45" s="423"/>
      <c r="BG45" s="320"/>
      <c r="BH45" s="320"/>
      <c r="BI45" s="320"/>
      <c r="BJ45" s="320"/>
      <c r="BK45" s="320"/>
      <c r="BL45" s="320"/>
      <c r="BM45" s="320"/>
    </row>
    <row r="46" spans="2:65">
      <c r="B46" s="367">
        <v>1</v>
      </c>
      <c r="C46" s="396" t="s">
        <v>776</v>
      </c>
      <c r="D46" s="365">
        <v>41</v>
      </c>
      <c r="E46" s="331"/>
      <c r="F46" s="331"/>
      <c r="G46" s="331"/>
      <c r="H46" s="529"/>
      <c r="I46" s="336"/>
      <c r="J46" s="336"/>
      <c r="K46" s="336"/>
      <c r="L46" s="336"/>
      <c r="M46" s="416"/>
      <c r="N46" s="320"/>
      <c r="O46" s="320"/>
      <c r="P46" s="320"/>
      <c r="Q46" s="320"/>
      <c r="R46" s="320"/>
      <c r="S46" s="320"/>
      <c r="T46" s="422">
        <v>1</v>
      </c>
      <c r="U46" s="421" t="s">
        <v>776</v>
      </c>
      <c r="V46" s="420">
        <v>41</v>
      </c>
      <c r="W46" s="434"/>
      <c r="X46" s="433"/>
      <c r="Y46" s="433"/>
      <c r="Z46" s="432"/>
      <c r="AA46" s="431"/>
      <c r="AB46" s="430"/>
      <c r="AC46" s="418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66">
        <v>1</v>
      </c>
      <c r="AR46" s="396" t="s">
        <v>776</v>
      </c>
      <c r="AS46" s="365">
        <v>41</v>
      </c>
      <c r="AT46" s="429"/>
      <c r="AU46" s="428"/>
      <c r="AV46" s="428"/>
      <c r="AW46" s="427"/>
      <c r="AX46" s="426"/>
      <c r="AY46" s="425"/>
      <c r="AZ46" s="415"/>
      <c r="BA46" s="331"/>
      <c r="BB46" s="331"/>
      <c r="BC46" s="424"/>
      <c r="BD46" s="423"/>
      <c r="BE46" s="423"/>
      <c r="BF46" s="423"/>
      <c r="BG46" s="320"/>
      <c r="BH46" s="320"/>
      <c r="BI46" s="320"/>
      <c r="BJ46" s="320"/>
      <c r="BK46" s="320"/>
      <c r="BL46" s="320"/>
      <c r="BM46" s="320"/>
    </row>
    <row r="47" spans="2:65">
      <c r="B47" s="367">
        <v>1</v>
      </c>
      <c r="C47" s="396" t="s">
        <v>777</v>
      </c>
      <c r="D47" s="365">
        <v>42</v>
      </c>
      <c r="E47" s="331"/>
      <c r="F47" s="331"/>
      <c r="G47" s="331"/>
      <c r="H47" s="529"/>
      <c r="I47" s="336"/>
      <c r="J47" s="336"/>
      <c r="K47" s="336"/>
      <c r="L47" s="336"/>
      <c r="M47" s="416"/>
      <c r="N47" s="320"/>
      <c r="O47" s="320"/>
      <c r="P47" s="320"/>
      <c r="Q47" s="320"/>
      <c r="R47" s="320"/>
      <c r="S47" s="320"/>
      <c r="T47" s="422">
        <v>1</v>
      </c>
      <c r="U47" s="421" t="s">
        <v>777</v>
      </c>
      <c r="V47" s="420">
        <v>42</v>
      </c>
      <c r="W47" s="434"/>
      <c r="X47" s="433"/>
      <c r="Y47" s="433"/>
      <c r="Z47" s="432"/>
      <c r="AA47" s="431"/>
      <c r="AB47" s="430"/>
      <c r="AC47" s="418"/>
      <c r="AD47" s="320"/>
      <c r="AE47" s="320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66">
        <v>1</v>
      </c>
      <c r="AR47" s="396" t="s">
        <v>777</v>
      </c>
      <c r="AS47" s="365">
        <v>42</v>
      </c>
      <c r="AT47" s="429"/>
      <c r="AU47" s="428"/>
      <c r="AV47" s="428"/>
      <c r="AW47" s="427"/>
      <c r="AX47" s="426"/>
      <c r="AY47" s="425"/>
      <c r="AZ47" s="415"/>
      <c r="BA47" s="331"/>
      <c r="BB47" s="331"/>
      <c r="BC47" s="424"/>
      <c r="BD47" s="423"/>
      <c r="BE47" s="423"/>
      <c r="BF47" s="423"/>
      <c r="BG47" s="320"/>
      <c r="BH47" s="320"/>
      <c r="BI47" s="320"/>
      <c r="BJ47" s="320"/>
      <c r="BK47" s="320"/>
      <c r="BL47" s="320"/>
      <c r="BM47" s="320"/>
    </row>
    <row r="48" spans="2:65">
      <c r="B48" s="367">
        <v>1</v>
      </c>
      <c r="C48" s="396" t="s">
        <v>778</v>
      </c>
      <c r="D48" s="365">
        <v>43</v>
      </c>
      <c r="E48" s="331"/>
      <c r="F48" s="331"/>
      <c r="G48" s="331"/>
      <c r="H48" s="529"/>
      <c r="I48" s="336"/>
      <c r="J48" s="336"/>
      <c r="K48" s="336"/>
      <c r="L48" s="336"/>
      <c r="M48" s="416"/>
      <c r="N48" s="320"/>
      <c r="O48" s="320"/>
      <c r="P48" s="320"/>
      <c r="Q48" s="320"/>
      <c r="R48" s="320"/>
      <c r="S48" s="320"/>
      <c r="T48" s="422">
        <v>1</v>
      </c>
      <c r="U48" s="421" t="s">
        <v>778</v>
      </c>
      <c r="V48" s="420">
        <v>43</v>
      </c>
      <c r="W48" s="434"/>
      <c r="X48" s="433"/>
      <c r="Y48" s="433"/>
      <c r="Z48" s="432"/>
      <c r="AA48" s="431"/>
      <c r="AB48" s="430"/>
      <c r="AC48" s="418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66">
        <v>1</v>
      </c>
      <c r="AR48" s="396" t="s">
        <v>778</v>
      </c>
      <c r="AS48" s="365">
        <v>43</v>
      </c>
      <c r="AT48" s="429"/>
      <c r="AU48" s="428"/>
      <c r="AV48" s="428"/>
      <c r="AW48" s="427"/>
      <c r="AX48" s="426"/>
      <c r="AY48" s="425"/>
      <c r="AZ48" s="415"/>
      <c r="BA48" s="331"/>
      <c r="BB48" s="331"/>
      <c r="BC48" s="424"/>
      <c r="BD48" s="423"/>
      <c r="BE48" s="423"/>
      <c r="BF48" s="423"/>
      <c r="BG48" s="320"/>
      <c r="BH48" s="320"/>
      <c r="BI48" s="320"/>
      <c r="BJ48" s="320"/>
      <c r="BK48" s="320"/>
      <c r="BL48" s="320"/>
      <c r="BM48" s="320"/>
    </row>
    <row r="49" spans="2:65">
      <c r="B49" s="367">
        <v>1</v>
      </c>
      <c r="C49" s="396" t="s">
        <v>779</v>
      </c>
      <c r="D49" s="365">
        <v>44</v>
      </c>
      <c r="E49" s="364"/>
      <c r="F49" s="364"/>
      <c r="G49" s="364"/>
      <c r="H49" s="336"/>
      <c r="I49" s="336"/>
      <c r="J49" s="336"/>
      <c r="K49" s="336"/>
      <c r="L49" s="336"/>
      <c r="M49" s="416"/>
      <c r="N49" s="320"/>
      <c r="O49" s="320"/>
      <c r="P49" s="320"/>
      <c r="Q49" s="320"/>
      <c r="R49" s="320"/>
      <c r="S49" s="320"/>
      <c r="T49" s="422">
        <v>1</v>
      </c>
      <c r="U49" s="421" t="s">
        <v>779</v>
      </c>
      <c r="V49" s="420">
        <v>44</v>
      </c>
      <c r="W49" s="434"/>
      <c r="X49" s="433"/>
      <c r="Y49" s="433"/>
      <c r="Z49" s="432"/>
      <c r="AA49" s="431"/>
      <c r="AB49" s="430"/>
      <c r="AC49" s="418"/>
      <c r="AD49" s="320"/>
      <c r="AE49" s="320"/>
      <c r="AF49" s="320"/>
      <c r="AG49" s="320"/>
      <c r="AH49" s="320"/>
      <c r="AI49" s="320"/>
      <c r="AJ49" s="320"/>
      <c r="AK49" s="320"/>
      <c r="AL49" s="320"/>
      <c r="AM49" s="320"/>
      <c r="AN49" s="320"/>
      <c r="AO49" s="320"/>
      <c r="AP49" s="320"/>
      <c r="AQ49" s="366">
        <v>1</v>
      </c>
      <c r="AR49" s="396" t="s">
        <v>779</v>
      </c>
      <c r="AS49" s="365">
        <v>44</v>
      </c>
      <c r="AT49" s="429"/>
      <c r="AU49" s="428"/>
      <c r="AV49" s="428"/>
      <c r="AW49" s="427"/>
      <c r="AX49" s="426"/>
      <c r="AY49" s="425"/>
      <c r="AZ49" s="415"/>
      <c r="BA49" s="331"/>
      <c r="BB49" s="331"/>
      <c r="BC49" s="424"/>
      <c r="BD49" s="423"/>
      <c r="BE49" s="423"/>
      <c r="BF49" s="423"/>
      <c r="BG49" s="320"/>
      <c r="BH49" s="320"/>
      <c r="BI49" s="320"/>
      <c r="BJ49" s="320"/>
      <c r="BK49" s="320"/>
      <c r="BL49" s="320"/>
      <c r="BM49" s="320"/>
    </row>
    <row r="50" spans="2:65">
      <c r="B50" s="367">
        <v>1</v>
      </c>
      <c r="C50" s="396" t="s">
        <v>780</v>
      </c>
      <c r="D50" s="365">
        <v>45</v>
      </c>
      <c r="E50" s="364"/>
      <c r="F50" s="364"/>
      <c r="G50" s="364"/>
      <c r="H50" s="336"/>
      <c r="I50" s="336"/>
      <c r="J50" s="336"/>
      <c r="K50" s="336"/>
      <c r="L50" s="336"/>
      <c r="M50" s="416"/>
      <c r="N50" s="320"/>
      <c r="O50" s="320"/>
      <c r="P50" s="320"/>
      <c r="Q50" s="320"/>
      <c r="R50" s="320"/>
      <c r="S50" s="320"/>
      <c r="T50" s="422">
        <v>1</v>
      </c>
      <c r="U50" s="421" t="s">
        <v>780</v>
      </c>
      <c r="V50" s="420">
        <v>45</v>
      </c>
      <c r="W50" s="434"/>
      <c r="X50" s="433"/>
      <c r="Y50" s="433"/>
      <c r="Z50" s="432"/>
      <c r="AA50" s="431"/>
      <c r="AB50" s="430"/>
      <c r="AC50" s="418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66">
        <v>1</v>
      </c>
      <c r="AR50" s="396" t="s">
        <v>780</v>
      </c>
      <c r="AS50" s="365">
        <v>45</v>
      </c>
      <c r="AT50" s="429"/>
      <c r="AU50" s="428"/>
      <c r="AV50" s="428"/>
      <c r="AW50" s="427"/>
      <c r="AX50" s="426"/>
      <c r="AY50" s="425"/>
      <c r="AZ50" s="415"/>
      <c r="BA50" s="331"/>
      <c r="BB50" s="331"/>
      <c r="BC50" s="424"/>
      <c r="BD50" s="423"/>
      <c r="BE50" s="423"/>
      <c r="BF50" s="423"/>
      <c r="BG50" s="320"/>
      <c r="BH50" s="320"/>
      <c r="BI50" s="320"/>
      <c r="BJ50" s="320"/>
      <c r="BK50" s="320"/>
      <c r="BL50" s="320"/>
      <c r="BM50" s="320"/>
    </row>
    <row r="51" spans="2:65">
      <c r="B51" s="367">
        <v>1</v>
      </c>
      <c r="C51" s="396" t="s">
        <v>781</v>
      </c>
      <c r="D51" s="365">
        <v>46</v>
      </c>
      <c r="E51" s="364"/>
      <c r="F51" s="364"/>
      <c r="G51" s="364"/>
      <c r="H51" s="336"/>
      <c r="I51" s="336"/>
      <c r="J51" s="336"/>
      <c r="K51" s="336"/>
      <c r="L51" s="336"/>
      <c r="M51" s="416"/>
      <c r="N51" s="320"/>
      <c r="O51" s="320"/>
      <c r="P51" s="320"/>
      <c r="Q51" s="320"/>
      <c r="R51" s="320"/>
      <c r="S51" s="320"/>
      <c r="T51" s="422">
        <v>1</v>
      </c>
      <c r="U51" s="421" t="s">
        <v>781</v>
      </c>
      <c r="V51" s="420">
        <v>46</v>
      </c>
      <c r="W51" s="434"/>
      <c r="X51" s="433"/>
      <c r="Y51" s="433"/>
      <c r="Z51" s="432"/>
      <c r="AA51" s="431"/>
      <c r="AB51" s="430"/>
      <c r="AC51" s="418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66">
        <v>1</v>
      </c>
      <c r="AR51" s="396" t="s">
        <v>781</v>
      </c>
      <c r="AS51" s="365">
        <v>46</v>
      </c>
      <c r="AT51" s="429"/>
      <c r="AU51" s="428"/>
      <c r="AV51" s="428"/>
      <c r="AW51" s="427"/>
      <c r="AX51" s="426"/>
      <c r="AY51" s="425"/>
      <c r="AZ51" s="415"/>
      <c r="BA51" s="331"/>
      <c r="BB51" s="331"/>
      <c r="BC51" s="424"/>
      <c r="BD51" s="423"/>
      <c r="BE51" s="423"/>
      <c r="BF51" s="423"/>
      <c r="BG51" s="320"/>
      <c r="BH51" s="320"/>
      <c r="BI51" s="320"/>
      <c r="BJ51" s="320"/>
      <c r="BK51" s="320"/>
      <c r="BL51" s="320"/>
      <c r="BM51" s="320"/>
    </row>
    <row r="52" spans="2:65">
      <c r="B52" s="367">
        <v>1</v>
      </c>
      <c r="C52" s="396" t="s">
        <v>782</v>
      </c>
      <c r="D52" s="365">
        <v>47</v>
      </c>
      <c r="E52" s="364"/>
      <c r="F52" s="364"/>
      <c r="G52" s="364"/>
      <c r="H52" s="336"/>
      <c r="I52" s="336"/>
      <c r="J52" s="336"/>
      <c r="K52" s="336"/>
      <c r="L52" s="336"/>
      <c r="M52" s="416"/>
      <c r="N52" s="320"/>
      <c r="O52" s="320"/>
      <c r="P52" s="320"/>
      <c r="Q52" s="320"/>
      <c r="R52" s="320"/>
      <c r="S52" s="320"/>
      <c r="T52" s="422">
        <v>1</v>
      </c>
      <c r="U52" s="421" t="s">
        <v>782</v>
      </c>
      <c r="V52" s="420">
        <v>47</v>
      </c>
      <c r="W52" s="434"/>
      <c r="X52" s="433"/>
      <c r="Y52" s="433"/>
      <c r="Z52" s="432"/>
      <c r="AA52" s="431"/>
      <c r="AB52" s="430"/>
      <c r="AC52" s="418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66">
        <v>1</v>
      </c>
      <c r="AR52" s="396" t="s">
        <v>782</v>
      </c>
      <c r="AS52" s="365">
        <v>47</v>
      </c>
      <c r="AT52" s="429"/>
      <c r="AU52" s="428"/>
      <c r="AV52" s="428"/>
      <c r="AW52" s="427"/>
      <c r="AX52" s="426"/>
      <c r="AY52" s="425"/>
      <c r="AZ52" s="415"/>
      <c r="BA52" s="331"/>
      <c r="BB52" s="331"/>
      <c r="BC52" s="424"/>
      <c r="BD52" s="423"/>
      <c r="BE52" s="423"/>
      <c r="BF52" s="423"/>
      <c r="BG52" s="320"/>
      <c r="BH52" s="320"/>
      <c r="BI52" s="320"/>
      <c r="BJ52" s="320"/>
      <c r="BK52" s="320"/>
      <c r="BL52" s="320"/>
      <c r="BM52" s="320"/>
    </row>
    <row r="53" spans="2:65" ht="15.75" thickBot="1">
      <c r="B53" s="394">
        <v>1</v>
      </c>
      <c r="C53" s="393" t="s">
        <v>783</v>
      </c>
      <c r="D53" s="392">
        <v>48</v>
      </c>
      <c r="E53" s="391"/>
      <c r="F53" s="391"/>
      <c r="G53" s="391"/>
      <c r="H53" s="384"/>
      <c r="I53" s="384"/>
      <c r="J53" s="384"/>
      <c r="K53" s="384"/>
      <c r="L53" s="384"/>
      <c r="M53" s="414"/>
      <c r="N53" s="320"/>
      <c r="O53" s="320"/>
      <c r="P53" s="320"/>
      <c r="Q53" s="320"/>
      <c r="R53" s="320"/>
      <c r="S53" s="320"/>
      <c r="T53" s="527">
        <v>1</v>
      </c>
      <c r="U53" s="526" t="s">
        <v>783</v>
      </c>
      <c r="V53" s="525">
        <v>48</v>
      </c>
      <c r="W53" s="524"/>
      <c r="X53" s="523"/>
      <c r="Y53" s="523"/>
      <c r="Z53" s="522"/>
      <c r="AA53" s="521"/>
      <c r="AB53" s="520"/>
      <c r="AC53" s="519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413">
        <v>1</v>
      </c>
      <c r="AR53" s="393" t="s">
        <v>783</v>
      </c>
      <c r="AS53" s="392">
        <v>48</v>
      </c>
      <c r="AT53" s="518"/>
      <c r="AU53" s="517"/>
      <c r="AV53" s="517"/>
      <c r="AW53" s="516"/>
      <c r="AX53" s="515"/>
      <c r="AY53" s="514"/>
      <c r="AZ53" s="412"/>
      <c r="BA53" s="379"/>
      <c r="BB53" s="379"/>
      <c r="BC53" s="513"/>
      <c r="BD53" s="423"/>
      <c r="BE53" s="423"/>
      <c r="BF53" s="423"/>
      <c r="BG53" s="320"/>
      <c r="BH53" s="320"/>
      <c r="BI53" s="320"/>
      <c r="BJ53" s="320"/>
      <c r="BK53" s="320"/>
      <c r="BL53" s="320"/>
      <c r="BM53" s="320"/>
    </row>
    <row r="54" spans="2:65">
      <c r="B54" s="411">
        <v>1</v>
      </c>
      <c r="C54" s="408" t="s">
        <v>784</v>
      </c>
      <c r="D54" s="407">
        <v>49</v>
      </c>
      <c r="E54" s="374"/>
      <c r="F54" s="374"/>
      <c r="G54" s="374"/>
      <c r="H54" s="375"/>
      <c r="I54" s="375"/>
      <c r="J54" s="375"/>
      <c r="K54" s="375"/>
      <c r="L54" s="375"/>
      <c r="M54" s="410"/>
      <c r="N54" s="320"/>
      <c r="O54" s="320"/>
      <c r="P54" s="320"/>
      <c r="Q54" s="320"/>
      <c r="R54" s="320"/>
      <c r="S54" s="320"/>
      <c r="T54" s="512">
        <v>1</v>
      </c>
      <c r="U54" s="511" t="s">
        <v>784</v>
      </c>
      <c r="V54" s="510">
        <v>49</v>
      </c>
      <c r="W54" s="509"/>
      <c r="X54" s="508"/>
      <c r="Y54" s="508"/>
      <c r="Z54" s="507"/>
      <c r="AA54" s="506"/>
      <c r="AB54" s="505">
        <f>AH8</f>
        <v>0</v>
      </c>
      <c r="AC54" s="504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409">
        <v>1</v>
      </c>
      <c r="AR54" s="408" t="s">
        <v>784</v>
      </c>
      <c r="AS54" s="407">
        <v>49</v>
      </c>
      <c r="AT54" s="503"/>
      <c r="AU54" s="502"/>
      <c r="AV54" s="502"/>
      <c r="AW54" s="501"/>
      <c r="AX54" s="500"/>
      <c r="AY54" s="499">
        <f>BH8</f>
        <v>0</v>
      </c>
      <c r="AZ54" s="370"/>
      <c r="BA54" s="369"/>
      <c r="BB54" s="369"/>
      <c r="BC54" s="498"/>
      <c r="BD54" s="423"/>
      <c r="BE54" s="423"/>
      <c r="BF54" s="423"/>
      <c r="BG54" s="320"/>
      <c r="BH54" s="320"/>
      <c r="BI54" s="320"/>
      <c r="BJ54" s="320"/>
      <c r="BK54" s="320"/>
      <c r="BL54" s="320"/>
      <c r="BM54" s="320"/>
    </row>
    <row r="55" spans="2:65">
      <c r="B55" s="345">
        <v>1</v>
      </c>
      <c r="C55" s="397" t="s">
        <v>785</v>
      </c>
      <c r="D55" s="343">
        <v>50</v>
      </c>
      <c r="E55" s="342"/>
      <c r="F55" s="342"/>
      <c r="G55" s="342"/>
      <c r="H55" s="340"/>
      <c r="I55" s="340"/>
      <c r="J55" s="340"/>
      <c r="K55" s="340"/>
      <c r="L55" s="340"/>
      <c r="M55" s="417"/>
      <c r="N55" s="320"/>
      <c r="O55" s="320"/>
      <c r="P55" s="320"/>
      <c r="Q55" s="320"/>
      <c r="R55" s="320"/>
      <c r="S55" s="320"/>
      <c r="T55" s="495">
        <v>1</v>
      </c>
      <c r="U55" s="494" t="s">
        <v>785</v>
      </c>
      <c r="V55" s="493">
        <v>50</v>
      </c>
      <c r="W55" s="492"/>
      <c r="X55" s="491"/>
      <c r="Y55" s="491"/>
      <c r="Z55" s="490"/>
      <c r="AA55" s="489"/>
      <c r="AB55" s="488"/>
      <c r="AC55" s="487"/>
      <c r="AD55" s="320"/>
      <c r="AE55" s="320"/>
      <c r="AF55" s="320"/>
      <c r="AG55" s="320"/>
      <c r="AH55" s="320"/>
      <c r="AI55" s="320"/>
      <c r="AJ55" s="320"/>
      <c r="AK55" s="320"/>
      <c r="AL55" s="320"/>
      <c r="AM55" s="320"/>
      <c r="AN55" s="320"/>
      <c r="AO55" s="320"/>
      <c r="AP55" s="320"/>
      <c r="AQ55" s="344">
        <v>1</v>
      </c>
      <c r="AR55" s="397" t="s">
        <v>785</v>
      </c>
      <c r="AS55" s="343">
        <v>50</v>
      </c>
      <c r="AT55" s="486"/>
      <c r="AU55" s="485"/>
      <c r="AV55" s="485"/>
      <c r="AW55" s="484"/>
      <c r="AX55" s="483"/>
      <c r="AY55" s="482"/>
      <c r="AZ55" s="363"/>
      <c r="BA55" s="342"/>
      <c r="BB55" s="342"/>
      <c r="BC55" s="481"/>
      <c r="BD55" s="423"/>
      <c r="BE55" s="423"/>
      <c r="BF55" s="423"/>
      <c r="BG55" s="320"/>
      <c r="BH55" s="320"/>
      <c r="BI55" s="320"/>
      <c r="BJ55" s="320"/>
      <c r="BK55" s="320"/>
      <c r="BL55" s="320"/>
      <c r="BM55" s="320"/>
    </row>
    <row r="56" spans="2:65">
      <c r="B56" s="345">
        <v>1</v>
      </c>
      <c r="C56" s="397" t="s">
        <v>786</v>
      </c>
      <c r="D56" s="343">
        <v>51</v>
      </c>
      <c r="E56" s="342"/>
      <c r="F56" s="342"/>
      <c r="G56" s="342"/>
      <c r="H56" s="340"/>
      <c r="I56" s="340"/>
      <c r="J56" s="340"/>
      <c r="K56" s="340"/>
      <c r="L56" s="340"/>
      <c r="M56" s="417"/>
      <c r="N56" s="320"/>
      <c r="O56" s="320"/>
      <c r="P56" s="320"/>
      <c r="Q56" s="320"/>
      <c r="R56" s="320"/>
      <c r="S56" s="320"/>
      <c r="T56" s="495">
        <v>1</v>
      </c>
      <c r="U56" s="494" t="s">
        <v>786</v>
      </c>
      <c r="V56" s="493">
        <v>51</v>
      </c>
      <c r="W56" s="492"/>
      <c r="X56" s="491"/>
      <c r="Y56" s="491"/>
      <c r="Z56" s="490"/>
      <c r="AA56" s="489"/>
      <c r="AB56" s="488"/>
      <c r="AC56" s="487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44">
        <v>1</v>
      </c>
      <c r="AR56" s="397" t="s">
        <v>786</v>
      </c>
      <c r="AS56" s="343">
        <v>51</v>
      </c>
      <c r="AT56" s="486"/>
      <c r="AU56" s="485"/>
      <c r="AV56" s="485"/>
      <c r="AW56" s="484"/>
      <c r="AX56" s="483"/>
      <c r="AY56" s="482"/>
      <c r="AZ56" s="363"/>
      <c r="BA56" s="342"/>
      <c r="BB56" s="342"/>
      <c r="BC56" s="481"/>
      <c r="BD56" s="423"/>
      <c r="BE56" s="423"/>
      <c r="BF56" s="423"/>
      <c r="BG56" s="320"/>
      <c r="BH56" s="320"/>
      <c r="BI56" s="320"/>
      <c r="BJ56" s="320"/>
      <c r="BK56" s="320"/>
      <c r="BL56" s="320"/>
      <c r="BM56" s="320"/>
    </row>
    <row r="57" spans="2:65">
      <c r="B57" s="345">
        <v>1</v>
      </c>
      <c r="C57" s="397" t="s">
        <v>787</v>
      </c>
      <c r="D57" s="343">
        <v>52</v>
      </c>
      <c r="E57" s="342"/>
      <c r="F57" s="342"/>
      <c r="G57" s="342"/>
      <c r="H57" s="340"/>
      <c r="I57" s="340"/>
      <c r="J57" s="340"/>
      <c r="K57" s="340"/>
      <c r="L57" s="340"/>
      <c r="M57" s="417"/>
      <c r="N57" s="320"/>
      <c r="O57" s="320"/>
      <c r="P57" s="320"/>
      <c r="Q57" s="320"/>
      <c r="R57" s="320"/>
      <c r="S57" s="320"/>
      <c r="T57" s="495">
        <v>1</v>
      </c>
      <c r="U57" s="494" t="s">
        <v>787</v>
      </c>
      <c r="V57" s="493">
        <v>52</v>
      </c>
      <c r="W57" s="492"/>
      <c r="X57" s="491"/>
      <c r="Y57" s="491"/>
      <c r="Z57" s="490"/>
      <c r="AA57" s="489"/>
      <c r="AB57" s="488"/>
      <c r="AC57" s="487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44">
        <v>1</v>
      </c>
      <c r="AR57" s="397" t="s">
        <v>787</v>
      </c>
      <c r="AS57" s="343">
        <v>52</v>
      </c>
      <c r="AT57" s="486"/>
      <c r="AU57" s="485"/>
      <c r="AV57" s="485"/>
      <c r="AW57" s="484"/>
      <c r="AX57" s="483"/>
      <c r="AY57" s="482"/>
      <c r="AZ57" s="363"/>
      <c r="BA57" s="342"/>
      <c r="BB57" s="342"/>
      <c r="BC57" s="481"/>
      <c r="BD57" s="423"/>
      <c r="BE57" s="423"/>
      <c r="BF57" s="423"/>
      <c r="BG57" s="320"/>
      <c r="BH57" s="320"/>
      <c r="BI57" s="320"/>
      <c r="BJ57" s="320"/>
      <c r="BK57" s="320"/>
      <c r="BL57" s="320"/>
      <c r="BM57" s="320"/>
    </row>
    <row r="58" spans="2:65">
      <c r="B58" s="345">
        <v>1</v>
      </c>
      <c r="C58" s="397" t="s">
        <v>788</v>
      </c>
      <c r="D58" s="343">
        <v>53</v>
      </c>
      <c r="E58" s="342"/>
      <c r="F58" s="342"/>
      <c r="G58" s="342"/>
      <c r="H58" s="340"/>
      <c r="I58" s="340"/>
      <c r="J58" s="340"/>
      <c r="K58" s="340"/>
      <c r="L58" s="340"/>
      <c r="M58" s="417"/>
      <c r="N58" s="320"/>
      <c r="O58" s="320"/>
      <c r="P58" s="320"/>
      <c r="Q58" s="320"/>
      <c r="R58" s="320"/>
      <c r="S58" s="320"/>
      <c r="T58" s="495">
        <v>1</v>
      </c>
      <c r="U58" s="494" t="s">
        <v>788</v>
      </c>
      <c r="V58" s="493">
        <v>53</v>
      </c>
      <c r="W58" s="492"/>
      <c r="X58" s="491"/>
      <c r="Y58" s="491"/>
      <c r="Z58" s="490"/>
      <c r="AA58" s="489"/>
      <c r="AB58" s="488"/>
      <c r="AC58" s="487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44">
        <v>1</v>
      </c>
      <c r="AR58" s="397" t="s">
        <v>788</v>
      </c>
      <c r="AS58" s="343">
        <v>53</v>
      </c>
      <c r="AT58" s="486"/>
      <c r="AU58" s="485"/>
      <c r="AV58" s="485"/>
      <c r="AW58" s="484"/>
      <c r="AX58" s="483"/>
      <c r="AY58" s="482"/>
      <c r="AZ58" s="363"/>
      <c r="BA58" s="342"/>
      <c r="BB58" s="342"/>
      <c r="BC58" s="481"/>
      <c r="BD58" s="423"/>
      <c r="BE58" s="423"/>
      <c r="BF58" s="423"/>
      <c r="BG58" s="320"/>
      <c r="BH58" s="320"/>
      <c r="BI58" s="320"/>
      <c r="BJ58" s="320"/>
      <c r="BK58" s="320"/>
      <c r="BL58" s="320"/>
      <c r="BM58" s="320"/>
    </row>
    <row r="59" spans="2:65">
      <c r="B59" s="345">
        <v>1</v>
      </c>
      <c r="C59" s="397" t="s">
        <v>789</v>
      </c>
      <c r="D59" s="343">
        <v>54</v>
      </c>
      <c r="E59" s="342"/>
      <c r="F59" s="342"/>
      <c r="G59" s="342"/>
      <c r="H59" s="340"/>
      <c r="I59" s="340"/>
      <c r="J59" s="340"/>
      <c r="K59" s="340"/>
      <c r="L59" s="340"/>
      <c r="M59" s="417"/>
      <c r="N59" s="320"/>
      <c r="O59" s="320"/>
      <c r="P59" s="320"/>
      <c r="Q59" s="320"/>
      <c r="R59" s="320"/>
      <c r="S59" s="320"/>
      <c r="T59" s="495">
        <v>1</v>
      </c>
      <c r="U59" s="494" t="s">
        <v>789</v>
      </c>
      <c r="V59" s="493">
        <v>54</v>
      </c>
      <c r="W59" s="492"/>
      <c r="X59" s="491"/>
      <c r="Y59" s="491"/>
      <c r="Z59" s="490"/>
      <c r="AA59" s="489"/>
      <c r="AB59" s="488"/>
      <c r="AC59" s="487"/>
      <c r="AD59" s="320"/>
      <c r="AE59" s="320"/>
      <c r="AF59" s="320"/>
      <c r="AG59" s="320"/>
      <c r="AH59" s="320"/>
      <c r="AI59" s="320"/>
      <c r="AJ59" s="320"/>
      <c r="AK59" s="320"/>
      <c r="AL59" s="320"/>
      <c r="AM59" s="320"/>
      <c r="AN59" s="320"/>
      <c r="AO59" s="320"/>
      <c r="AP59" s="320"/>
      <c r="AQ59" s="344">
        <v>1</v>
      </c>
      <c r="AR59" s="397" t="s">
        <v>789</v>
      </c>
      <c r="AS59" s="343">
        <v>54</v>
      </c>
      <c r="AT59" s="486"/>
      <c r="AU59" s="485"/>
      <c r="AV59" s="485"/>
      <c r="AW59" s="484"/>
      <c r="AX59" s="483"/>
      <c r="AY59" s="482"/>
      <c r="AZ59" s="363"/>
      <c r="BA59" s="342"/>
      <c r="BB59" s="342"/>
      <c r="BC59" s="481"/>
      <c r="BD59" s="423"/>
      <c r="BE59" s="423"/>
      <c r="BF59" s="423"/>
      <c r="BG59" s="320"/>
      <c r="BH59" s="320"/>
      <c r="BI59" s="320"/>
      <c r="BJ59" s="320"/>
      <c r="BK59" s="320"/>
      <c r="BL59" s="320"/>
      <c r="BM59" s="320"/>
    </row>
    <row r="60" spans="2:65">
      <c r="B60" s="345">
        <v>1</v>
      </c>
      <c r="C60" s="397" t="s">
        <v>790</v>
      </c>
      <c r="D60" s="343">
        <v>55</v>
      </c>
      <c r="E60" s="342"/>
      <c r="F60" s="342"/>
      <c r="G60" s="342"/>
      <c r="H60" s="340"/>
      <c r="I60" s="340"/>
      <c r="J60" s="340"/>
      <c r="K60" s="340"/>
      <c r="L60" s="340"/>
      <c r="M60" s="417"/>
      <c r="N60" s="320"/>
      <c r="O60" s="320"/>
      <c r="P60" s="320"/>
      <c r="Q60" s="320"/>
      <c r="R60" s="320"/>
      <c r="S60" s="320"/>
      <c r="T60" s="495">
        <v>1</v>
      </c>
      <c r="U60" s="494" t="s">
        <v>790</v>
      </c>
      <c r="V60" s="493">
        <v>55</v>
      </c>
      <c r="W60" s="492"/>
      <c r="X60" s="491"/>
      <c r="Y60" s="491"/>
      <c r="Z60" s="490"/>
      <c r="AA60" s="489"/>
      <c r="AB60" s="488"/>
      <c r="AC60" s="487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  <c r="AN60" s="320"/>
      <c r="AO60" s="320"/>
      <c r="AP60" s="320"/>
      <c r="AQ60" s="344">
        <v>1</v>
      </c>
      <c r="AR60" s="397" t="s">
        <v>790</v>
      </c>
      <c r="AS60" s="343">
        <v>55</v>
      </c>
      <c r="AT60" s="486"/>
      <c r="AU60" s="485"/>
      <c r="AV60" s="485"/>
      <c r="AW60" s="484"/>
      <c r="AX60" s="483"/>
      <c r="AY60" s="482"/>
      <c r="AZ60" s="363"/>
      <c r="BA60" s="342"/>
      <c r="BB60" s="342"/>
      <c r="BC60" s="481"/>
      <c r="BD60" s="423"/>
      <c r="BE60" s="423"/>
      <c r="BF60" s="423"/>
      <c r="BG60" s="320"/>
      <c r="BH60" s="320"/>
      <c r="BI60" s="320"/>
      <c r="BJ60" s="320"/>
      <c r="BK60" s="320"/>
      <c r="BL60" s="320"/>
      <c r="BM60" s="320"/>
    </row>
    <row r="61" spans="2:65">
      <c r="B61" s="345">
        <v>1</v>
      </c>
      <c r="C61" s="397" t="s">
        <v>791</v>
      </c>
      <c r="D61" s="343">
        <v>56</v>
      </c>
      <c r="E61" s="342"/>
      <c r="F61" s="342"/>
      <c r="G61" s="342"/>
      <c r="H61" s="340"/>
      <c r="I61" s="340"/>
      <c r="J61" s="340"/>
      <c r="K61" s="340"/>
      <c r="L61" s="340"/>
      <c r="M61" s="417"/>
      <c r="N61" s="320"/>
      <c r="O61" s="320"/>
      <c r="P61" s="320"/>
      <c r="Q61" s="320"/>
      <c r="R61" s="320"/>
      <c r="S61" s="320"/>
      <c r="T61" s="495">
        <v>1</v>
      </c>
      <c r="U61" s="494" t="s">
        <v>791</v>
      </c>
      <c r="V61" s="493">
        <v>56</v>
      </c>
      <c r="W61" s="492"/>
      <c r="X61" s="491"/>
      <c r="Y61" s="491"/>
      <c r="Z61" s="490"/>
      <c r="AA61" s="489"/>
      <c r="AB61" s="488"/>
      <c r="AC61" s="487"/>
      <c r="AD61" s="320"/>
      <c r="AE61" s="320"/>
      <c r="AF61" s="320"/>
      <c r="AG61" s="320"/>
      <c r="AH61" s="320"/>
      <c r="AI61" s="320"/>
      <c r="AJ61" s="320"/>
      <c r="AK61" s="320"/>
      <c r="AL61" s="320"/>
      <c r="AM61" s="320"/>
      <c r="AN61" s="320"/>
      <c r="AO61" s="320"/>
      <c r="AP61" s="320"/>
      <c r="AQ61" s="344">
        <v>1</v>
      </c>
      <c r="AR61" s="397" t="s">
        <v>791</v>
      </c>
      <c r="AS61" s="343">
        <v>56</v>
      </c>
      <c r="AT61" s="486"/>
      <c r="AU61" s="485"/>
      <c r="AV61" s="485"/>
      <c r="AW61" s="484"/>
      <c r="AX61" s="483"/>
      <c r="AY61" s="482"/>
      <c r="AZ61" s="363"/>
      <c r="BA61" s="342"/>
      <c r="BB61" s="342"/>
      <c r="BC61" s="481"/>
      <c r="BD61" s="423"/>
      <c r="BE61" s="423"/>
      <c r="BF61" s="423"/>
      <c r="BG61" s="320"/>
      <c r="BH61" s="320"/>
      <c r="BI61" s="320"/>
      <c r="BJ61" s="320"/>
      <c r="BK61" s="320"/>
      <c r="BL61" s="320"/>
      <c r="BM61" s="320"/>
    </row>
    <row r="62" spans="2:65">
      <c r="B62" s="367">
        <v>1</v>
      </c>
      <c r="C62" s="396" t="s">
        <v>792</v>
      </c>
      <c r="D62" s="365">
        <v>57</v>
      </c>
      <c r="E62" s="364"/>
      <c r="F62" s="364"/>
      <c r="G62" s="364"/>
      <c r="H62" s="336"/>
      <c r="I62" s="336"/>
      <c r="J62" s="336"/>
      <c r="K62" s="336"/>
      <c r="L62" s="336"/>
      <c r="M62" s="416"/>
      <c r="N62" s="320"/>
      <c r="O62" s="320"/>
      <c r="P62" s="320"/>
      <c r="Q62" s="320"/>
      <c r="R62" s="320"/>
      <c r="S62" s="320"/>
      <c r="T62" s="495">
        <v>1</v>
      </c>
      <c r="U62" s="494" t="s">
        <v>792</v>
      </c>
      <c r="V62" s="493">
        <v>57</v>
      </c>
      <c r="W62" s="492"/>
      <c r="X62" s="491"/>
      <c r="Y62" s="491"/>
      <c r="Z62" s="490"/>
      <c r="AA62" s="489"/>
      <c r="AB62" s="497"/>
      <c r="AC62" s="487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44">
        <v>1</v>
      </c>
      <c r="AR62" s="397" t="s">
        <v>792</v>
      </c>
      <c r="AS62" s="343">
        <v>57</v>
      </c>
      <c r="AT62" s="486"/>
      <c r="AU62" s="485"/>
      <c r="AV62" s="485"/>
      <c r="AW62" s="484"/>
      <c r="AX62" s="483"/>
      <c r="AY62" s="496"/>
      <c r="AZ62" s="363"/>
      <c r="BA62" s="342"/>
      <c r="BB62" s="342"/>
      <c r="BC62" s="481"/>
      <c r="BD62" s="423"/>
      <c r="BE62" s="423"/>
      <c r="BF62" s="423"/>
      <c r="BG62" s="320"/>
      <c r="BH62" s="320"/>
      <c r="BI62" s="320"/>
      <c r="BJ62" s="320"/>
      <c r="BK62" s="320"/>
      <c r="BL62" s="320"/>
      <c r="BM62" s="320"/>
    </row>
    <row r="63" spans="2:65">
      <c r="B63" s="367">
        <v>1</v>
      </c>
      <c r="C63" s="396" t="s">
        <v>793</v>
      </c>
      <c r="D63" s="365">
        <v>58</v>
      </c>
      <c r="E63" s="364"/>
      <c r="F63" s="364"/>
      <c r="G63" s="364"/>
      <c r="H63" s="336"/>
      <c r="I63" s="336"/>
      <c r="J63" s="336"/>
      <c r="K63" s="336"/>
      <c r="L63" s="336"/>
      <c r="M63" s="416"/>
      <c r="N63" s="320"/>
      <c r="O63" s="320"/>
      <c r="P63" s="320"/>
      <c r="Q63" s="320"/>
      <c r="R63" s="320"/>
      <c r="S63" s="320"/>
      <c r="T63" s="495">
        <v>1</v>
      </c>
      <c r="U63" s="494" t="s">
        <v>793</v>
      </c>
      <c r="V63" s="493">
        <v>58</v>
      </c>
      <c r="W63" s="492"/>
      <c r="X63" s="491"/>
      <c r="Y63" s="491"/>
      <c r="Z63" s="490"/>
      <c r="AA63" s="489"/>
      <c r="AB63" s="488"/>
      <c r="AC63" s="487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44">
        <v>1</v>
      </c>
      <c r="AR63" s="397" t="s">
        <v>793</v>
      </c>
      <c r="AS63" s="343">
        <v>58</v>
      </c>
      <c r="AT63" s="486"/>
      <c r="AU63" s="485"/>
      <c r="AV63" s="485"/>
      <c r="AW63" s="484"/>
      <c r="AX63" s="483"/>
      <c r="AY63" s="482"/>
      <c r="AZ63" s="363"/>
      <c r="BA63" s="342"/>
      <c r="BB63" s="342"/>
      <c r="BC63" s="481"/>
      <c r="BD63" s="423"/>
      <c r="BE63" s="423"/>
      <c r="BF63" s="423"/>
      <c r="BG63" s="320"/>
      <c r="BH63" s="320"/>
      <c r="BI63" s="320"/>
      <c r="BJ63" s="320"/>
      <c r="BK63" s="320"/>
      <c r="BL63" s="320"/>
      <c r="BM63" s="320"/>
    </row>
    <row r="64" spans="2:65">
      <c r="B64" s="367">
        <v>1</v>
      </c>
      <c r="C64" s="396" t="s">
        <v>794</v>
      </c>
      <c r="D64" s="365">
        <v>59</v>
      </c>
      <c r="E64" s="364"/>
      <c r="F64" s="364"/>
      <c r="G64" s="364"/>
      <c r="H64" s="336"/>
      <c r="I64" s="336"/>
      <c r="J64" s="336"/>
      <c r="K64" s="336"/>
      <c r="L64" s="336"/>
      <c r="M64" s="416"/>
      <c r="N64" s="320"/>
      <c r="O64" s="320"/>
      <c r="P64" s="320"/>
      <c r="Q64" s="320"/>
      <c r="R64" s="320"/>
      <c r="S64" s="320"/>
      <c r="T64" s="495">
        <v>1</v>
      </c>
      <c r="U64" s="494" t="s">
        <v>794</v>
      </c>
      <c r="V64" s="493">
        <v>59</v>
      </c>
      <c r="W64" s="492"/>
      <c r="X64" s="491"/>
      <c r="Y64" s="491"/>
      <c r="Z64" s="490"/>
      <c r="AA64" s="489"/>
      <c r="AB64" s="488"/>
      <c r="AC64" s="487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44">
        <v>1</v>
      </c>
      <c r="AR64" s="397" t="s">
        <v>794</v>
      </c>
      <c r="AS64" s="343">
        <v>59</v>
      </c>
      <c r="AT64" s="486"/>
      <c r="AU64" s="485"/>
      <c r="AV64" s="485"/>
      <c r="AW64" s="484"/>
      <c r="AX64" s="483"/>
      <c r="AY64" s="482"/>
      <c r="AZ64" s="363"/>
      <c r="BA64" s="342"/>
      <c r="BB64" s="342"/>
      <c r="BC64" s="481"/>
      <c r="BD64" s="423"/>
      <c r="BE64" s="423"/>
      <c r="BF64" s="423"/>
      <c r="BG64" s="320"/>
      <c r="BH64" s="320"/>
      <c r="BI64" s="320"/>
      <c r="BJ64" s="320"/>
      <c r="BK64" s="320"/>
      <c r="BL64" s="320"/>
      <c r="BM64" s="320"/>
    </row>
    <row r="65" spans="2:65">
      <c r="B65" s="367">
        <v>1</v>
      </c>
      <c r="C65" s="396" t="s">
        <v>795</v>
      </c>
      <c r="D65" s="365">
        <v>60</v>
      </c>
      <c r="E65" s="364"/>
      <c r="F65" s="364"/>
      <c r="G65" s="364"/>
      <c r="H65" s="336"/>
      <c r="I65" s="336"/>
      <c r="J65" s="336"/>
      <c r="K65" s="336"/>
      <c r="L65" s="336"/>
      <c r="M65" s="416"/>
      <c r="N65" s="320"/>
      <c r="O65" s="320"/>
      <c r="P65" s="320"/>
      <c r="Q65" s="320"/>
      <c r="R65" s="320"/>
      <c r="S65" s="320"/>
      <c r="T65" s="495">
        <v>1</v>
      </c>
      <c r="U65" s="494" t="s">
        <v>795</v>
      </c>
      <c r="V65" s="493">
        <v>60</v>
      </c>
      <c r="W65" s="492"/>
      <c r="X65" s="491"/>
      <c r="Y65" s="491"/>
      <c r="Z65" s="490"/>
      <c r="AA65" s="489"/>
      <c r="AB65" s="488"/>
      <c r="AC65" s="487"/>
      <c r="AD65" s="320"/>
      <c r="AE65" s="320"/>
      <c r="AF65" s="320"/>
      <c r="AG65" s="320"/>
      <c r="AH65" s="320"/>
      <c r="AI65" s="320"/>
      <c r="AJ65" s="320"/>
      <c r="AK65" s="320"/>
      <c r="AL65" s="320"/>
      <c r="AM65" s="320"/>
      <c r="AN65" s="320"/>
      <c r="AO65" s="320"/>
      <c r="AP65" s="320"/>
      <c r="AQ65" s="344">
        <v>1</v>
      </c>
      <c r="AR65" s="397" t="s">
        <v>795</v>
      </c>
      <c r="AS65" s="343">
        <v>60</v>
      </c>
      <c r="AT65" s="486"/>
      <c r="AU65" s="485"/>
      <c r="AV65" s="485"/>
      <c r="AW65" s="484"/>
      <c r="AX65" s="483"/>
      <c r="AY65" s="482"/>
      <c r="AZ65" s="363"/>
      <c r="BA65" s="342"/>
      <c r="BB65" s="342"/>
      <c r="BC65" s="481"/>
      <c r="BD65" s="423"/>
      <c r="BE65" s="423"/>
      <c r="BF65" s="423"/>
      <c r="BG65" s="320"/>
      <c r="BH65" s="320"/>
      <c r="BI65" s="320"/>
      <c r="BJ65" s="320"/>
      <c r="BK65" s="320"/>
      <c r="BL65" s="320"/>
      <c r="BM65" s="320"/>
    </row>
    <row r="66" spans="2:65">
      <c r="B66" s="367">
        <v>1</v>
      </c>
      <c r="C66" s="396" t="s">
        <v>796</v>
      </c>
      <c r="D66" s="365">
        <v>61</v>
      </c>
      <c r="E66" s="364"/>
      <c r="F66" s="364"/>
      <c r="G66" s="364"/>
      <c r="H66" s="336"/>
      <c r="I66" s="336"/>
      <c r="J66" s="336"/>
      <c r="K66" s="336"/>
      <c r="L66" s="336"/>
      <c r="M66" s="416"/>
      <c r="N66" s="320"/>
      <c r="O66" s="320"/>
      <c r="P66" s="320"/>
      <c r="Q66" s="320"/>
      <c r="R66" s="320"/>
      <c r="S66" s="320"/>
      <c r="T66" s="495">
        <v>1</v>
      </c>
      <c r="U66" s="494" t="s">
        <v>796</v>
      </c>
      <c r="V66" s="493">
        <v>61</v>
      </c>
      <c r="W66" s="492"/>
      <c r="X66" s="491"/>
      <c r="Y66" s="491"/>
      <c r="Z66" s="490"/>
      <c r="AA66" s="489"/>
      <c r="AB66" s="488"/>
      <c r="AC66" s="487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44">
        <v>1</v>
      </c>
      <c r="AR66" s="397" t="s">
        <v>796</v>
      </c>
      <c r="AS66" s="343">
        <v>61</v>
      </c>
      <c r="AT66" s="486"/>
      <c r="AU66" s="485"/>
      <c r="AV66" s="485"/>
      <c r="AW66" s="484"/>
      <c r="AX66" s="483"/>
      <c r="AY66" s="482"/>
      <c r="AZ66" s="363"/>
      <c r="BA66" s="342"/>
      <c r="BB66" s="342"/>
      <c r="BC66" s="481"/>
      <c r="BD66" s="423"/>
      <c r="BE66" s="423"/>
      <c r="BF66" s="423"/>
      <c r="BG66" s="320"/>
      <c r="BH66" s="320"/>
      <c r="BI66" s="320"/>
      <c r="BJ66" s="320"/>
      <c r="BK66" s="320"/>
      <c r="BL66" s="320"/>
      <c r="BM66" s="320"/>
    </row>
    <row r="67" spans="2:65">
      <c r="B67" s="367">
        <v>1</v>
      </c>
      <c r="C67" s="396" t="s">
        <v>797</v>
      </c>
      <c r="D67" s="365">
        <v>62</v>
      </c>
      <c r="E67" s="364"/>
      <c r="F67" s="364"/>
      <c r="G67" s="364"/>
      <c r="H67" s="336"/>
      <c r="I67" s="336"/>
      <c r="J67" s="336"/>
      <c r="K67" s="336"/>
      <c r="L67" s="336"/>
      <c r="M67" s="416"/>
      <c r="N67" s="320"/>
      <c r="O67" s="320"/>
      <c r="P67" s="320"/>
      <c r="Q67" s="320"/>
      <c r="R67" s="320"/>
      <c r="S67" s="320"/>
      <c r="T67" s="495">
        <v>1</v>
      </c>
      <c r="U67" s="494" t="s">
        <v>797</v>
      </c>
      <c r="V67" s="493">
        <v>62</v>
      </c>
      <c r="W67" s="492"/>
      <c r="X67" s="491"/>
      <c r="Y67" s="491"/>
      <c r="Z67" s="490"/>
      <c r="AA67" s="489"/>
      <c r="AB67" s="488"/>
      <c r="AC67" s="487"/>
      <c r="AD67" s="320"/>
      <c r="AE67" s="320"/>
      <c r="AF67" s="320"/>
      <c r="AG67" s="320"/>
      <c r="AH67" s="320"/>
      <c r="AI67" s="320"/>
      <c r="AJ67" s="320"/>
      <c r="AK67" s="320"/>
      <c r="AL67" s="320"/>
      <c r="AM67" s="320"/>
      <c r="AN67" s="320"/>
      <c r="AO67" s="320"/>
      <c r="AP67" s="320"/>
      <c r="AQ67" s="344">
        <v>1</v>
      </c>
      <c r="AR67" s="397" t="s">
        <v>797</v>
      </c>
      <c r="AS67" s="343">
        <v>62</v>
      </c>
      <c r="AT67" s="486"/>
      <c r="AU67" s="485"/>
      <c r="AV67" s="485"/>
      <c r="AW67" s="484"/>
      <c r="AX67" s="483"/>
      <c r="AY67" s="482"/>
      <c r="AZ67" s="363"/>
      <c r="BA67" s="342"/>
      <c r="BB67" s="342"/>
      <c r="BC67" s="481"/>
      <c r="BD67" s="423"/>
      <c r="BE67" s="423"/>
      <c r="BF67" s="423"/>
      <c r="BG67" s="320"/>
      <c r="BH67" s="320"/>
      <c r="BI67" s="320"/>
      <c r="BJ67" s="320"/>
      <c r="BK67" s="320"/>
      <c r="BL67" s="320"/>
      <c r="BM67" s="320"/>
    </row>
    <row r="68" spans="2:65">
      <c r="B68" s="367">
        <v>1</v>
      </c>
      <c r="C68" s="396" t="s">
        <v>798</v>
      </c>
      <c r="D68" s="365">
        <v>63</v>
      </c>
      <c r="E68" s="364"/>
      <c r="F68" s="364"/>
      <c r="G68" s="364"/>
      <c r="H68" s="336"/>
      <c r="I68" s="336"/>
      <c r="J68" s="336"/>
      <c r="K68" s="336"/>
      <c r="L68" s="336"/>
      <c r="M68" s="416"/>
      <c r="N68" s="320"/>
      <c r="O68" s="320"/>
      <c r="P68" s="320"/>
      <c r="Q68" s="320"/>
      <c r="R68" s="320"/>
      <c r="S68" s="320"/>
      <c r="T68" s="495">
        <v>1</v>
      </c>
      <c r="U68" s="494" t="s">
        <v>798</v>
      </c>
      <c r="V68" s="493">
        <v>63</v>
      </c>
      <c r="W68" s="492"/>
      <c r="X68" s="491"/>
      <c r="Y68" s="491"/>
      <c r="Z68" s="490"/>
      <c r="AA68" s="489"/>
      <c r="AB68" s="488"/>
      <c r="AC68" s="487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44">
        <v>1</v>
      </c>
      <c r="AR68" s="397" t="s">
        <v>798</v>
      </c>
      <c r="AS68" s="343">
        <v>63</v>
      </c>
      <c r="AT68" s="486"/>
      <c r="AU68" s="485"/>
      <c r="AV68" s="485"/>
      <c r="AW68" s="484"/>
      <c r="AX68" s="483"/>
      <c r="AY68" s="482"/>
      <c r="AZ68" s="363"/>
      <c r="BA68" s="342"/>
      <c r="BB68" s="342"/>
      <c r="BC68" s="481"/>
      <c r="BD68" s="423"/>
      <c r="BE68" s="423"/>
      <c r="BF68" s="423"/>
      <c r="BG68" s="320"/>
      <c r="BH68" s="320"/>
      <c r="BI68" s="320"/>
      <c r="BJ68" s="320"/>
      <c r="BK68" s="320"/>
      <c r="BL68" s="320"/>
      <c r="BM68" s="320"/>
    </row>
    <row r="69" spans="2:65">
      <c r="B69" s="367">
        <v>1</v>
      </c>
      <c r="C69" s="396" t="s">
        <v>799</v>
      </c>
      <c r="D69" s="365">
        <v>64</v>
      </c>
      <c r="E69" s="364"/>
      <c r="F69" s="364"/>
      <c r="G69" s="364"/>
      <c r="H69" s="336"/>
      <c r="I69" s="336"/>
      <c r="J69" s="336"/>
      <c r="K69" s="336"/>
      <c r="L69" s="336"/>
      <c r="M69" s="416"/>
      <c r="N69" s="320"/>
      <c r="O69" s="320"/>
      <c r="P69" s="320"/>
      <c r="Q69" s="320"/>
      <c r="R69" s="320"/>
      <c r="S69" s="320"/>
      <c r="T69" s="495">
        <v>1</v>
      </c>
      <c r="U69" s="494" t="s">
        <v>799</v>
      </c>
      <c r="V69" s="493">
        <v>64</v>
      </c>
      <c r="W69" s="492"/>
      <c r="X69" s="491"/>
      <c r="Y69" s="491"/>
      <c r="Z69" s="490"/>
      <c r="AA69" s="489"/>
      <c r="AB69" s="488"/>
      <c r="AC69" s="487"/>
      <c r="AD69" s="320"/>
      <c r="AE69" s="320"/>
      <c r="AF69" s="320"/>
      <c r="AG69" s="320"/>
      <c r="AH69" s="320"/>
      <c r="AI69" s="320"/>
      <c r="AJ69" s="320"/>
      <c r="AK69" s="320"/>
      <c r="AL69" s="320"/>
      <c r="AM69" s="320"/>
      <c r="AN69" s="320"/>
      <c r="AO69" s="320"/>
      <c r="AP69" s="320"/>
      <c r="AQ69" s="344">
        <v>1</v>
      </c>
      <c r="AR69" s="397" t="s">
        <v>799</v>
      </c>
      <c r="AS69" s="343">
        <v>64</v>
      </c>
      <c r="AT69" s="486"/>
      <c r="AU69" s="485"/>
      <c r="AV69" s="485"/>
      <c r="AW69" s="484"/>
      <c r="AX69" s="483"/>
      <c r="AY69" s="482"/>
      <c r="AZ69" s="363"/>
      <c r="BA69" s="342"/>
      <c r="BB69" s="342"/>
      <c r="BC69" s="481"/>
      <c r="BD69" s="423"/>
      <c r="BE69" s="423"/>
      <c r="BF69" s="423"/>
      <c r="BG69" s="320"/>
      <c r="BH69" s="320"/>
      <c r="BI69" s="320"/>
      <c r="BJ69" s="320"/>
      <c r="BK69" s="320"/>
      <c r="BL69" s="320"/>
      <c r="BM69" s="320"/>
    </row>
    <row r="70" spans="2:65">
      <c r="B70" s="345">
        <v>1</v>
      </c>
      <c r="C70" s="397" t="s">
        <v>800</v>
      </c>
      <c r="D70" s="343">
        <v>65</v>
      </c>
      <c r="E70" s="342"/>
      <c r="F70" s="342"/>
      <c r="G70" s="342"/>
      <c r="H70" s="340"/>
      <c r="I70" s="340"/>
      <c r="J70" s="340"/>
      <c r="K70" s="340"/>
      <c r="L70" s="340"/>
      <c r="M70" s="417"/>
      <c r="N70" s="320"/>
      <c r="O70" s="320"/>
      <c r="P70" s="320"/>
      <c r="Q70" s="320"/>
      <c r="R70" s="320"/>
      <c r="S70" s="320"/>
      <c r="T70" s="495">
        <v>1</v>
      </c>
      <c r="U70" s="494" t="s">
        <v>800</v>
      </c>
      <c r="V70" s="493">
        <v>65</v>
      </c>
      <c r="W70" s="492"/>
      <c r="X70" s="491"/>
      <c r="Y70" s="491"/>
      <c r="Z70" s="490"/>
      <c r="AA70" s="489"/>
      <c r="AB70" s="497"/>
      <c r="AC70" s="487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0"/>
      <c r="AP70" s="320"/>
      <c r="AQ70" s="344">
        <v>1</v>
      </c>
      <c r="AR70" s="397" t="s">
        <v>800</v>
      </c>
      <c r="AS70" s="343">
        <v>65</v>
      </c>
      <c r="AT70" s="486"/>
      <c r="AU70" s="485"/>
      <c r="AV70" s="485"/>
      <c r="AW70" s="484"/>
      <c r="AX70" s="483"/>
      <c r="AY70" s="496"/>
      <c r="AZ70" s="363"/>
      <c r="BA70" s="342"/>
      <c r="BB70" s="342"/>
      <c r="BC70" s="481"/>
      <c r="BD70" s="423"/>
      <c r="BE70" s="423"/>
      <c r="BF70" s="423"/>
      <c r="BG70" s="320"/>
      <c r="BH70" s="320"/>
      <c r="BI70" s="320"/>
      <c r="BJ70" s="320"/>
      <c r="BK70" s="320"/>
      <c r="BL70" s="320"/>
      <c r="BM70" s="320"/>
    </row>
    <row r="71" spans="2:65">
      <c r="B71" s="345">
        <v>1</v>
      </c>
      <c r="C71" s="397" t="s">
        <v>801</v>
      </c>
      <c r="D71" s="343">
        <v>66</v>
      </c>
      <c r="E71" s="342"/>
      <c r="F71" s="342"/>
      <c r="G71" s="342"/>
      <c r="H71" s="340"/>
      <c r="I71" s="340"/>
      <c r="J71" s="340"/>
      <c r="K71" s="340"/>
      <c r="L71" s="340"/>
      <c r="M71" s="417"/>
      <c r="N71" s="320"/>
      <c r="O71" s="320"/>
      <c r="P71" s="320"/>
      <c r="Q71" s="320"/>
      <c r="R71" s="320"/>
      <c r="S71" s="320"/>
      <c r="T71" s="495">
        <v>1</v>
      </c>
      <c r="U71" s="494" t="s">
        <v>801</v>
      </c>
      <c r="V71" s="493">
        <v>66</v>
      </c>
      <c r="W71" s="492"/>
      <c r="X71" s="491"/>
      <c r="Y71" s="491"/>
      <c r="Z71" s="490"/>
      <c r="AA71" s="489"/>
      <c r="AB71" s="488"/>
      <c r="AC71" s="487"/>
      <c r="AD71" s="320"/>
      <c r="AE71" s="320"/>
      <c r="AF71" s="320"/>
      <c r="AG71" s="320"/>
      <c r="AH71" s="320"/>
      <c r="AI71" s="320"/>
      <c r="AJ71" s="320"/>
      <c r="AK71" s="320"/>
      <c r="AL71" s="320"/>
      <c r="AM71" s="320"/>
      <c r="AN71" s="320"/>
      <c r="AO71" s="320"/>
      <c r="AP71" s="320"/>
      <c r="AQ71" s="344">
        <v>1</v>
      </c>
      <c r="AR71" s="397" t="s">
        <v>801</v>
      </c>
      <c r="AS71" s="343">
        <v>66</v>
      </c>
      <c r="AT71" s="486"/>
      <c r="AU71" s="485"/>
      <c r="AV71" s="485"/>
      <c r="AW71" s="484"/>
      <c r="AX71" s="483"/>
      <c r="AY71" s="482"/>
      <c r="AZ71" s="363"/>
      <c r="BA71" s="342"/>
      <c r="BB71" s="342"/>
      <c r="BC71" s="481"/>
      <c r="BD71" s="423"/>
      <c r="BE71" s="423"/>
      <c r="BF71" s="423"/>
      <c r="BG71" s="320"/>
      <c r="BH71" s="320"/>
      <c r="BI71" s="320"/>
      <c r="BJ71" s="320"/>
      <c r="BK71" s="320"/>
      <c r="BL71" s="320"/>
      <c r="BM71" s="320"/>
    </row>
    <row r="72" spans="2:65">
      <c r="B72" s="345">
        <v>1</v>
      </c>
      <c r="C72" s="397" t="s">
        <v>802</v>
      </c>
      <c r="D72" s="343">
        <v>67</v>
      </c>
      <c r="E72" s="342"/>
      <c r="F72" s="342"/>
      <c r="G72" s="342"/>
      <c r="H72" s="340"/>
      <c r="I72" s="340"/>
      <c r="J72" s="340"/>
      <c r="K72" s="340"/>
      <c r="L72" s="340"/>
      <c r="M72" s="417"/>
      <c r="N72" s="320"/>
      <c r="O72" s="320"/>
      <c r="P72" s="320"/>
      <c r="Q72" s="320"/>
      <c r="R72" s="320"/>
      <c r="S72" s="320"/>
      <c r="T72" s="495">
        <v>1</v>
      </c>
      <c r="U72" s="494" t="s">
        <v>802</v>
      </c>
      <c r="V72" s="493">
        <v>67</v>
      </c>
      <c r="W72" s="492"/>
      <c r="X72" s="491"/>
      <c r="Y72" s="491"/>
      <c r="Z72" s="490"/>
      <c r="AA72" s="489"/>
      <c r="AB72" s="488"/>
      <c r="AC72" s="487"/>
      <c r="AD72" s="320"/>
      <c r="AE72" s="320"/>
      <c r="AF72" s="320"/>
      <c r="AG72" s="320"/>
      <c r="AH72" s="320"/>
      <c r="AI72" s="320"/>
      <c r="AJ72" s="320"/>
      <c r="AK72" s="320"/>
      <c r="AL72" s="320"/>
      <c r="AM72" s="320"/>
      <c r="AN72" s="320"/>
      <c r="AO72" s="320"/>
      <c r="AP72" s="320"/>
      <c r="AQ72" s="344">
        <v>1</v>
      </c>
      <c r="AR72" s="397" t="s">
        <v>802</v>
      </c>
      <c r="AS72" s="343">
        <v>67</v>
      </c>
      <c r="AT72" s="486"/>
      <c r="AU72" s="485"/>
      <c r="AV72" s="485"/>
      <c r="AW72" s="484"/>
      <c r="AX72" s="483"/>
      <c r="AY72" s="482"/>
      <c r="AZ72" s="363"/>
      <c r="BA72" s="342"/>
      <c r="BB72" s="342"/>
      <c r="BC72" s="481"/>
      <c r="BD72" s="423"/>
      <c r="BE72" s="423"/>
      <c r="BF72" s="423"/>
      <c r="BG72" s="320"/>
      <c r="BH72" s="320"/>
      <c r="BI72" s="320"/>
      <c r="BJ72" s="320"/>
      <c r="BK72" s="320"/>
      <c r="BL72" s="320"/>
      <c r="BM72" s="320"/>
    </row>
    <row r="73" spans="2:65">
      <c r="B73" s="345">
        <v>1</v>
      </c>
      <c r="C73" s="397" t="s">
        <v>803</v>
      </c>
      <c r="D73" s="343">
        <v>68</v>
      </c>
      <c r="E73" s="342"/>
      <c r="F73" s="342"/>
      <c r="G73" s="342"/>
      <c r="H73" s="340"/>
      <c r="I73" s="340"/>
      <c r="J73" s="340"/>
      <c r="K73" s="340"/>
      <c r="L73" s="340"/>
      <c r="M73" s="417"/>
      <c r="N73" s="320"/>
      <c r="O73" s="320"/>
      <c r="P73" s="320"/>
      <c r="Q73" s="320"/>
      <c r="R73" s="320"/>
      <c r="S73" s="320"/>
      <c r="T73" s="495">
        <v>1</v>
      </c>
      <c r="U73" s="494" t="s">
        <v>803</v>
      </c>
      <c r="V73" s="493">
        <v>68</v>
      </c>
      <c r="W73" s="492"/>
      <c r="X73" s="491"/>
      <c r="Y73" s="491"/>
      <c r="Z73" s="490"/>
      <c r="AA73" s="489"/>
      <c r="AB73" s="488"/>
      <c r="AC73" s="487"/>
      <c r="AD73" s="320"/>
      <c r="AE73" s="320"/>
      <c r="AF73" s="320"/>
      <c r="AG73" s="320"/>
      <c r="AH73" s="320"/>
      <c r="AI73" s="320"/>
      <c r="AJ73" s="320"/>
      <c r="AK73" s="320"/>
      <c r="AL73" s="320"/>
      <c r="AM73" s="320"/>
      <c r="AN73" s="320"/>
      <c r="AO73" s="320"/>
      <c r="AP73" s="320"/>
      <c r="AQ73" s="344">
        <v>1</v>
      </c>
      <c r="AR73" s="397" t="s">
        <v>803</v>
      </c>
      <c r="AS73" s="343">
        <v>68</v>
      </c>
      <c r="AT73" s="486"/>
      <c r="AU73" s="485"/>
      <c r="AV73" s="485"/>
      <c r="AW73" s="484"/>
      <c r="AX73" s="483"/>
      <c r="AY73" s="482"/>
      <c r="AZ73" s="363"/>
      <c r="BA73" s="342"/>
      <c r="BB73" s="342"/>
      <c r="BC73" s="481"/>
      <c r="BD73" s="423"/>
      <c r="BE73" s="423"/>
      <c r="BF73" s="423"/>
      <c r="BG73" s="320"/>
      <c r="BH73" s="320"/>
      <c r="BI73" s="320"/>
      <c r="BJ73" s="320"/>
      <c r="BK73" s="320"/>
      <c r="BL73" s="320"/>
      <c r="BM73" s="320"/>
    </row>
    <row r="74" spans="2:65">
      <c r="B74" s="345">
        <v>1</v>
      </c>
      <c r="C74" s="397" t="s">
        <v>804</v>
      </c>
      <c r="D74" s="343">
        <v>69</v>
      </c>
      <c r="E74" s="342"/>
      <c r="F74" s="342"/>
      <c r="G74" s="342"/>
      <c r="H74" s="340"/>
      <c r="I74" s="340"/>
      <c r="J74" s="340"/>
      <c r="K74" s="340"/>
      <c r="L74" s="340"/>
      <c r="M74" s="417"/>
      <c r="N74" s="320"/>
      <c r="O74" s="320"/>
      <c r="P74" s="320"/>
      <c r="Q74" s="320"/>
      <c r="R74" s="320"/>
      <c r="S74" s="320"/>
      <c r="T74" s="495">
        <v>1</v>
      </c>
      <c r="U74" s="494" t="s">
        <v>804</v>
      </c>
      <c r="V74" s="493">
        <v>69</v>
      </c>
      <c r="W74" s="492"/>
      <c r="X74" s="491"/>
      <c r="Y74" s="491"/>
      <c r="Z74" s="490"/>
      <c r="AA74" s="489"/>
      <c r="AB74" s="488"/>
      <c r="AC74" s="487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44">
        <v>1</v>
      </c>
      <c r="AR74" s="397" t="s">
        <v>804</v>
      </c>
      <c r="AS74" s="343">
        <v>69</v>
      </c>
      <c r="AT74" s="486"/>
      <c r="AU74" s="485"/>
      <c r="AV74" s="485"/>
      <c r="AW74" s="484"/>
      <c r="AX74" s="483"/>
      <c r="AY74" s="482"/>
      <c r="AZ74" s="363"/>
      <c r="BA74" s="342"/>
      <c r="BB74" s="342"/>
      <c r="BC74" s="481"/>
      <c r="BD74" s="423"/>
      <c r="BE74" s="423"/>
      <c r="BF74" s="423"/>
      <c r="BG74" s="320"/>
      <c r="BH74" s="320"/>
      <c r="BI74" s="320"/>
      <c r="BJ74" s="320"/>
      <c r="BK74" s="320"/>
      <c r="BL74" s="320"/>
      <c r="BM74" s="320"/>
    </row>
    <row r="75" spans="2:65">
      <c r="B75" s="345">
        <v>1</v>
      </c>
      <c r="C75" s="397" t="s">
        <v>805</v>
      </c>
      <c r="D75" s="343">
        <v>70</v>
      </c>
      <c r="E75" s="342"/>
      <c r="F75" s="342"/>
      <c r="G75" s="342"/>
      <c r="H75" s="340"/>
      <c r="I75" s="340"/>
      <c r="J75" s="340"/>
      <c r="K75" s="340"/>
      <c r="L75" s="340"/>
      <c r="M75" s="417"/>
      <c r="N75" s="320"/>
      <c r="O75" s="320"/>
      <c r="P75" s="320"/>
      <c r="Q75" s="320"/>
      <c r="R75" s="320"/>
      <c r="S75" s="320"/>
      <c r="T75" s="495">
        <v>1</v>
      </c>
      <c r="U75" s="494" t="s">
        <v>805</v>
      </c>
      <c r="V75" s="493">
        <v>70</v>
      </c>
      <c r="W75" s="492"/>
      <c r="X75" s="491"/>
      <c r="Y75" s="491"/>
      <c r="Z75" s="490"/>
      <c r="AA75" s="489"/>
      <c r="AB75" s="488"/>
      <c r="AC75" s="487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  <c r="AO75" s="320"/>
      <c r="AP75" s="320"/>
      <c r="AQ75" s="344">
        <v>1</v>
      </c>
      <c r="AR75" s="397" t="s">
        <v>805</v>
      </c>
      <c r="AS75" s="343">
        <v>70</v>
      </c>
      <c r="AT75" s="486"/>
      <c r="AU75" s="485"/>
      <c r="AV75" s="485"/>
      <c r="AW75" s="484"/>
      <c r="AX75" s="483"/>
      <c r="AY75" s="482"/>
      <c r="AZ75" s="363"/>
      <c r="BA75" s="342"/>
      <c r="BB75" s="342"/>
      <c r="BC75" s="481"/>
      <c r="BD75" s="423"/>
      <c r="BE75" s="423"/>
      <c r="BF75" s="423"/>
      <c r="BG75" s="320"/>
      <c r="BH75" s="320"/>
      <c r="BI75" s="320"/>
      <c r="BJ75" s="320"/>
      <c r="BK75" s="320"/>
      <c r="BL75" s="320"/>
      <c r="BM75" s="320"/>
    </row>
    <row r="76" spans="2:65">
      <c r="B76" s="345">
        <v>1</v>
      </c>
      <c r="C76" s="397" t="s">
        <v>806</v>
      </c>
      <c r="D76" s="343">
        <v>71</v>
      </c>
      <c r="E76" s="342"/>
      <c r="F76" s="342"/>
      <c r="G76" s="342"/>
      <c r="H76" s="340"/>
      <c r="I76" s="340"/>
      <c r="J76" s="340"/>
      <c r="K76" s="340"/>
      <c r="L76" s="340"/>
      <c r="M76" s="417"/>
      <c r="N76" s="320"/>
      <c r="O76" s="320"/>
      <c r="P76" s="320"/>
      <c r="Q76" s="320"/>
      <c r="R76" s="320"/>
      <c r="S76" s="320"/>
      <c r="T76" s="495">
        <v>1</v>
      </c>
      <c r="U76" s="494" t="s">
        <v>806</v>
      </c>
      <c r="V76" s="493">
        <v>71</v>
      </c>
      <c r="W76" s="492"/>
      <c r="X76" s="491"/>
      <c r="Y76" s="491"/>
      <c r="Z76" s="490"/>
      <c r="AA76" s="489"/>
      <c r="AB76" s="488"/>
      <c r="AC76" s="487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44">
        <v>1</v>
      </c>
      <c r="AR76" s="397" t="s">
        <v>806</v>
      </c>
      <c r="AS76" s="343">
        <v>71</v>
      </c>
      <c r="AT76" s="486"/>
      <c r="AU76" s="485"/>
      <c r="AV76" s="485"/>
      <c r="AW76" s="484"/>
      <c r="AX76" s="483"/>
      <c r="AY76" s="482"/>
      <c r="AZ76" s="363"/>
      <c r="BA76" s="342"/>
      <c r="BB76" s="342"/>
      <c r="BC76" s="481"/>
      <c r="BD76" s="423"/>
      <c r="BE76" s="423"/>
      <c r="BF76" s="423"/>
      <c r="BG76" s="320"/>
      <c r="BH76" s="320"/>
      <c r="BI76" s="320"/>
      <c r="BJ76" s="320"/>
      <c r="BK76" s="320"/>
      <c r="BL76" s="320"/>
      <c r="BM76" s="320"/>
    </row>
    <row r="77" spans="2:65" ht="15.75" thickBot="1">
      <c r="B77" s="362">
        <v>1</v>
      </c>
      <c r="C77" s="406" t="s">
        <v>807</v>
      </c>
      <c r="D77" s="358">
        <v>72</v>
      </c>
      <c r="E77" s="356"/>
      <c r="F77" s="356"/>
      <c r="G77" s="356"/>
      <c r="H77" s="360"/>
      <c r="I77" s="542"/>
      <c r="J77" s="542"/>
      <c r="K77" s="360"/>
      <c r="L77" s="360"/>
      <c r="M77" s="480"/>
      <c r="N77" s="320"/>
      <c r="O77" s="320"/>
      <c r="P77" s="320"/>
      <c r="Q77" s="320"/>
      <c r="R77" s="320"/>
      <c r="S77" s="320"/>
      <c r="T77" s="479">
        <v>1</v>
      </c>
      <c r="U77" s="478" t="s">
        <v>807</v>
      </c>
      <c r="V77" s="477">
        <v>72</v>
      </c>
      <c r="W77" s="476"/>
      <c r="X77" s="475"/>
      <c r="Y77" s="475"/>
      <c r="Z77" s="474"/>
      <c r="AA77" s="473"/>
      <c r="AB77" s="472"/>
      <c r="AC77" s="471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  <c r="AN77" s="320"/>
      <c r="AO77" s="320"/>
      <c r="AP77" s="320"/>
      <c r="AQ77" s="359">
        <v>1</v>
      </c>
      <c r="AR77" s="406" t="s">
        <v>807</v>
      </c>
      <c r="AS77" s="358">
        <v>72</v>
      </c>
      <c r="AT77" s="470"/>
      <c r="AU77" s="469"/>
      <c r="AV77" s="469"/>
      <c r="AW77" s="468"/>
      <c r="AX77" s="467"/>
      <c r="AY77" s="466"/>
      <c r="AZ77" s="357"/>
      <c r="BA77" s="356"/>
      <c r="BB77" s="356"/>
      <c r="BC77" s="465"/>
      <c r="BD77" s="423"/>
      <c r="BE77" s="423"/>
      <c r="BF77" s="423"/>
      <c r="BG77" s="320"/>
      <c r="BH77" s="320"/>
      <c r="BI77" s="320"/>
      <c r="BJ77" s="320"/>
      <c r="BK77" s="320"/>
      <c r="BL77" s="320"/>
      <c r="BM77" s="320"/>
    </row>
    <row r="78" spans="2:65">
      <c r="B78" s="405">
        <v>1</v>
      </c>
      <c r="C78" s="404" t="s">
        <v>233</v>
      </c>
      <c r="D78" s="403">
        <v>73</v>
      </c>
      <c r="E78" s="388"/>
      <c r="F78" s="388"/>
      <c r="G78" s="388"/>
      <c r="H78" s="541"/>
      <c r="I78" s="540"/>
      <c r="J78" s="540"/>
      <c r="K78" s="352"/>
      <c r="L78" s="352"/>
      <c r="M78" s="464"/>
      <c r="N78" s="320"/>
      <c r="O78" s="320"/>
      <c r="P78" s="320"/>
      <c r="Q78" s="320"/>
      <c r="R78" s="320"/>
      <c r="S78" s="320"/>
      <c r="T78" s="463">
        <v>1</v>
      </c>
      <c r="U78" s="462" t="s">
        <v>233</v>
      </c>
      <c r="V78" s="461">
        <v>73</v>
      </c>
      <c r="W78" s="460"/>
      <c r="X78" s="459"/>
      <c r="Y78" s="459"/>
      <c r="Z78" s="458"/>
      <c r="AA78" s="457"/>
      <c r="AB78" s="539">
        <f>AH9</f>
        <v>0</v>
      </c>
      <c r="AC78" s="455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0"/>
      <c r="AP78" s="320"/>
      <c r="AQ78" s="454">
        <v>1</v>
      </c>
      <c r="AR78" s="404" t="s">
        <v>233</v>
      </c>
      <c r="AS78" s="403">
        <v>73</v>
      </c>
      <c r="AT78" s="538"/>
      <c r="AU78" s="537"/>
      <c r="AV78" s="537"/>
      <c r="AW78" s="536"/>
      <c r="AX78" s="535"/>
      <c r="AY78" s="534">
        <f>BH9</f>
        <v>0</v>
      </c>
      <c r="AZ78" s="533"/>
      <c r="BA78" s="347"/>
      <c r="BB78" s="347"/>
      <c r="BC78" s="532"/>
      <c r="BD78" s="423"/>
      <c r="BE78" s="423"/>
      <c r="BF78" s="423"/>
      <c r="BG78" s="320"/>
      <c r="BH78" s="320"/>
      <c r="BI78" s="320"/>
      <c r="BJ78" s="320"/>
      <c r="BK78" s="320"/>
      <c r="BL78" s="320"/>
      <c r="BM78" s="320"/>
    </row>
    <row r="79" spans="2:65">
      <c r="B79" s="367">
        <v>1</v>
      </c>
      <c r="C79" s="396" t="s">
        <v>234</v>
      </c>
      <c r="D79" s="365">
        <v>74</v>
      </c>
      <c r="E79" s="331"/>
      <c r="F79" s="331"/>
      <c r="G79" s="331"/>
      <c r="H79" s="529"/>
      <c r="I79" s="529"/>
      <c r="J79" s="529"/>
      <c r="K79" s="336"/>
      <c r="L79" s="336"/>
      <c r="M79" s="416"/>
      <c r="N79" s="320"/>
      <c r="O79" s="320"/>
      <c r="P79" s="320"/>
      <c r="Q79" s="320"/>
      <c r="R79" s="320"/>
      <c r="S79" s="320"/>
      <c r="T79" s="422">
        <v>1</v>
      </c>
      <c r="U79" s="421" t="s">
        <v>234</v>
      </c>
      <c r="V79" s="420">
        <v>74</v>
      </c>
      <c r="W79" s="434"/>
      <c r="X79" s="433"/>
      <c r="Y79" s="433"/>
      <c r="Z79" s="432"/>
      <c r="AA79" s="431"/>
      <c r="AB79" s="430"/>
      <c r="AC79" s="418"/>
      <c r="AD79" s="320"/>
      <c r="AE79" s="320"/>
      <c r="AF79" s="320"/>
      <c r="AG79" s="320"/>
      <c r="AH79" s="320"/>
      <c r="AI79" s="320"/>
      <c r="AJ79" s="320"/>
      <c r="AK79" s="320"/>
      <c r="AL79" s="320"/>
      <c r="AM79" s="320"/>
      <c r="AN79" s="320"/>
      <c r="AO79" s="320"/>
      <c r="AP79" s="320"/>
      <c r="AQ79" s="366">
        <v>1</v>
      </c>
      <c r="AR79" s="396" t="s">
        <v>234</v>
      </c>
      <c r="AS79" s="365">
        <v>74</v>
      </c>
      <c r="AT79" s="429"/>
      <c r="AU79" s="428"/>
      <c r="AV79" s="428"/>
      <c r="AW79" s="427"/>
      <c r="AX79" s="426"/>
      <c r="AY79" s="425"/>
      <c r="AZ79" s="415"/>
      <c r="BA79" s="331"/>
      <c r="BB79" s="331"/>
      <c r="BC79" s="424"/>
      <c r="BD79" s="423"/>
      <c r="BE79" s="423"/>
      <c r="BF79" s="423"/>
      <c r="BG79" s="320"/>
      <c r="BH79" s="320"/>
      <c r="BI79" s="320"/>
      <c r="BJ79" s="320"/>
      <c r="BK79" s="320"/>
      <c r="BL79" s="320"/>
      <c r="BM79" s="320"/>
    </row>
    <row r="80" spans="2:65">
      <c r="B80" s="367">
        <v>1</v>
      </c>
      <c r="C80" s="396" t="s">
        <v>235</v>
      </c>
      <c r="D80" s="365">
        <v>75</v>
      </c>
      <c r="E80" s="331"/>
      <c r="F80" s="331"/>
      <c r="G80" s="331"/>
      <c r="H80" s="529"/>
      <c r="I80" s="529"/>
      <c r="J80" s="529"/>
      <c r="K80" s="336"/>
      <c r="L80" s="336"/>
      <c r="M80" s="416"/>
      <c r="N80" s="320"/>
      <c r="O80" s="320"/>
      <c r="P80" s="320"/>
      <c r="Q80" s="320"/>
      <c r="R80" s="320"/>
      <c r="S80" s="320"/>
      <c r="T80" s="422">
        <v>1</v>
      </c>
      <c r="U80" s="421" t="s">
        <v>235</v>
      </c>
      <c r="V80" s="420">
        <v>75</v>
      </c>
      <c r="W80" s="434"/>
      <c r="X80" s="433"/>
      <c r="Y80" s="433"/>
      <c r="Z80" s="432"/>
      <c r="AA80" s="431"/>
      <c r="AB80" s="430"/>
      <c r="AC80" s="418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0"/>
      <c r="AP80" s="320"/>
      <c r="AQ80" s="366">
        <v>1</v>
      </c>
      <c r="AR80" s="396" t="s">
        <v>235</v>
      </c>
      <c r="AS80" s="365">
        <v>75</v>
      </c>
      <c r="AT80" s="429"/>
      <c r="AU80" s="428"/>
      <c r="AV80" s="428"/>
      <c r="AW80" s="427"/>
      <c r="AX80" s="426"/>
      <c r="AY80" s="425"/>
      <c r="AZ80" s="415"/>
      <c r="BA80" s="331"/>
      <c r="BB80" s="331"/>
      <c r="BC80" s="424"/>
      <c r="BD80" s="423"/>
      <c r="BE80" s="423"/>
      <c r="BF80" s="423"/>
      <c r="BG80" s="320"/>
      <c r="BH80" s="320"/>
      <c r="BI80" s="320"/>
      <c r="BJ80" s="320"/>
      <c r="BK80" s="320"/>
      <c r="BL80" s="320"/>
      <c r="BM80" s="320"/>
    </row>
    <row r="81" spans="2:65">
      <c r="B81" s="367">
        <v>1</v>
      </c>
      <c r="C81" s="396" t="s">
        <v>236</v>
      </c>
      <c r="D81" s="365">
        <v>76</v>
      </c>
      <c r="E81" s="331"/>
      <c r="F81" s="331"/>
      <c r="G81" s="331"/>
      <c r="H81" s="529"/>
      <c r="I81" s="529"/>
      <c r="J81" s="529"/>
      <c r="K81" s="336"/>
      <c r="L81" s="336"/>
      <c r="M81" s="416"/>
      <c r="N81" s="320"/>
      <c r="O81" s="320"/>
      <c r="P81" s="320"/>
      <c r="Q81" s="320"/>
      <c r="R81" s="320"/>
      <c r="S81" s="320"/>
      <c r="T81" s="422">
        <v>1</v>
      </c>
      <c r="U81" s="421" t="s">
        <v>236</v>
      </c>
      <c r="V81" s="420">
        <v>76</v>
      </c>
      <c r="W81" s="434"/>
      <c r="X81" s="433"/>
      <c r="Y81" s="433"/>
      <c r="Z81" s="432"/>
      <c r="AA81" s="431"/>
      <c r="AB81" s="430"/>
      <c r="AC81" s="418"/>
      <c r="AD81" s="320"/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  <c r="AO81" s="320"/>
      <c r="AP81" s="320"/>
      <c r="AQ81" s="366">
        <v>1</v>
      </c>
      <c r="AR81" s="396" t="s">
        <v>236</v>
      </c>
      <c r="AS81" s="365">
        <v>76</v>
      </c>
      <c r="AT81" s="429"/>
      <c r="AU81" s="428"/>
      <c r="AV81" s="428"/>
      <c r="AW81" s="427"/>
      <c r="AX81" s="426"/>
      <c r="AY81" s="425"/>
      <c r="AZ81" s="415"/>
      <c r="BA81" s="331"/>
      <c r="BB81" s="331"/>
      <c r="BC81" s="424"/>
      <c r="BD81" s="423"/>
      <c r="BE81" s="423"/>
      <c r="BF81" s="423"/>
      <c r="BG81" s="320"/>
      <c r="BH81" s="320"/>
      <c r="BI81" s="320"/>
      <c r="BJ81" s="320"/>
      <c r="BK81" s="320"/>
      <c r="BL81" s="320"/>
      <c r="BM81" s="320"/>
    </row>
    <row r="82" spans="2:65">
      <c r="B82" s="367">
        <v>1</v>
      </c>
      <c r="C82" s="396" t="s">
        <v>237</v>
      </c>
      <c r="D82" s="365">
        <v>77</v>
      </c>
      <c r="E82" s="331"/>
      <c r="F82" s="331"/>
      <c r="G82" s="331"/>
      <c r="H82" s="529"/>
      <c r="I82" s="529"/>
      <c r="J82" s="529"/>
      <c r="K82" s="336"/>
      <c r="L82" s="336"/>
      <c r="M82" s="416"/>
      <c r="N82" s="320"/>
      <c r="O82" s="320"/>
      <c r="P82" s="320"/>
      <c r="Q82" s="320"/>
      <c r="R82" s="320"/>
      <c r="S82" s="320"/>
      <c r="T82" s="422">
        <v>1</v>
      </c>
      <c r="U82" s="421" t="s">
        <v>237</v>
      </c>
      <c r="V82" s="420">
        <v>77</v>
      </c>
      <c r="W82" s="434"/>
      <c r="X82" s="433"/>
      <c r="Y82" s="433"/>
      <c r="Z82" s="432"/>
      <c r="AA82" s="431"/>
      <c r="AB82" s="430"/>
      <c r="AC82" s="418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  <c r="AO82" s="320"/>
      <c r="AP82" s="320"/>
      <c r="AQ82" s="366">
        <v>1</v>
      </c>
      <c r="AR82" s="396" t="s">
        <v>237</v>
      </c>
      <c r="AS82" s="365">
        <v>77</v>
      </c>
      <c r="AT82" s="429"/>
      <c r="AU82" s="428"/>
      <c r="AV82" s="428"/>
      <c r="AW82" s="427"/>
      <c r="AX82" s="426"/>
      <c r="AY82" s="425"/>
      <c r="AZ82" s="415"/>
      <c r="BA82" s="331"/>
      <c r="BB82" s="331"/>
      <c r="BC82" s="424"/>
      <c r="BD82" s="423"/>
      <c r="BE82" s="423"/>
      <c r="BF82" s="423"/>
      <c r="BG82" s="320"/>
      <c r="BH82" s="320"/>
      <c r="BI82" s="320"/>
      <c r="BJ82" s="320"/>
      <c r="BK82" s="320"/>
      <c r="BL82" s="320"/>
      <c r="BM82" s="320"/>
    </row>
    <row r="83" spans="2:65">
      <c r="B83" s="367">
        <v>1</v>
      </c>
      <c r="C83" s="396" t="s">
        <v>238</v>
      </c>
      <c r="D83" s="365">
        <v>78</v>
      </c>
      <c r="E83" s="331"/>
      <c r="F83" s="331"/>
      <c r="G83" s="331"/>
      <c r="H83" s="529"/>
      <c r="I83" s="529"/>
      <c r="J83" s="529"/>
      <c r="K83" s="336"/>
      <c r="L83" s="336"/>
      <c r="M83" s="416"/>
      <c r="N83" s="320"/>
      <c r="O83" s="320"/>
      <c r="P83" s="320"/>
      <c r="Q83" s="320"/>
      <c r="R83" s="320"/>
      <c r="S83" s="320"/>
      <c r="T83" s="422">
        <v>1</v>
      </c>
      <c r="U83" s="421" t="s">
        <v>238</v>
      </c>
      <c r="V83" s="420">
        <v>78</v>
      </c>
      <c r="W83" s="434"/>
      <c r="X83" s="433"/>
      <c r="Y83" s="433"/>
      <c r="Z83" s="432"/>
      <c r="AA83" s="431"/>
      <c r="AB83" s="430"/>
      <c r="AC83" s="418"/>
      <c r="AD83" s="320"/>
      <c r="AE83" s="320"/>
      <c r="AF83" s="320"/>
      <c r="AG83" s="320"/>
      <c r="AH83" s="320"/>
      <c r="AI83" s="320"/>
      <c r="AJ83" s="320"/>
      <c r="AK83" s="320"/>
      <c r="AL83" s="320"/>
      <c r="AM83" s="320"/>
      <c r="AN83" s="320"/>
      <c r="AO83" s="320"/>
      <c r="AP83" s="320"/>
      <c r="AQ83" s="366">
        <v>1</v>
      </c>
      <c r="AR83" s="396" t="s">
        <v>238</v>
      </c>
      <c r="AS83" s="365">
        <v>78</v>
      </c>
      <c r="AT83" s="429"/>
      <c r="AU83" s="428"/>
      <c r="AV83" s="428"/>
      <c r="AW83" s="427"/>
      <c r="AX83" s="426"/>
      <c r="AY83" s="425"/>
      <c r="AZ83" s="415"/>
      <c r="BA83" s="331"/>
      <c r="BB83" s="331"/>
      <c r="BC83" s="424"/>
      <c r="BD83" s="423"/>
      <c r="BE83" s="423"/>
      <c r="BF83" s="423"/>
      <c r="BG83" s="320"/>
      <c r="BH83" s="320"/>
      <c r="BI83" s="320"/>
      <c r="BJ83" s="320"/>
      <c r="BK83" s="320"/>
      <c r="BL83" s="320"/>
      <c r="BM83" s="320"/>
    </row>
    <row r="84" spans="2:65">
      <c r="B84" s="367">
        <v>1</v>
      </c>
      <c r="C84" s="396" t="s">
        <v>239</v>
      </c>
      <c r="D84" s="365">
        <v>79</v>
      </c>
      <c r="E84" s="331"/>
      <c r="F84" s="331"/>
      <c r="G84" s="331"/>
      <c r="H84" s="529"/>
      <c r="I84" s="529"/>
      <c r="J84" s="529"/>
      <c r="K84" s="336"/>
      <c r="L84" s="336"/>
      <c r="M84" s="416"/>
      <c r="N84" s="320"/>
      <c r="O84" s="320"/>
      <c r="P84" s="320"/>
      <c r="Q84" s="320"/>
      <c r="R84" s="320"/>
      <c r="S84" s="320"/>
      <c r="T84" s="422">
        <v>1</v>
      </c>
      <c r="U84" s="421" t="s">
        <v>239</v>
      </c>
      <c r="V84" s="420">
        <v>79</v>
      </c>
      <c r="W84" s="434"/>
      <c r="X84" s="433"/>
      <c r="Y84" s="433"/>
      <c r="Z84" s="432"/>
      <c r="AA84" s="431"/>
      <c r="AB84" s="430"/>
      <c r="AC84" s="418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  <c r="AO84" s="320"/>
      <c r="AP84" s="320"/>
      <c r="AQ84" s="366">
        <v>1</v>
      </c>
      <c r="AR84" s="396" t="s">
        <v>239</v>
      </c>
      <c r="AS84" s="365">
        <v>79</v>
      </c>
      <c r="AT84" s="429"/>
      <c r="AU84" s="428"/>
      <c r="AV84" s="428"/>
      <c r="AW84" s="427"/>
      <c r="AX84" s="426"/>
      <c r="AY84" s="425"/>
      <c r="AZ84" s="415"/>
      <c r="BA84" s="331"/>
      <c r="BB84" s="331"/>
      <c r="BC84" s="424"/>
      <c r="BD84" s="423"/>
      <c r="BE84" s="423"/>
      <c r="BF84" s="423"/>
      <c r="BG84" s="320"/>
      <c r="BH84" s="320"/>
      <c r="BI84" s="320"/>
      <c r="BJ84" s="320"/>
      <c r="BK84" s="320"/>
      <c r="BL84" s="320"/>
      <c r="BM84" s="320"/>
    </row>
    <row r="85" spans="2:65">
      <c r="B85" s="367">
        <v>1</v>
      </c>
      <c r="C85" s="396" t="s">
        <v>240</v>
      </c>
      <c r="D85" s="365">
        <v>80</v>
      </c>
      <c r="E85" s="331"/>
      <c r="F85" s="331"/>
      <c r="G85" s="331"/>
      <c r="H85" s="529"/>
      <c r="I85" s="529"/>
      <c r="J85" s="529"/>
      <c r="K85" s="336"/>
      <c r="L85" s="336"/>
      <c r="M85" s="416"/>
      <c r="N85" s="320"/>
      <c r="O85" s="320"/>
      <c r="P85" s="320"/>
      <c r="Q85" s="320"/>
      <c r="R85" s="320"/>
      <c r="S85" s="320"/>
      <c r="T85" s="422">
        <v>1</v>
      </c>
      <c r="U85" s="421" t="s">
        <v>240</v>
      </c>
      <c r="V85" s="420">
        <v>80</v>
      </c>
      <c r="W85" s="434"/>
      <c r="X85" s="433"/>
      <c r="Y85" s="433"/>
      <c r="Z85" s="432"/>
      <c r="AA85" s="431"/>
      <c r="AB85" s="430"/>
      <c r="AC85" s="418"/>
      <c r="AD85" s="320"/>
      <c r="AE85" s="320"/>
      <c r="AF85" s="320"/>
      <c r="AG85" s="320"/>
      <c r="AH85" s="320"/>
      <c r="AI85" s="320"/>
      <c r="AJ85" s="320"/>
      <c r="AK85" s="320"/>
      <c r="AL85" s="320"/>
      <c r="AM85" s="320"/>
      <c r="AN85" s="320"/>
      <c r="AO85" s="320"/>
      <c r="AP85" s="320"/>
      <c r="AQ85" s="366">
        <v>1</v>
      </c>
      <c r="AR85" s="396" t="s">
        <v>240</v>
      </c>
      <c r="AS85" s="365">
        <v>80</v>
      </c>
      <c r="AT85" s="429"/>
      <c r="AU85" s="428"/>
      <c r="AV85" s="428"/>
      <c r="AW85" s="427"/>
      <c r="AX85" s="426"/>
      <c r="AY85" s="425"/>
      <c r="AZ85" s="415"/>
      <c r="BA85" s="331"/>
      <c r="BB85" s="331"/>
      <c r="BC85" s="424"/>
      <c r="BD85" s="423"/>
      <c r="BE85" s="423"/>
      <c r="BF85" s="423"/>
      <c r="BG85" s="320"/>
      <c r="BH85" s="320"/>
      <c r="BI85" s="320"/>
      <c r="BJ85" s="320"/>
      <c r="BK85" s="320"/>
      <c r="BL85" s="320"/>
      <c r="BM85" s="320"/>
    </row>
    <row r="86" spans="2:65">
      <c r="B86" s="345">
        <v>1</v>
      </c>
      <c r="C86" s="397" t="s">
        <v>241</v>
      </c>
      <c r="D86" s="343">
        <v>81</v>
      </c>
      <c r="E86" s="342"/>
      <c r="F86" s="342"/>
      <c r="G86" s="342"/>
      <c r="H86" s="340"/>
      <c r="I86" s="340"/>
      <c r="J86" s="340"/>
      <c r="K86" s="340"/>
      <c r="L86" s="340"/>
      <c r="M86" s="417"/>
      <c r="N86" s="320"/>
      <c r="O86" s="320"/>
      <c r="P86" s="320"/>
      <c r="Q86" s="320"/>
      <c r="R86" s="320"/>
      <c r="S86" s="320"/>
      <c r="T86" s="422">
        <v>1</v>
      </c>
      <c r="U86" s="421" t="s">
        <v>241</v>
      </c>
      <c r="V86" s="420">
        <v>81</v>
      </c>
      <c r="W86" s="434"/>
      <c r="X86" s="433"/>
      <c r="Y86" s="433"/>
      <c r="Z86" s="432"/>
      <c r="AA86" s="431"/>
      <c r="AB86" s="531"/>
      <c r="AC86" s="418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  <c r="AN86" s="320"/>
      <c r="AO86" s="320"/>
      <c r="AP86" s="320"/>
      <c r="AQ86" s="366">
        <v>1</v>
      </c>
      <c r="AR86" s="396" t="s">
        <v>241</v>
      </c>
      <c r="AS86" s="365">
        <v>81</v>
      </c>
      <c r="AT86" s="429"/>
      <c r="AU86" s="428"/>
      <c r="AV86" s="428"/>
      <c r="AW86" s="427"/>
      <c r="AX86" s="426"/>
      <c r="AY86" s="530"/>
      <c r="AZ86" s="415"/>
      <c r="BA86" s="331"/>
      <c r="BB86" s="331"/>
      <c r="BC86" s="424"/>
      <c r="BD86" s="423"/>
      <c r="BE86" s="423"/>
      <c r="BF86" s="423"/>
      <c r="BG86" s="320"/>
      <c r="BH86" s="320"/>
      <c r="BI86" s="320"/>
      <c r="BJ86" s="320"/>
      <c r="BK86" s="320"/>
      <c r="BL86" s="320"/>
      <c r="BM86" s="320"/>
    </row>
    <row r="87" spans="2:65">
      <c r="B87" s="345">
        <v>1</v>
      </c>
      <c r="C87" s="397" t="s">
        <v>242</v>
      </c>
      <c r="D87" s="343">
        <v>82</v>
      </c>
      <c r="E87" s="342"/>
      <c r="F87" s="342"/>
      <c r="G87" s="342"/>
      <c r="H87" s="340"/>
      <c r="I87" s="340"/>
      <c r="J87" s="340"/>
      <c r="K87" s="340"/>
      <c r="L87" s="340"/>
      <c r="M87" s="417"/>
      <c r="N87" s="320"/>
      <c r="O87" s="320"/>
      <c r="P87" s="320"/>
      <c r="Q87" s="320"/>
      <c r="R87" s="320"/>
      <c r="S87" s="320"/>
      <c r="T87" s="422">
        <v>1</v>
      </c>
      <c r="U87" s="421" t="s">
        <v>242</v>
      </c>
      <c r="V87" s="420">
        <v>82</v>
      </c>
      <c r="W87" s="434"/>
      <c r="X87" s="433"/>
      <c r="Y87" s="433"/>
      <c r="Z87" s="432"/>
      <c r="AA87" s="431"/>
      <c r="AB87" s="430"/>
      <c r="AC87" s="418"/>
      <c r="AD87" s="320"/>
      <c r="AE87" s="320"/>
      <c r="AF87" s="320"/>
      <c r="AG87" s="320"/>
      <c r="AH87" s="320"/>
      <c r="AI87" s="320"/>
      <c r="AJ87" s="320"/>
      <c r="AK87" s="320"/>
      <c r="AL87" s="320"/>
      <c r="AM87" s="320"/>
      <c r="AN87" s="320"/>
      <c r="AO87" s="320"/>
      <c r="AP87" s="320"/>
      <c r="AQ87" s="366">
        <v>1</v>
      </c>
      <c r="AR87" s="396" t="s">
        <v>242</v>
      </c>
      <c r="AS87" s="365">
        <v>82</v>
      </c>
      <c r="AT87" s="429"/>
      <c r="AU87" s="428"/>
      <c r="AV87" s="428"/>
      <c r="AW87" s="427"/>
      <c r="AX87" s="426"/>
      <c r="AY87" s="425"/>
      <c r="AZ87" s="415"/>
      <c r="BA87" s="331"/>
      <c r="BB87" s="331"/>
      <c r="BC87" s="424"/>
      <c r="BD87" s="423"/>
      <c r="BE87" s="423"/>
      <c r="BF87" s="423"/>
      <c r="BG87" s="320"/>
      <c r="BH87" s="320"/>
      <c r="BI87" s="320"/>
      <c r="BJ87" s="320"/>
      <c r="BK87" s="320"/>
      <c r="BL87" s="320"/>
      <c r="BM87" s="320"/>
    </row>
    <row r="88" spans="2:65">
      <c r="B88" s="345">
        <v>1</v>
      </c>
      <c r="C88" s="397" t="s">
        <v>243</v>
      </c>
      <c r="D88" s="343">
        <v>83</v>
      </c>
      <c r="E88" s="342"/>
      <c r="F88" s="342"/>
      <c r="G88" s="342"/>
      <c r="H88" s="340"/>
      <c r="I88" s="340"/>
      <c r="J88" s="340"/>
      <c r="K88" s="340"/>
      <c r="L88" s="340"/>
      <c r="M88" s="417"/>
      <c r="N88" s="320"/>
      <c r="O88" s="320"/>
      <c r="P88" s="320"/>
      <c r="Q88" s="320"/>
      <c r="R88" s="320"/>
      <c r="S88" s="320"/>
      <c r="T88" s="422">
        <v>1</v>
      </c>
      <c r="U88" s="421" t="s">
        <v>243</v>
      </c>
      <c r="V88" s="420">
        <v>83</v>
      </c>
      <c r="W88" s="434"/>
      <c r="X88" s="433"/>
      <c r="Y88" s="433"/>
      <c r="Z88" s="432"/>
      <c r="AA88" s="431"/>
      <c r="AB88" s="430"/>
      <c r="AC88" s="418"/>
      <c r="AD88" s="320"/>
      <c r="AE88" s="320"/>
      <c r="AF88" s="320"/>
      <c r="AG88" s="320"/>
      <c r="AH88" s="320"/>
      <c r="AI88" s="320"/>
      <c r="AJ88" s="320"/>
      <c r="AK88" s="320"/>
      <c r="AL88" s="320"/>
      <c r="AM88" s="320"/>
      <c r="AN88" s="320"/>
      <c r="AO88" s="320"/>
      <c r="AP88" s="320"/>
      <c r="AQ88" s="366">
        <v>1</v>
      </c>
      <c r="AR88" s="396" t="s">
        <v>243</v>
      </c>
      <c r="AS88" s="365">
        <v>83</v>
      </c>
      <c r="AT88" s="429"/>
      <c r="AU88" s="428"/>
      <c r="AV88" s="428"/>
      <c r="AW88" s="427"/>
      <c r="AX88" s="426"/>
      <c r="AY88" s="425"/>
      <c r="AZ88" s="415"/>
      <c r="BA88" s="331"/>
      <c r="BB88" s="331"/>
      <c r="BC88" s="424"/>
      <c r="BD88" s="423"/>
      <c r="BE88" s="423"/>
      <c r="BF88" s="423"/>
      <c r="BG88" s="320"/>
      <c r="BH88" s="320"/>
      <c r="BI88" s="320"/>
      <c r="BJ88" s="320"/>
      <c r="BK88" s="320"/>
      <c r="BL88" s="320"/>
      <c r="BM88" s="320"/>
    </row>
    <row r="89" spans="2:65">
      <c r="B89" s="345">
        <v>1</v>
      </c>
      <c r="C89" s="397" t="s">
        <v>244</v>
      </c>
      <c r="D89" s="343">
        <v>84</v>
      </c>
      <c r="E89" s="342"/>
      <c r="F89" s="342"/>
      <c r="G89" s="342"/>
      <c r="H89" s="340"/>
      <c r="I89" s="340"/>
      <c r="J89" s="340"/>
      <c r="K89" s="340"/>
      <c r="L89" s="340"/>
      <c r="M89" s="417"/>
      <c r="N89" s="320"/>
      <c r="O89" s="320"/>
      <c r="P89" s="320"/>
      <c r="Q89" s="320"/>
      <c r="R89" s="320"/>
      <c r="S89" s="320"/>
      <c r="T89" s="422">
        <v>1</v>
      </c>
      <c r="U89" s="421" t="s">
        <v>244</v>
      </c>
      <c r="V89" s="420">
        <v>84</v>
      </c>
      <c r="W89" s="434"/>
      <c r="X89" s="433"/>
      <c r="Y89" s="433"/>
      <c r="Z89" s="432"/>
      <c r="AA89" s="431"/>
      <c r="AB89" s="430"/>
      <c r="AC89" s="418"/>
      <c r="AD89" s="320"/>
      <c r="AE89" s="320"/>
      <c r="AF89" s="320"/>
      <c r="AG89" s="320"/>
      <c r="AH89" s="320"/>
      <c r="AI89" s="320"/>
      <c r="AJ89" s="320"/>
      <c r="AK89" s="320"/>
      <c r="AL89" s="320"/>
      <c r="AM89" s="320"/>
      <c r="AN89" s="320"/>
      <c r="AO89" s="320"/>
      <c r="AP89" s="320"/>
      <c r="AQ89" s="366">
        <v>1</v>
      </c>
      <c r="AR89" s="396" t="s">
        <v>244</v>
      </c>
      <c r="AS89" s="365">
        <v>84</v>
      </c>
      <c r="AT89" s="429"/>
      <c r="AU89" s="428"/>
      <c r="AV89" s="428"/>
      <c r="AW89" s="427"/>
      <c r="AX89" s="426"/>
      <c r="AY89" s="425"/>
      <c r="AZ89" s="415"/>
      <c r="BA89" s="331"/>
      <c r="BB89" s="331"/>
      <c r="BC89" s="424"/>
      <c r="BD89" s="423"/>
      <c r="BE89" s="423"/>
      <c r="BF89" s="423"/>
      <c r="BG89" s="320"/>
      <c r="BH89" s="320"/>
      <c r="BI89" s="320"/>
      <c r="BJ89" s="320"/>
      <c r="BK89" s="320"/>
      <c r="BL89" s="320"/>
      <c r="BM89" s="320"/>
    </row>
    <row r="90" spans="2:65">
      <c r="B90" s="345">
        <v>1</v>
      </c>
      <c r="C90" s="397" t="s">
        <v>245</v>
      </c>
      <c r="D90" s="343">
        <v>85</v>
      </c>
      <c r="E90" s="342"/>
      <c r="F90" s="342"/>
      <c r="G90" s="342"/>
      <c r="H90" s="340"/>
      <c r="I90" s="340"/>
      <c r="J90" s="340"/>
      <c r="K90" s="340"/>
      <c r="L90" s="340"/>
      <c r="M90" s="417"/>
      <c r="N90" s="320"/>
      <c r="O90" s="320"/>
      <c r="P90" s="320"/>
      <c r="Q90" s="320"/>
      <c r="R90" s="320"/>
      <c r="S90" s="320"/>
      <c r="T90" s="422">
        <v>1</v>
      </c>
      <c r="U90" s="421" t="s">
        <v>245</v>
      </c>
      <c r="V90" s="420">
        <v>85</v>
      </c>
      <c r="W90" s="434"/>
      <c r="X90" s="433"/>
      <c r="Y90" s="433"/>
      <c r="Z90" s="432"/>
      <c r="AA90" s="431"/>
      <c r="AB90" s="430"/>
      <c r="AC90" s="418"/>
      <c r="AD90" s="320"/>
      <c r="AE90" s="320"/>
      <c r="AF90" s="320"/>
      <c r="AG90" s="320"/>
      <c r="AH90" s="320"/>
      <c r="AI90" s="320"/>
      <c r="AJ90" s="320"/>
      <c r="AK90" s="320"/>
      <c r="AL90" s="320"/>
      <c r="AM90" s="320"/>
      <c r="AN90" s="320"/>
      <c r="AO90" s="320"/>
      <c r="AP90" s="320"/>
      <c r="AQ90" s="366">
        <v>1</v>
      </c>
      <c r="AR90" s="396" t="s">
        <v>245</v>
      </c>
      <c r="AS90" s="365">
        <v>85</v>
      </c>
      <c r="AT90" s="429"/>
      <c r="AU90" s="428"/>
      <c r="AV90" s="428"/>
      <c r="AW90" s="427"/>
      <c r="AX90" s="426"/>
      <c r="AY90" s="425"/>
      <c r="AZ90" s="415"/>
      <c r="BA90" s="331"/>
      <c r="BB90" s="331"/>
      <c r="BC90" s="424"/>
      <c r="BD90" s="423"/>
      <c r="BE90" s="423"/>
      <c r="BF90" s="423"/>
      <c r="BG90" s="320"/>
      <c r="BH90" s="320"/>
      <c r="BI90" s="320"/>
      <c r="BJ90" s="320"/>
      <c r="BK90" s="320"/>
      <c r="BL90" s="320"/>
      <c r="BM90" s="320"/>
    </row>
    <row r="91" spans="2:65">
      <c r="B91" s="345">
        <v>1</v>
      </c>
      <c r="C91" s="397" t="s">
        <v>246</v>
      </c>
      <c r="D91" s="343">
        <v>86</v>
      </c>
      <c r="E91" s="342"/>
      <c r="F91" s="342"/>
      <c r="G91" s="342"/>
      <c r="H91" s="340"/>
      <c r="I91" s="340"/>
      <c r="J91" s="340"/>
      <c r="K91" s="340"/>
      <c r="L91" s="340"/>
      <c r="M91" s="417"/>
      <c r="N91" s="320"/>
      <c r="O91" s="320"/>
      <c r="P91" s="320"/>
      <c r="Q91" s="320"/>
      <c r="R91" s="320"/>
      <c r="S91" s="320"/>
      <c r="T91" s="422">
        <v>1</v>
      </c>
      <c r="U91" s="421" t="s">
        <v>246</v>
      </c>
      <c r="V91" s="420">
        <v>86</v>
      </c>
      <c r="W91" s="434"/>
      <c r="X91" s="433"/>
      <c r="Y91" s="433"/>
      <c r="Z91" s="432"/>
      <c r="AA91" s="431"/>
      <c r="AB91" s="430"/>
      <c r="AC91" s="418"/>
      <c r="AD91" s="320"/>
      <c r="AE91" s="320"/>
      <c r="AF91" s="320"/>
      <c r="AG91" s="320"/>
      <c r="AH91" s="320"/>
      <c r="AI91" s="320"/>
      <c r="AJ91" s="320"/>
      <c r="AK91" s="320"/>
      <c r="AL91" s="320"/>
      <c r="AM91" s="320"/>
      <c r="AN91" s="320"/>
      <c r="AO91" s="320"/>
      <c r="AP91" s="320"/>
      <c r="AQ91" s="366">
        <v>1</v>
      </c>
      <c r="AR91" s="396" t="s">
        <v>246</v>
      </c>
      <c r="AS91" s="365">
        <v>86</v>
      </c>
      <c r="AT91" s="429"/>
      <c r="AU91" s="428"/>
      <c r="AV91" s="428"/>
      <c r="AW91" s="427"/>
      <c r="AX91" s="426"/>
      <c r="AY91" s="425"/>
      <c r="AZ91" s="415"/>
      <c r="BA91" s="331"/>
      <c r="BB91" s="331"/>
      <c r="BC91" s="424"/>
      <c r="BD91" s="423"/>
      <c r="BE91" s="423"/>
      <c r="BF91" s="423"/>
      <c r="BG91" s="320"/>
      <c r="BH91" s="320"/>
      <c r="BI91" s="320"/>
      <c r="BJ91" s="320"/>
      <c r="BK91" s="320"/>
      <c r="BL91" s="320"/>
      <c r="BM91" s="320"/>
    </row>
    <row r="92" spans="2:65">
      <c r="B92" s="345">
        <v>1</v>
      </c>
      <c r="C92" s="397" t="s">
        <v>247</v>
      </c>
      <c r="D92" s="343">
        <v>87</v>
      </c>
      <c r="E92" s="342"/>
      <c r="F92" s="342"/>
      <c r="G92" s="342"/>
      <c r="H92" s="340"/>
      <c r="I92" s="340"/>
      <c r="J92" s="340"/>
      <c r="K92" s="340"/>
      <c r="L92" s="340"/>
      <c r="M92" s="417"/>
      <c r="N92" s="320"/>
      <c r="O92" s="320"/>
      <c r="P92" s="320"/>
      <c r="Q92" s="320"/>
      <c r="R92" s="320"/>
      <c r="S92" s="320"/>
      <c r="T92" s="422">
        <v>1</v>
      </c>
      <c r="U92" s="421" t="s">
        <v>247</v>
      </c>
      <c r="V92" s="420">
        <v>87</v>
      </c>
      <c r="W92" s="434"/>
      <c r="X92" s="433"/>
      <c r="Y92" s="433"/>
      <c r="Z92" s="432"/>
      <c r="AA92" s="431"/>
      <c r="AB92" s="430"/>
      <c r="AC92" s="418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  <c r="AO92" s="320"/>
      <c r="AP92" s="320"/>
      <c r="AQ92" s="366">
        <v>1</v>
      </c>
      <c r="AR92" s="396" t="s">
        <v>247</v>
      </c>
      <c r="AS92" s="365">
        <v>87</v>
      </c>
      <c r="AT92" s="429"/>
      <c r="AU92" s="428"/>
      <c r="AV92" s="428"/>
      <c r="AW92" s="427"/>
      <c r="AX92" s="426"/>
      <c r="AY92" s="425"/>
      <c r="AZ92" s="415"/>
      <c r="BA92" s="331"/>
      <c r="BB92" s="331"/>
      <c r="BC92" s="424"/>
      <c r="BD92" s="423"/>
      <c r="BE92" s="423"/>
      <c r="BF92" s="423"/>
      <c r="BG92" s="320"/>
      <c r="BH92" s="320"/>
      <c r="BI92" s="320"/>
      <c r="BJ92" s="320"/>
      <c r="BK92" s="320"/>
      <c r="BL92" s="320"/>
      <c r="BM92" s="320"/>
    </row>
    <row r="93" spans="2:65">
      <c r="B93" s="345">
        <v>1</v>
      </c>
      <c r="C93" s="397" t="s">
        <v>248</v>
      </c>
      <c r="D93" s="343">
        <v>88</v>
      </c>
      <c r="E93" s="342"/>
      <c r="F93" s="342"/>
      <c r="G93" s="342"/>
      <c r="H93" s="340"/>
      <c r="I93" s="340"/>
      <c r="J93" s="340"/>
      <c r="K93" s="340"/>
      <c r="L93" s="340"/>
      <c r="M93" s="417"/>
      <c r="N93" s="320"/>
      <c r="O93" s="320"/>
      <c r="P93" s="320"/>
      <c r="Q93" s="320"/>
      <c r="R93" s="320"/>
      <c r="S93" s="320"/>
      <c r="T93" s="422">
        <v>1</v>
      </c>
      <c r="U93" s="421" t="s">
        <v>248</v>
      </c>
      <c r="V93" s="420">
        <v>88</v>
      </c>
      <c r="W93" s="434"/>
      <c r="X93" s="433"/>
      <c r="Y93" s="433"/>
      <c r="Z93" s="432"/>
      <c r="AA93" s="431"/>
      <c r="AB93" s="430"/>
      <c r="AC93" s="418"/>
      <c r="AD93" s="320"/>
      <c r="AE93" s="320"/>
      <c r="AF93" s="320"/>
      <c r="AG93" s="320"/>
      <c r="AH93" s="320"/>
      <c r="AI93" s="320"/>
      <c r="AJ93" s="320"/>
      <c r="AK93" s="320"/>
      <c r="AL93" s="320"/>
      <c r="AM93" s="320"/>
      <c r="AN93" s="320"/>
      <c r="AO93" s="320"/>
      <c r="AP93" s="320"/>
      <c r="AQ93" s="366">
        <v>1</v>
      </c>
      <c r="AR93" s="396" t="s">
        <v>248</v>
      </c>
      <c r="AS93" s="365">
        <v>88</v>
      </c>
      <c r="AT93" s="429"/>
      <c r="AU93" s="428"/>
      <c r="AV93" s="428"/>
      <c r="AW93" s="427"/>
      <c r="AX93" s="426"/>
      <c r="AY93" s="425"/>
      <c r="AZ93" s="415"/>
      <c r="BA93" s="331"/>
      <c r="BB93" s="331"/>
      <c r="BC93" s="424"/>
      <c r="BD93" s="423"/>
      <c r="BE93" s="423"/>
      <c r="BF93" s="423"/>
      <c r="BG93" s="320"/>
      <c r="BH93" s="320"/>
      <c r="BI93" s="320"/>
      <c r="BJ93" s="320"/>
      <c r="BK93" s="320"/>
      <c r="BL93" s="320"/>
      <c r="BM93" s="320"/>
    </row>
    <row r="94" spans="2:65">
      <c r="B94" s="367">
        <v>1</v>
      </c>
      <c r="C94" s="396" t="s">
        <v>249</v>
      </c>
      <c r="D94" s="365">
        <v>89</v>
      </c>
      <c r="E94" s="331"/>
      <c r="F94" s="331"/>
      <c r="G94" s="331"/>
      <c r="H94" s="529"/>
      <c r="I94" s="529"/>
      <c r="J94" s="529"/>
      <c r="K94" s="336"/>
      <c r="L94" s="336"/>
      <c r="M94" s="416"/>
      <c r="N94" s="320"/>
      <c r="O94" s="320"/>
      <c r="P94" s="320"/>
      <c r="Q94" s="320"/>
      <c r="R94" s="320"/>
      <c r="S94" s="320"/>
      <c r="T94" s="422">
        <v>1</v>
      </c>
      <c r="U94" s="421" t="s">
        <v>249</v>
      </c>
      <c r="V94" s="420">
        <v>89</v>
      </c>
      <c r="W94" s="434"/>
      <c r="X94" s="433"/>
      <c r="Y94" s="433"/>
      <c r="Z94" s="432"/>
      <c r="AA94" s="431"/>
      <c r="AB94" s="531"/>
      <c r="AC94" s="418"/>
      <c r="AD94" s="320"/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0"/>
      <c r="AP94" s="320"/>
      <c r="AQ94" s="366">
        <v>1</v>
      </c>
      <c r="AR94" s="396" t="s">
        <v>249</v>
      </c>
      <c r="AS94" s="365">
        <v>89</v>
      </c>
      <c r="AT94" s="429"/>
      <c r="AU94" s="428"/>
      <c r="AV94" s="428"/>
      <c r="AW94" s="427"/>
      <c r="AX94" s="426"/>
      <c r="AY94" s="530"/>
      <c r="AZ94" s="415"/>
      <c r="BA94" s="331"/>
      <c r="BB94" s="331"/>
      <c r="BC94" s="424"/>
      <c r="BD94" s="423"/>
      <c r="BE94" s="423"/>
      <c r="BF94" s="423"/>
      <c r="BG94" s="320"/>
      <c r="BH94" s="320"/>
      <c r="BI94" s="320"/>
      <c r="BJ94" s="320"/>
      <c r="BK94" s="320"/>
      <c r="BL94" s="320"/>
      <c r="BM94" s="320"/>
    </row>
    <row r="95" spans="2:65">
      <c r="B95" s="367">
        <v>1</v>
      </c>
      <c r="C95" s="396" t="s">
        <v>250</v>
      </c>
      <c r="D95" s="365">
        <v>90</v>
      </c>
      <c r="E95" s="331"/>
      <c r="F95" s="331"/>
      <c r="G95" s="331"/>
      <c r="H95" s="529"/>
      <c r="I95" s="529"/>
      <c r="J95" s="529"/>
      <c r="K95" s="336"/>
      <c r="L95" s="336"/>
      <c r="M95" s="416"/>
      <c r="N95" s="320"/>
      <c r="O95" s="320"/>
      <c r="P95" s="320"/>
      <c r="Q95" s="320"/>
      <c r="R95" s="320"/>
      <c r="S95" s="320"/>
      <c r="T95" s="422">
        <v>1</v>
      </c>
      <c r="U95" s="421" t="s">
        <v>250</v>
      </c>
      <c r="V95" s="420">
        <v>90</v>
      </c>
      <c r="W95" s="434"/>
      <c r="X95" s="433"/>
      <c r="Y95" s="433"/>
      <c r="Z95" s="432"/>
      <c r="AA95" s="431"/>
      <c r="AB95" s="430"/>
      <c r="AC95" s="418"/>
      <c r="AD95" s="320"/>
      <c r="AE95" s="320"/>
      <c r="AF95" s="320"/>
      <c r="AG95" s="320"/>
      <c r="AH95" s="320"/>
      <c r="AI95" s="320"/>
      <c r="AJ95" s="320"/>
      <c r="AK95" s="320"/>
      <c r="AL95" s="320"/>
      <c r="AM95" s="320"/>
      <c r="AN95" s="320"/>
      <c r="AO95" s="320"/>
      <c r="AP95" s="320"/>
      <c r="AQ95" s="366">
        <v>1</v>
      </c>
      <c r="AR95" s="396" t="s">
        <v>250</v>
      </c>
      <c r="AS95" s="365">
        <v>90</v>
      </c>
      <c r="AT95" s="429"/>
      <c r="AU95" s="428"/>
      <c r="AV95" s="428"/>
      <c r="AW95" s="427"/>
      <c r="AX95" s="426"/>
      <c r="AY95" s="425"/>
      <c r="AZ95" s="415"/>
      <c r="BA95" s="331"/>
      <c r="BB95" s="331"/>
      <c r="BC95" s="424"/>
      <c r="BD95" s="423"/>
      <c r="BE95" s="423"/>
      <c r="BF95" s="423"/>
      <c r="BG95" s="320"/>
      <c r="BH95" s="320"/>
      <c r="BI95" s="320"/>
      <c r="BJ95" s="320"/>
      <c r="BK95" s="320"/>
      <c r="BL95" s="320"/>
      <c r="BM95" s="320"/>
    </row>
    <row r="96" spans="2:65">
      <c r="B96" s="367">
        <v>1</v>
      </c>
      <c r="C96" s="396" t="s">
        <v>251</v>
      </c>
      <c r="D96" s="365">
        <v>91</v>
      </c>
      <c r="E96" s="331"/>
      <c r="F96" s="331"/>
      <c r="G96" s="331"/>
      <c r="H96" s="529"/>
      <c r="I96" s="529"/>
      <c r="J96" s="529"/>
      <c r="K96" s="336"/>
      <c r="L96" s="336"/>
      <c r="M96" s="416"/>
      <c r="N96" s="320"/>
      <c r="O96" s="320"/>
      <c r="P96" s="320"/>
      <c r="Q96" s="320"/>
      <c r="R96" s="320"/>
      <c r="S96" s="320"/>
      <c r="T96" s="422">
        <v>1</v>
      </c>
      <c r="U96" s="421" t="s">
        <v>251</v>
      </c>
      <c r="V96" s="420">
        <v>91</v>
      </c>
      <c r="W96" s="434"/>
      <c r="X96" s="433"/>
      <c r="Y96" s="433"/>
      <c r="Z96" s="432"/>
      <c r="AA96" s="431"/>
      <c r="AB96" s="430"/>
      <c r="AC96" s="418"/>
      <c r="AD96" s="320"/>
      <c r="AE96" s="320"/>
      <c r="AF96" s="320"/>
      <c r="AG96" s="320"/>
      <c r="AH96" s="320"/>
      <c r="AI96" s="320"/>
      <c r="AJ96" s="320"/>
      <c r="AK96" s="320"/>
      <c r="AL96" s="320"/>
      <c r="AM96" s="320"/>
      <c r="AN96" s="320"/>
      <c r="AO96" s="320"/>
      <c r="AP96" s="320"/>
      <c r="AQ96" s="366">
        <v>1</v>
      </c>
      <c r="AR96" s="396" t="s">
        <v>251</v>
      </c>
      <c r="AS96" s="365">
        <v>91</v>
      </c>
      <c r="AT96" s="429"/>
      <c r="AU96" s="428"/>
      <c r="AV96" s="428"/>
      <c r="AW96" s="427"/>
      <c r="AX96" s="426"/>
      <c r="AY96" s="425"/>
      <c r="AZ96" s="415"/>
      <c r="BA96" s="331"/>
      <c r="BB96" s="331"/>
      <c r="BC96" s="424"/>
      <c r="BD96" s="423"/>
      <c r="BE96" s="423"/>
      <c r="BF96" s="423"/>
      <c r="BG96" s="320"/>
      <c r="BH96" s="320"/>
      <c r="BI96" s="320"/>
      <c r="BJ96" s="320"/>
      <c r="BK96" s="320"/>
      <c r="BL96" s="320"/>
      <c r="BM96" s="320"/>
    </row>
    <row r="97" spans="2:65">
      <c r="B97" s="367">
        <v>1</v>
      </c>
      <c r="C97" s="396" t="s">
        <v>252</v>
      </c>
      <c r="D97" s="365">
        <v>92</v>
      </c>
      <c r="E97" s="331"/>
      <c r="F97" s="331"/>
      <c r="G97" s="331"/>
      <c r="H97" s="529"/>
      <c r="I97" s="529"/>
      <c r="J97" s="529"/>
      <c r="K97" s="336"/>
      <c r="L97" s="336"/>
      <c r="M97" s="416"/>
      <c r="N97" s="320"/>
      <c r="O97" s="320"/>
      <c r="P97" s="320"/>
      <c r="Q97" s="320"/>
      <c r="R97" s="320"/>
      <c r="S97" s="320"/>
      <c r="T97" s="422">
        <v>1</v>
      </c>
      <c r="U97" s="421" t="s">
        <v>252</v>
      </c>
      <c r="V97" s="420">
        <v>92</v>
      </c>
      <c r="W97" s="434"/>
      <c r="X97" s="433"/>
      <c r="Y97" s="433"/>
      <c r="Z97" s="432"/>
      <c r="AA97" s="431"/>
      <c r="AB97" s="430"/>
      <c r="AC97" s="418"/>
      <c r="AD97" s="320"/>
      <c r="AE97" s="320"/>
      <c r="AF97" s="320"/>
      <c r="AG97" s="320"/>
      <c r="AH97" s="320"/>
      <c r="AI97" s="320"/>
      <c r="AJ97" s="320"/>
      <c r="AK97" s="320"/>
      <c r="AL97" s="320"/>
      <c r="AM97" s="320"/>
      <c r="AN97" s="320"/>
      <c r="AO97" s="320"/>
      <c r="AP97" s="320"/>
      <c r="AQ97" s="366">
        <v>1</v>
      </c>
      <c r="AR97" s="396" t="s">
        <v>252</v>
      </c>
      <c r="AS97" s="365">
        <v>92</v>
      </c>
      <c r="AT97" s="429"/>
      <c r="AU97" s="428"/>
      <c r="AV97" s="428"/>
      <c r="AW97" s="427"/>
      <c r="AX97" s="426"/>
      <c r="AY97" s="425"/>
      <c r="AZ97" s="415"/>
      <c r="BA97" s="331"/>
      <c r="BB97" s="331"/>
      <c r="BC97" s="424"/>
      <c r="BD97" s="423"/>
      <c r="BE97" s="423"/>
      <c r="BF97" s="423"/>
      <c r="BG97" s="320"/>
      <c r="BH97" s="320"/>
      <c r="BI97" s="320"/>
      <c r="BJ97" s="320"/>
      <c r="BK97" s="320"/>
      <c r="BL97" s="320"/>
      <c r="BM97" s="320"/>
    </row>
    <row r="98" spans="2:65">
      <c r="B98" s="367">
        <v>1</v>
      </c>
      <c r="C98" s="396" t="s">
        <v>253</v>
      </c>
      <c r="D98" s="365">
        <v>93</v>
      </c>
      <c r="E98" s="331"/>
      <c r="F98" s="331"/>
      <c r="G98" s="331"/>
      <c r="H98" s="529"/>
      <c r="I98" s="529"/>
      <c r="J98" s="529"/>
      <c r="K98" s="336"/>
      <c r="L98" s="336"/>
      <c r="M98" s="416"/>
      <c r="N98" s="320"/>
      <c r="O98" s="320"/>
      <c r="P98" s="320"/>
      <c r="Q98" s="320"/>
      <c r="R98" s="320"/>
      <c r="S98" s="320"/>
      <c r="T98" s="422">
        <v>1</v>
      </c>
      <c r="U98" s="421" t="s">
        <v>253</v>
      </c>
      <c r="V98" s="420">
        <v>93</v>
      </c>
      <c r="W98" s="434"/>
      <c r="X98" s="433"/>
      <c r="Y98" s="433"/>
      <c r="Z98" s="432"/>
      <c r="AA98" s="431"/>
      <c r="AB98" s="430"/>
      <c r="AC98" s="418"/>
      <c r="AD98" s="320"/>
      <c r="AE98" s="320"/>
      <c r="AF98" s="320"/>
      <c r="AG98" s="320"/>
      <c r="AH98" s="320"/>
      <c r="AI98" s="320"/>
      <c r="AJ98" s="320"/>
      <c r="AK98" s="320"/>
      <c r="AL98" s="320"/>
      <c r="AM98" s="320"/>
      <c r="AN98" s="320"/>
      <c r="AO98" s="320"/>
      <c r="AP98" s="320"/>
      <c r="AQ98" s="366">
        <v>1</v>
      </c>
      <c r="AR98" s="396" t="s">
        <v>253</v>
      </c>
      <c r="AS98" s="365">
        <v>93</v>
      </c>
      <c r="AT98" s="429"/>
      <c r="AU98" s="428"/>
      <c r="AV98" s="428"/>
      <c r="AW98" s="427"/>
      <c r="AX98" s="426"/>
      <c r="AY98" s="425"/>
      <c r="AZ98" s="415"/>
      <c r="BA98" s="331"/>
      <c r="BB98" s="331"/>
      <c r="BC98" s="424"/>
      <c r="BD98" s="423"/>
      <c r="BE98" s="423"/>
      <c r="BF98" s="423"/>
      <c r="BG98" s="320"/>
      <c r="BH98" s="320"/>
      <c r="BI98" s="320"/>
      <c r="BJ98" s="320"/>
      <c r="BK98" s="320"/>
      <c r="BL98" s="320"/>
      <c r="BM98" s="320"/>
    </row>
    <row r="99" spans="2:65">
      <c r="B99" s="367">
        <v>1</v>
      </c>
      <c r="C99" s="396" t="s">
        <v>254</v>
      </c>
      <c r="D99" s="365">
        <v>94</v>
      </c>
      <c r="E99" s="331"/>
      <c r="F99" s="331"/>
      <c r="G99" s="331"/>
      <c r="H99" s="529"/>
      <c r="I99" s="529"/>
      <c r="J99" s="529"/>
      <c r="K99" s="336"/>
      <c r="L99" s="336"/>
      <c r="M99" s="416"/>
      <c r="N99" s="320"/>
      <c r="O99" s="320"/>
      <c r="P99" s="320"/>
      <c r="Q99" s="320"/>
      <c r="R99" s="320"/>
      <c r="S99" s="320"/>
      <c r="T99" s="422">
        <v>1</v>
      </c>
      <c r="U99" s="421" t="s">
        <v>254</v>
      </c>
      <c r="V99" s="420">
        <v>94</v>
      </c>
      <c r="W99" s="434"/>
      <c r="X99" s="433"/>
      <c r="Y99" s="433"/>
      <c r="Z99" s="432"/>
      <c r="AA99" s="431"/>
      <c r="AB99" s="430"/>
      <c r="AC99" s="418"/>
      <c r="AD99" s="320"/>
      <c r="AE99" s="320"/>
      <c r="AF99" s="320"/>
      <c r="AG99" s="320"/>
      <c r="AH99" s="320"/>
      <c r="AI99" s="320"/>
      <c r="AJ99" s="320"/>
      <c r="AK99" s="320"/>
      <c r="AL99" s="320"/>
      <c r="AM99" s="320"/>
      <c r="AN99" s="320"/>
      <c r="AO99" s="320"/>
      <c r="AP99" s="320"/>
      <c r="AQ99" s="366">
        <v>1</v>
      </c>
      <c r="AR99" s="396" t="s">
        <v>254</v>
      </c>
      <c r="AS99" s="365">
        <v>94</v>
      </c>
      <c r="AT99" s="429"/>
      <c r="AU99" s="428"/>
      <c r="AV99" s="428"/>
      <c r="AW99" s="427"/>
      <c r="AX99" s="426"/>
      <c r="AY99" s="425"/>
      <c r="AZ99" s="415"/>
      <c r="BA99" s="331"/>
      <c r="BB99" s="331"/>
      <c r="BC99" s="424"/>
      <c r="BD99" s="423"/>
      <c r="BE99" s="423"/>
      <c r="BF99" s="423"/>
      <c r="BG99" s="320"/>
      <c r="BH99" s="320"/>
      <c r="BI99" s="320"/>
      <c r="BJ99" s="320"/>
      <c r="BK99" s="320"/>
      <c r="BL99" s="320"/>
      <c r="BM99" s="320"/>
    </row>
    <row r="100" spans="2:65">
      <c r="B100" s="367">
        <v>1</v>
      </c>
      <c r="C100" s="396" t="s">
        <v>255</v>
      </c>
      <c r="D100" s="365">
        <v>95</v>
      </c>
      <c r="E100" s="331"/>
      <c r="F100" s="331"/>
      <c r="G100" s="331"/>
      <c r="H100" s="529"/>
      <c r="I100" s="529"/>
      <c r="J100" s="529"/>
      <c r="K100" s="336"/>
      <c r="L100" s="336"/>
      <c r="M100" s="416"/>
      <c r="N100" s="320"/>
      <c r="O100" s="320"/>
      <c r="P100" s="320"/>
      <c r="Q100" s="320"/>
      <c r="R100" s="320"/>
      <c r="S100" s="320"/>
      <c r="T100" s="422">
        <v>1</v>
      </c>
      <c r="U100" s="421" t="s">
        <v>255</v>
      </c>
      <c r="V100" s="420">
        <v>95</v>
      </c>
      <c r="W100" s="434"/>
      <c r="X100" s="433"/>
      <c r="Y100" s="433"/>
      <c r="Z100" s="432"/>
      <c r="AA100" s="431"/>
      <c r="AB100" s="430"/>
      <c r="AC100" s="418"/>
      <c r="AD100" s="320"/>
      <c r="AE100" s="320"/>
      <c r="AF100" s="320"/>
      <c r="AG100" s="320"/>
      <c r="AH100" s="320"/>
      <c r="AI100" s="320"/>
      <c r="AJ100" s="320"/>
      <c r="AK100" s="320"/>
      <c r="AL100" s="320"/>
      <c r="AM100" s="320"/>
      <c r="AN100" s="320"/>
      <c r="AO100" s="320"/>
      <c r="AP100" s="320"/>
      <c r="AQ100" s="366">
        <v>1</v>
      </c>
      <c r="AR100" s="396" t="s">
        <v>255</v>
      </c>
      <c r="AS100" s="365">
        <v>95</v>
      </c>
      <c r="AT100" s="429"/>
      <c r="AU100" s="428"/>
      <c r="AV100" s="428"/>
      <c r="AW100" s="427"/>
      <c r="AX100" s="426"/>
      <c r="AY100" s="425"/>
      <c r="AZ100" s="415"/>
      <c r="BA100" s="331"/>
      <c r="BB100" s="331"/>
      <c r="BC100" s="424"/>
      <c r="BD100" s="423"/>
      <c r="BE100" s="423"/>
      <c r="BF100" s="423"/>
      <c r="BG100" s="320"/>
      <c r="BH100" s="320"/>
      <c r="BI100" s="320"/>
      <c r="BJ100" s="320"/>
      <c r="BK100" s="320"/>
      <c r="BL100" s="320"/>
      <c r="BM100" s="320"/>
    </row>
    <row r="101" spans="2:65" ht="15.75" thickBot="1">
      <c r="B101" s="394">
        <v>1</v>
      </c>
      <c r="C101" s="393" t="s">
        <v>256</v>
      </c>
      <c r="D101" s="392">
        <v>96</v>
      </c>
      <c r="E101" s="379"/>
      <c r="F101" s="379"/>
      <c r="G101" s="379"/>
      <c r="H101" s="528"/>
      <c r="I101" s="528"/>
      <c r="J101" s="528"/>
      <c r="K101" s="384"/>
      <c r="L101" s="384"/>
      <c r="M101" s="414"/>
      <c r="N101" s="320"/>
      <c r="O101" s="320"/>
      <c r="P101" s="320"/>
      <c r="Q101" s="320"/>
      <c r="R101" s="320"/>
      <c r="S101" s="320"/>
      <c r="T101" s="527">
        <v>1</v>
      </c>
      <c r="U101" s="526" t="s">
        <v>256</v>
      </c>
      <c r="V101" s="525">
        <v>96</v>
      </c>
      <c r="W101" s="524"/>
      <c r="X101" s="523"/>
      <c r="Y101" s="523"/>
      <c r="Z101" s="522"/>
      <c r="AA101" s="521"/>
      <c r="AB101" s="520"/>
      <c r="AC101" s="519"/>
      <c r="AD101" s="320"/>
      <c r="AE101" s="320"/>
      <c r="AF101" s="320"/>
      <c r="AG101" s="320"/>
      <c r="AH101" s="320"/>
      <c r="AI101" s="320"/>
      <c r="AJ101" s="320"/>
      <c r="AK101" s="320"/>
      <c r="AL101" s="320"/>
      <c r="AM101" s="320"/>
      <c r="AN101" s="320"/>
      <c r="AO101" s="320"/>
      <c r="AP101" s="320"/>
      <c r="AQ101" s="413">
        <v>1</v>
      </c>
      <c r="AR101" s="393" t="s">
        <v>256</v>
      </c>
      <c r="AS101" s="392">
        <v>96</v>
      </c>
      <c r="AT101" s="518"/>
      <c r="AU101" s="517"/>
      <c r="AV101" s="517"/>
      <c r="AW101" s="516"/>
      <c r="AX101" s="515"/>
      <c r="AY101" s="514"/>
      <c r="AZ101" s="412"/>
      <c r="BA101" s="379"/>
      <c r="BB101" s="379"/>
      <c r="BC101" s="513"/>
      <c r="BD101" s="423"/>
      <c r="BE101" s="423"/>
      <c r="BF101" s="423"/>
      <c r="BG101" s="320"/>
      <c r="BH101" s="320"/>
      <c r="BI101" s="320"/>
      <c r="BJ101" s="320"/>
      <c r="BK101" s="320"/>
      <c r="BL101" s="320"/>
      <c r="BM101" s="320"/>
    </row>
    <row r="102" spans="2:65">
      <c r="B102" s="411">
        <v>2</v>
      </c>
      <c r="C102" s="408" t="s">
        <v>736</v>
      </c>
      <c r="D102" s="407">
        <v>97</v>
      </c>
      <c r="E102" s="374"/>
      <c r="F102" s="374"/>
      <c r="G102" s="374"/>
      <c r="H102" s="375"/>
      <c r="I102" s="375"/>
      <c r="J102" s="375"/>
      <c r="K102" s="375"/>
      <c r="L102" s="375"/>
      <c r="M102" s="410"/>
      <c r="N102" s="320"/>
      <c r="O102" s="320"/>
      <c r="P102" s="320"/>
      <c r="Q102" s="320"/>
      <c r="R102" s="320"/>
      <c r="S102" s="320"/>
      <c r="T102" s="512">
        <v>2</v>
      </c>
      <c r="U102" s="511" t="s">
        <v>736</v>
      </c>
      <c r="V102" s="510">
        <v>97</v>
      </c>
      <c r="W102" s="509"/>
      <c r="X102" s="508"/>
      <c r="Y102" s="508"/>
      <c r="Z102" s="507"/>
      <c r="AA102" s="506"/>
      <c r="AB102" s="505">
        <f>AH10</f>
        <v>0</v>
      </c>
      <c r="AC102" s="504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20"/>
      <c r="AN102" s="320"/>
      <c r="AO102" s="320"/>
      <c r="AP102" s="320"/>
      <c r="AQ102" s="409">
        <v>2</v>
      </c>
      <c r="AR102" s="408" t="s">
        <v>736</v>
      </c>
      <c r="AS102" s="407">
        <v>97</v>
      </c>
      <c r="AT102" s="503"/>
      <c r="AU102" s="502"/>
      <c r="AV102" s="502"/>
      <c r="AW102" s="501"/>
      <c r="AX102" s="500"/>
      <c r="AY102" s="499">
        <f>BH10</f>
        <v>0</v>
      </c>
      <c r="AZ102" s="370"/>
      <c r="BA102" s="369"/>
      <c r="BB102" s="369"/>
      <c r="BC102" s="498"/>
      <c r="BD102" s="423"/>
      <c r="BE102" s="423"/>
      <c r="BF102" s="423"/>
      <c r="BG102" s="320"/>
      <c r="BH102" s="320"/>
      <c r="BI102" s="320"/>
      <c r="BJ102" s="320"/>
      <c r="BK102" s="320"/>
      <c r="BL102" s="320"/>
      <c r="BM102" s="320"/>
    </row>
    <row r="103" spans="2:65">
      <c r="B103" s="345">
        <v>2</v>
      </c>
      <c r="C103" s="397" t="s">
        <v>737</v>
      </c>
      <c r="D103" s="343">
        <v>98</v>
      </c>
      <c r="E103" s="342"/>
      <c r="F103" s="342"/>
      <c r="G103" s="342"/>
      <c r="H103" s="340"/>
      <c r="I103" s="340"/>
      <c r="J103" s="340"/>
      <c r="K103" s="340"/>
      <c r="L103" s="340"/>
      <c r="M103" s="417"/>
      <c r="N103" s="320"/>
      <c r="O103" s="320"/>
      <c r="P103" s="320"/>
      <c r="Q103" s="320"/>
      <c r="R103" s="320"/>
      <c r="S103" s="320"/>
      <c r="T103" s="495">
        <v>2</v>
      </c>
      <c r="U103" s="494" t="s">
        <v>737</v>
      </c>
      <c r="V103" s="493">
        <v>98</v>
      </c>
      <c r="W103" s="492"/>
      <c r="X103" s="491"/>
      <c r="Y103" s="491"/>
      <c r="Z103" s="490"/>
      <c r="AA103" s="489"/>
      <c r="AB103" s="488"/>
      <c r="AC103" s="487"/>
      <c r="AD103" s="320"/>
      <c r="AE103" s="320"/>
      <c r="AF103" s="320"/>
      <c r="AG103" s="320"/>
      <c r="AH103" s="320"/>
      <c r="AI103" s="320"/>
      <c r="AJ103" s="320"/>
      <c r="AK103" s="320"/>
      <c r="AL103" s="320"/>
      <c r="AM103" s="320"/>
      <c r="AN103" s="320"/>
      <c r="AO103" s="320"/>
      <c r="AP103" s="320"/>
      <c r="AQ103" s="344">
        <v>2</v>
      </c>
      <c r="AR103" s="397" t="s">
        <v>737</v>
      </c>
      <c r="AS103" s="343">
        <v>98</v>
      </c>
      <c r="AT103" s="486"/>
      <c r="AU103" s="485"/>
      <c r="AV103" s="485"/>
      <c r="AW103" s="484"/>
      <c r="AX103" s="483"/>
      <c r="AY103" s="482"/>
      <c r="AZ103" s="363"/>
      <c r="BA103" s="342"/>
      <c r="BB103" s="342"/>
      <c r="BC103" s="481"/>
      <c r="BD103" s="423"/>
      <c r="BE103" s="423"/>
      <c r="BF103" s="423"/>
      <c r="BG103" s="320"/>
      <c r="BH103" s="320"/>
      <c r="BI103" s="320"/>
      <c r="BJ103" s="320"/>
      <c r="BK103" s="320"/>
      <c r="BL103" s="320"/>
      <c r="BM103" s="320"/>
    </row>
    <row r="104" spans="2:65">
      <c r="B104" s="345">
        <v>2</v>
      </c>
      <c r="C104" s="397" t="s">
        <v>738</v>
      </c>
      <c r="D104" s="343">
        <v>99</v>
      </c>
      <c r="E104" s="342"/>
      <c r="F104" s="342"/>
      <c r="G104" s="342"/>
      <c r="H104" s="340"/>
      <c r="I104" s="340"/>
      <c r="J104" s="340"/>
      <c r="K104" s="340"/>
      <c r="L104" s="340"/>
      <c r="M104" s="417"/>
      <c r="N104" s="320"/>
      <c r="O104" s="320"/>
      <c r="P104" s="320"/>
      <c r="Q104" s="320"/>
      <c r="R104" s="320"/>
      <c r="S104" s="320"/>
      <c r="T104" s="495">
        <v>2</v>
      </c>
      <c r="U104" s="494" t="s">
        <v>738</v>
      </c>
      <c r="V104" s="493">
        <v>99</v>
      </c>
      <c r="W104" s="492"/>
      <c r="X104" s="491"/>
      <c r="Y104" s="491"/>
      <c r="Z104" s="490"/>
      <c r="AA104" s="489"/>
      <c r="AB104" s="488"/>
      <c r="AC104" s="487"/>
      <c r="AD104" s="320"/>
      <c r="AE104" s="320"/>
      <c r="AF104" s="320"/>
      <c r="AG104" s="320"/>
      <c r="AH104" s="320"/>
      <c r="AI104" s="320"/>
      <c r="AJ104" s="320"/>
      <c r="AK104" s="320"/>
      <c r="AL104" s="320"/>
      <c r="AM104" s="320"/>
      <c r="AN104" s="320"/>
      <c r="AO104" s="320"/>
      <c r="AP104" s="320"/>
      <c r="AQ104" s="344">
        <v>2</v>
      </c>
      <c r="AR104" s="397" t="s">
        <v>738</v>
      </c>
      <c r="AS104" s="343">
        <v>99</v>
      </c>
      <c r="AT104" s="486"/>
      <c r="AU104" s="485"/>
      <c r="AV104" s="485"/>
      <c r="AW104" s="484"/>
      <c r="AX104" s="483"/>
      <c r="AY104" s="482"/>
      <c r="AZ104" s="363"/>
      <c r="BA104" s="342"/>
      <c r="BB104" s="342"/>
      <c r="BC104" s="481"/>
      <c r="BD104" s="423"/>
      <c r="BE104" s="423"/>
      <c r="BF104" s="423"/>
      <c r="BG104" s="320"/>
      <c r="BH104" s="320"/>
      <c r="BI104" s="320"/>
      <c r="BJ104" s="320"/>
      <c r="BK104" s="320"/>
      <c r="BL104" s="320"/>
      <c r="BM104" s="320"/>
    </row>
    <row r="105" spans="2:65">
      <c r="B105" s="345">
        <v>2</v>
      </c>
      <c r="C105" s="397" t="s">
        <v>739</v>
      </c>
      <c r="D105" s="343">
        <v>100</v>
      </c>
      <c r="E105" s="342"/>
      <c r="F105" s="342"/>
      <c r="G105" s="342"/>
      <c r="H105" s="340"/>
      <c r="I105" s="340"/>
      <c r="J105" s="340"/>
      <c r="K105" s="340"/>
      <c r="L105" s="340"/>
      <c r="M105" s="417"/>
      <c r="N105" s="320"/>
      <c r="O105" s="320"/>
      <c r="P105" s="320"/>
      <c r="Q105" s="320"/>
      <c r="R105" s="320"/>
      <c r="S105" s="320"/>
      <c r="T105" s="495">
        <v>2</v>
      </c>
      <c r="U105" s="494" t="s">
        <v>739</v>
      </c>
      <c r="V105" s="493">
        <v>100</v>
      </c>
      <c r="W105" s="492"/>
      <c r="X105" s="491"/>
      <c r="Y105" s="491"/>
      <c r="Z105" s="490"/>
      <c r="AA105" s="489"/>
      <c r="AB105" s="488"/>
      <c r="AC105" s="487"/>
      <c r="AD105" s="320"/>
      <c r="AE105" s="320"/>
      <c r="AF105" s="320"/>
      <c r="AG105" s="320"/>
      <c r="AH105" s="320"/>
      <c r="AI105" s="320"/>
      <c r="AJ105" s="320"/>
      <c r="AK105" s="320"/>
      <c r="AL105" s="320"/>
      <c r="AM105" s="320"/>
      <c r="AN105" s="320"/>
      <c r="AO105" s="320"/>
      <c r="AP105" s="320"/>
      <c r="AQ105" s="344">
        <v>2</v>
      </c>
      <c r="AR105" s="397" t="s">
        <v>739</v>
      </c>
      <c r="AS105" s="343">
        <v>100</v>
      </c>
      <c r="AT105" s="486"/>
      <c r="AU105" s="485"/>
      <c r="AV105" s="485"/>
      <c r="AW105" s="484"/>
      <c r="AX105" s="483"/>
      <c r="AY105" s="482"/>
      <c r="AZ105" s="363"/>
      <c r="BA105" s="342"/>
      <c r="BB105" s="342"/>
      <c r="BC105" s="481"/>
      <c r="BD105" s="423"/>
      <c r="BE105" s="423"/>
      <c r="BF105" s="423"/>
      <c r="BG105" s="320"/>
      <c r="BH105" s="320"/>
      <c r="BI105" s="320"/>
      <c r="BJ105" s="320"/>
      <c r="BK105" s="320"/>
      <c r="BL105" s="320"/>
      <c r="BM105" s="320"/>
    </row>
    <row r="106" spans="2:65">
      <c r="B106" s="345">
        <v>2</v>
      </c>
      <c r="C106" s="397" t="s">
        <v>740</v>
      </c>
      <c r="D106" s="343">
        <v>101</v>
      </c>
      <c r="E106" s="342"/>
      <c r="F106" s="342"/>
      <c r="G106" s="342"/>
      <c r="H106" s="340"/>
      <c r="I106" s="340"/>
      <c r="J106" s="340"/>
      <c r="K106" s="340"/>
      <c r="L106" s="340"/>
      <c r="M106" s="417"/>
      <c r="N106" s="320"/>
      <c r="O106" s="320"/>
      <c r="P106" s="320"/>
      <c r="Q106" s="320"/>
      <c r="R106" s="320"/>
      <c r="S106" s="320"/>
      <c r="T106" s="495">
        <v>2</v>
      </c>
      <c r="U106" s="494" t="s">
        <v>740</v>
      </c>
      <c r="V106" s="493">
        <v>101</v>
      </c>
      <c r="W106" s="492"/>
      <c r="X106" s="491"/>
      <c r="Y106" s="491"/>
      <c r="Z106" s="490"/>
      <c r="AA106" s="489"/>
      <c r="AB106" s="488"/>
      <c r="AC106" s="487"/>
      <c r="AD106" s="320"/>
      <c r="AE106" s="320"/>
      <c r="AF106" s="320"/>
      <c r="AG106" s="320"/>
      <c r="AH106" s="320"/>
      <c r="AI106" s="320"/>
      <c r="AJ106" s="320"/>
      <c r="AK106" s="320"/>
      <c r="AL106" s="320"/>
      <c r="AM106" s="320"/>
      <c r="AN106" s="320"/>
      <c r="AO106" s="320"/>
      <c r="AP106" s="320"/>
      <c r="AQ106" s="344">
        <v>2</v>
      </c>
      <c r="AR106" s="397" t="s">
        <v>740</v>
      </c>
      <c r="AS106" s="343">
        <v>101</v>
      </c>
      <c r="AT106" s="486"/>
      <c r="AU106" s="485"/>
      <c r="AV106" s="485"/>
      <c r="AW106" s="484"/>
      <c r="AX106" s="483"/>
      <c r="AY106" s="482"/>
      <c r="AZ106" s="363"/>
      <c r="BA106" s="342"/>
      <c r="BB106" s="342"/>
      <c r="BC106" s="481"/>
      <c r="BD106" s="423"/>
      <c r="BE106" s="423"/>
      <c r="BF106" s="423"/>
      <c r="BG106" s="320"/>
      <c r="BH106" s="320"/>
      <c r="BI106" s="320"/>
      <c r="BJ106" s="320"/>
      <c r="BK106" s="320"/>
      <c r="BL106" s="320"/>
      <c r="BM106" s="320"/>
    </row>
    <row r="107" spans="2:65">
      <c r="B107" s="345">
        <v>2</v>
      </c>
      <c r="C107" s="397" t="s">
        <v>741</v>
      </c>
      <c r="D107" s="343">
        <v>102</v>
      </c>
      <c r="E107" s="342"/>
      <c r="F107" s="342"/>
      <c r="G107" s="342"/>
      <c r="H107" s="340"/>
      <c r="I107" s="340"/>
      <c r="J107" s="340"/>
      <c r="K107" s="340"/>
      <c r="L107" s="340"/>
      <c r="M107" s="417"/>
      <c r="N107" s="320"/>
      <c r="O107" s="320"/>
      <c r="P107" s="320"/>
      <c r="Q107" s="320"/>
      <c r="R107" s="320"/>
      <c r="S107" s="320"/>
      <c r="T107" s="495">
        <v>2</v>
      </c>
      <c r="U107" s="494" t="s">
        <v>741</v>
      </c>
      <c r="V107" s="493">
        <v>102</v>
      </c>
      <c r="W107" s="492"/>
      <c r="X107" s="491"/>
      <c r="Y107" s="491"/>
      <c r="Z107" s="490"/>
      <c r="AA107" s="489"/>
      <c r="AB107" s="488"/>
      <c r="AC107" s="487"/>
      <c r="AD107" s="320"/>
      <c r="AE107" s="320"/>
      <c r="AF107" s="320"/>
      <c r="AG107" s="320"/>
      <c r="AH107" s="320"/>
      <c r="AI107" s="320"/>
      <c r="AJ107" s="320"/>
      <c r="AK107" s="320"/>
      <c r="AL107" s="320"/>
      <c r="AM107" s="320"/>
      <c r="AN107" s="320"/>
      <c r="AO107" s="320"/>
      <c r="AP107" s="320"/>
      <c r="AQ107" s="344">
        <v>2</v>
      </c>
      <c r="AR107" s="397" t="s">
        <v>741</v>
      </c>
      <c r="AS107" s="343">
        <v>102</v>
      </c>
      <c r="AT107" s="486"/>
      <c r="AU107" s="485"/>
      <c r="AV107" s="485"/>
      <c r="AW107" s="484"/>
      <c r="AX107" s="483"/>
      <c r="AY107" s="482"/>
      <c r="AZ107" s="363"/>
      <c r="BA107" s="342"/>
      <c r="BB107" s="342"/>
      <c r="BC107" s="481"/>
      <c r="BD107" s="423"/>
      <c r="BE107" s="423"/>
      <c r="BF107" s="423"/>
      <c r="BG107" s="320"/>
      <c r="BH107" s="320"/>
      <c r="BI107" s="320"/>
      <c r="BJ107" s="320"/>
      <c r="BK107" s="320"/>
      <c r="BL107" s="320"/>
      <c r="BM107" s="320"/>
    </row>
    <row r="108" spans="2:65">
      <c r="B108" s="345">
        <v>2</v>
      </c>
      <c r="C108" s="397" t="s">
        <v>742</v>
      </c>
      <c r="D108" s="343">
        <v>103</v>
      </c>
      <c r="E108" s="342"/>
      <c r="F108" s="342"/>
      <c r="G108" s="342"/>
      <c r="H108" s="340"/>
      <c r="I108" s="340"/>
      <c r="J108" s="340"/>
      <c r="K108" s="340"/>
      <c r="L108" s="340"/>
      <c r="M108" s="417"/>
      <c r="N108" s="320"/>
      <c r="O108" s="320"/>
      <c r="P108" s="320"/>
      <c r="Q108" s="320"/>
      <c r="R108" s="320"/>
      <c r="S108" s="320"/>
      <c r="T108" s="495">
        <v>2</v>
      </c>
      <c r="U108" s="494" t="s">
        <v>742</v>
      </c>
      <c r="V108" s="493">
        <v>103</v>
      </c>
      <c r="W108" s="492"/>
      <c r="X108" s="491"/>
      <c r="Y108" s="491"/>
      <c r="Z108" s="490"/>
      <c r="AA108" s="489"/>
      <c r="AB108" s="488"/>
      <c r="AC108" s="487"/>
      <c r="AD108" s="320"/>
      <c r="AE108" s="320"/>
      <c r="AF108" s="320"/>
      <c r="AG108" s="320"/>
      <c r="AH108" s="320"/>
      <c r="AI108" s="320"/>
      <c r="AJ108" s="320"/>
      <c r="AK108" s="320"/>
      <c r="AL108" s="320"/>
      <c r="AM108" s="320"/>
      <c r="AN108" s="320"/>
      <c r="AO108" s="320"/>
      <c r="AP108" s="320"/>
      <c r="AQ108" s="344">
        <v>2</v>
      </c>
      <c r="AR108" s="397" t="s">
        <v>742</v>
      </c>
      <c r="AS108" s="343">
        <v>103</v>
      </c>
      <c r="AT108" s="486"/>
      <c r="AU108" s="485"/>
      <c r="AV108" s="485"/>
      <c r="AW108" s="484"/>
      <c r="AX108" s="483"/>
      <c r="AY108" s="482"/>
      <c r="AZ108" s="363"/>
      <c r="BA108" s="342"/>
      <c r="BB108" s="342"/>
      <c r="BC108" s="481"/>
      <c r="BD108" s="423"/>
      <c r="BE108" s="423"/>
      <c r="BF108" s="423"/>
      <c r="BG108" s="320"/>
      <c r="BH108" s="320"/>
      <c r="BI108" s="320"/>
      <c r="BJ108" s="320"/>
      <c r="BK108" s="320"/>
      <c r="BL108" s="320"/>
      <c r="BM108" s="320"/>
    </row>
    <row r="109" spans="2:65">
      <c r="B109" s="345">
        <v>2</v>
      </c>
      <c r="C109" s="397" t="s">
        <v>743</v>
      </c>
      <c r="D109" s="343">
        <v>104</v>
      </c>
      <c r="E109" s="342"/>
      <c r="F109" s="342"/>
      <c r="G109" s="342"/>
      <c r="H109" s="340"/>
      <c r="I109" s="340"/>
      <c r="J109" s="340"/>
      <c r="K109" s="340"/>
      <c r="L109" s="340"/>
      <c r="M109" s="417"/>
      <c r="N109" s="320"/>
      <c r="O109" s="320"/>
      <c r="P109" s="320"/>
      <c r="Q109" s="320"/>
      <c r="R109" s="320"/>
      <c r="S109" s="320"/>
      <c r="T109" s="495">
        <v>2</v>
      </c>
      <c r="U109" s="494" t="s">
        <v>743</v>
      </c>
      <c r="V109" s="493">
        <v>104</v>
      </c>
      <c r="W109" s="492"/>
      <c r="X109" s="491"/>
      <c r="Y109" s="491"/>
      <c r="Z109" s="490"/>
      <c r="AA109" s="489"/>
      <c r="AB109" s="488"/>
      <c r="AC109" s="487"/>
      <c r="AD109" s="320"/>
      <c r="AE109" s="320"/>
      <c r="AF109" s="320"/>
      <c r="AG109" s="320"/>
      <c r="AH109" s="320"/>
      <c r="AI109" s="320"/>
      <c r="AJ109" s="320"/>
      <c r="AK109" s="320"/>
      <c r="AL109" s="320"/>
      <c r="AM109" s="320"/>
      <c r="AN109" s="320"/>
      <c r="AO109" s="320"/>
      <c r="AP109" s="320"/>
      <c r="AQ109" s="344">
        <v>2</v>
      </c>
      <c r="AR109" s="397" t="s">
        <v>743</v>
      </c>
      <c r="AS109" s="343">
        <v>104</v>
      </c>
      <c r="AT109" s="486"/>
      <c r="AU109" s="485"/>
      <c r="AV109" s="485"/>
      <c r="AW109" s="484"/>
      <c r="AX109" s="483"/>
      <c r="AY109" s="482"/>
      <c r="AZ109" s="363"/>
      <c r="BA109" s="342"/>
      <c r="BB109" s="342"/>
      <c r="BC109" s="481"/>
      <c r="BD109" s="423"/>
      <c r="BE109" s="423"/>
      <c r="BF109" s="423"/>
      <c r="BG109" s="320"/>
      <c r="BH109" s="320"/>
      <c r="BI109" s="320"/>
      <c r="BJ109" s="320"/>
      <c r="BK109" s="320"/>
      <c r="BL109" s="320"/>
      <c r="BM109" s="320"/>
    </row>
    <row r="110" spans="2:65">
      <c r="B110" s="367">
        <v>2</v>
      </c>
      <c r="C110" s="396" t="s">
        <v>744</v>
      </c>
      <c r="D110" s="365">
        <v>105</v>
      </c>
      <c r="E110" s="364"/>
      <c r="F110" s="364"/>
      <c r="G110" s="364"/>
      <c r="H110" s="336"/>
      <c r="I110" s="336"/>
      <c r="J110" s="336"/>
      <c r="K110" s="336"/>
      <c r="L110" s="336"/>
      <c r="M110" s="416"/>
      <c r="N110" s="320"/>
      <c r="O110" s="320"/>
      <c r="P110" s="320"/>
      <c r="Q110" s="320"/>
      <c r="R110" s="320"/>
      <c r="S110" s="320"/>
      <c r="T110" s="495">
        <v>2</v>
      </c>
      <c r="U110" s="494" t="s">
        <v>744</v>
      </c>
      <c r="V110" s="493">
        <v>105</v>
      </c>
      <c r="W110" s="492"/>
      <c r="X110" s="491"/>
      <c r="Y110" s="491"/>
      <c r="Z110" s="490"/>
      <c r="AA110" s="489"/>
      <c r="AB110" s="488"/>
      <c r="AC110" s="487"/>
      <c r="AD110" s="320"/>
      <c r="AE110" s="320"/>
      <c r="AF110" s="320"/>
      <c r="AG110" s="320"/>
      <c r="AH110" s="320"/>
      <c r="AI110" s="320"/>
      <c r="AJ110" s="320"/>
      <c r="AK110" s="320"/>
      <c r="AL110" s="320"/>
      <c r="AM110" s="320"/>
      <c r="AN110" s="320"/>
      <c r="AO110" s="320"/>
      <c r="AP110" s="320"/>
      <c r="AQ110" s="344">
        <v>2</v>
      </c>
      <c r="AR110" s="397" t="s">
        <v>744</v>
      </c>
      <c r="AS110" s="343">
        <v>105</v>
      </c>
      <c r="AT110" s="486"/>
      <c r="AU110" s="485"/>
      <c r="AV110" s="485"/>
      <c r="AW110" s="484"/>
      <c r="AX110" s="483"/>
      <c r="AY110" s="482"/>
      <c r="AZ110" s="363"/>
      <c r="BA110" s="342"/>
      <c r="BB110" s="342"/>
      <c r="BC110" s="481"/>
      <c r="BD110" s="423"/>
      <c r="BE110" s="423"/>
      <c r="BF110" s="423"/>
      <c r="BG110" s="320"/>
      <c r="BH110" s="320"/>
      <c r="BI110" s="320"/>
      <c r="BJ110" s="320"/>
      <c r="BK110" s="320"/>
      <c r="BL110" s="320"/>
      <c r="BM110" s="320"/>
    </row>
    <row r="111" spans="2:65">
      <c r="B111" s="367">
        <v>2</v>
      </c>
      <c r="C111" s="396" t="s">
        <v>745</v>
      </c>
      <c r="D111" s="365">
        <v>106</v>
      </c>
      <c r="E111" s="364"/>
      <c r="F111" s="364"/>
      <c r="G111" s="364"/>
      <c r="H111" s="336"/>
      <c r="I111" s="336"/>
      <c r="J111" s="336"/>
      <c r="K111" s="336"/>
      <c r="L111" s="336"/>
      <c r="M111" s="416"/>
      <c r="N111" s="320"/>
      <c r="O111" s="320"/>
      <c r="P111" s="320"/>
      <c r="Q111" s="320"/>
      <c r="R111" s="320"/>
      <c r="S111" s="320"/>
      <c r="T111" s="495">
        <v>2</v>
      </c>
      <c r="U111" s="494" t="s">
        <v>745</v>
      </c>
      <c r="V111" s="493">
        <v>106</v>
      </c>
      <c r="W111" s="492"/>
      <c r="X111" s="491"/>
      <c r="Y111" s="491"/>
      <c r="Z111" s="490"/>
      <c r="AA111" s="489"/>
      <c r="AB111" s="488"/>
      <c r="AC111" s="487"/>
      <c r="AD111" s="320"/>
      <c r="AE111" s="320"/>
      <c r="AF111" s="320"/>
      <c r="AG111" s="320"/>
      <c r="AH111" s="320"/>
      <c r="AI111" s="320"/>
      <c r="AJ111" s="320"/>
      <c r="AK111" s="320"/>
      <c r="AL111" s="320"/>
      <c r="AM111" s="320"/>
      <c r="AN111" s="320"/>
      <c r="AO111" s="320"/>
      <c r="AP111" s="320"/>
      <c r="AQ111" s="344">
        <v>2</v>
      </c>
      <c r="AR111" s="397" t="s">
        <v>745</v>
      </c>
      <c r="AS111" s="343">
        <v>106</v>
      </c>
      <c r="AT111" s="486"/>
      <c r="AU111" s="485"/>
      <c r="AV111" s="485"/>
      <c r="AW111" s="484"/>
      <c r="AX111" s="483"/>
      <c r="AY111" s="482"/>
      <c r="AZ111" s="363"/>
      <c r="BA111" s="342"/>
      <c r="BB111" s="342"/>
      <c r="BC111" s="481"/>
      <c r="BD111" s="423"/>
      <c r="BE111" s="423"/>
      <c r="BF111" s="423"/>
      <c r="BG111" s="320"/>
      <c r="BH111" s="320"/>
      <c r="BI111" s="320"/>
      <c r="BJ111" s="320"/>
      <c r="BK111" s="320"/>
      <c r="BL111" s="320"/>
      <c r="BM111" s="320"/>
    </row>
    <row r="112" spans="2:65">
      <c r="B112" s="367">
        <v>2</v>
      </c>
      <c r="C112" s="396" t="s">
        <v>746</v>
      </c>
      <c r="D112" s="365">
        <v>107</v>
      </c>
      <c r="E112" s="364"/>
      <c r="F112" s="364"/>
      <c r="G112" s="364"/>
      <c r="H112" s="336"/>
      <c r="I112" s="336"/>
      <c r="J112" s="336"/>
      <c r="K112" s="336"/>
      <c r="L112" s="336"/>
      <c r="M112" s="416"/>
      <c r="N112" s="320"/>
      <c r="O112" s="320"/>
      <c r="P112" s="320"/>
      <c r="Q112" s="320"/>
      <c r="R112" s="320"/>
      <c r="S112" s="320"/>
      <c r="T112" s="495">
        <v>2</v>
      </c>
      <c r="U112" s="494" t="s">
        <v>746</v>
      </c>
      <c r="V112" s="493">
        <v>107</v>
      </c>
      <c r="W112" s="492"/>
      <c r="X112" s="491"/>
      <c r="Y112" s="491"/>
      <c r="Z112" s="490"/>
      <c r="AA112" s="489"/>
      <c r="AB112" s="488"/>
      <c r="AC112" s="487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20"/>
      <c r="AN112" s="320"/>
      <c r="AO112" s="320"/>
      <c r="AP112" s="320"/>
      <c r="AQ112" s="344">
        <v>2</v>
      </c>
      <c r="AR112" s="397" t="s">
        <v>746</v>
      </c>
      <c r="AS112" s="343">
        <v>107</v>
      </c>
      <c r="AT112" s="486"/>
      <c r="AU112" s="485"/>
      <c r="AV112" s="485"/>
      <c r="AW112" s="484"/>
      <c r="AX112" s="483"/>
      <c r="AY112" s="482"/>
      <c r="AZ112" s="363"/>
      <c r="BA112" s="342"/>
      <c r="BB112" s="342"/>
      <c r="BC112" s="481"/>
      <c r="BD112" s="423"/>
      <c r="BE112" s="423"/>
      <c r="BF112" s="423"/>
      <c r="BG112" s="320"/>
      <c r="BH112" s="320"/>
      <c r="BI112" s="320"/>
      <c r="BJ112" s="320"/>
      <c r="BK112" s="320"/>
      <c r="BL112" s="320"/>
      <c r="BM112" s="320"/>
    </row>
    <row r="113" spans="2:65">
      <c r="B113" s="367">
        <v>2</v>
      </c>
      <c r="C113" s="396" t="s">
        <v>747</v>
      </c>
      <c r="D113" s="365">
        <v>108</v>
      </c>
      <c r="E113" s="364"/>
      <c r="F113" s="364"/>
      <c r="G113" s="364"/>
      <c r="H113" s="336"/>
      <c r="I113" s="336"/>
      <c r="J113" s="336"/>
      <c r="K113" s="336"/>
      <c r="L113" s="336"/>
      <c r="M113" s="416"/>
      <c r="N113" s="320"/>
      <c r="O113" s="320"/>
      <c r="P113" s="320"/>
      <c r="Q113" s="320"/>
      <c r="R113" s="320"/>
      <c r="S113" s="320"/>
      <c r="T113" s="495">
        <v>2</v>
      </c>
      <c r="U113" s="494" t="s">
        <v>747</v>
      </c>
      <c r="V113" s="493">
        <v>108</v>
      </c>
      <c r="W113" s="492"/>
      <c r="X113" s="491"/>
      <c r="Y113" s="491"/>
      <c r="Z113" s="490"/>
      <c r="AA113" s="489"/>
      <c r="AB113" s="488"/>
      <c r="AC113" s="487"/>
      <c r="AD113" s="320"/>
      <c r="AE113" s="320"/>
      <c r="AF113" s="320"/>
      <c r="AG113" s="320"/>
      <c r="AH113" s="320"/>
      <c r="AI113" s="320"/>
      <c r="AJ113" s="320"/>
      <c r="AK113" s="320"/>
      <c r="AL113" s="320"/>
      <c r="AM113" s="320"/>
      <c r="AN113" s="320"/>
      <c r="AO113" s="320"/>
      <c r="AP113" s="320"/>
      <c r="AQ113" s="344">
        <v>2</v>
      </c>
      <c r="AR113" s="397" t="s">
        <v>747</v>
      </c>
      <c r="AS113" s="343">
        <v>108</v>
      </c>
      <c r="AT113" s="486"/>
      <c r="AU113" s="485"/>
      <c r="AV113" s="485"/>
      <c r="AW113" s="484"/>
      <c r="AX113" s="483"/>
      <c r="AY113" s="482"/>
      <c r="AZ113" s="363"/>
      <c r="BA113" s="342"/>
      <c r="BB113" s="342"/>
      <c r="BC113" s="481"/>
      <c r="BD113" s="423"/>
      <c r="BE113" s="423"/>
      <c r="BF113" s="423"/>
      <c r="BG113" s="320"/>
      <c r="BH113" s="320"/>
      <c r="BI113" s="320"/>
      <c r="BJ113" s="320"/>
      <c r="BK113" s="320"/>
      <c r="BL113" s="320"/>
      <c r="BM113" s="320"/>
    </row>
    <row r="114" spans="2:65">
      <c r="B114" s="367">
        <v>2</v>
      </c>
      <c r="C114" s="396" t="s">
        <v>748</v>
      </c>
      <c r="D114" s="365">
        <v>109</v>
      </c>
      <c r="E114" s="364"/>
      <c r="F114" s="364"/>
      <c r="G114" s="364"/>
      <c r="H114" s="336"/>
      <c r="I114" s="336"/>
      <c r="J114" s="336"/>
      <c r="K114" s="336"/>
      <c r="L114" s="336"/>
      <c r="M114" s="416"/>
      <c r="N114" s="320"/>
      <c r="O114" s="320"/>
      <c r="P114" s="320"/>
      <c r="Q114" s="320"/>
      <c r="R114" s="320"/>
      <c r="S114" s="320"/>
      <c r="T114" s="495">
        <v>2</v>
      </c>
      <c r="U114" s="494" t="s">
        <v>748</v>
      </c>
      <c r="V114" s="493">
        <v>109</v>
      </c>
      <c r="W114" s="492"/>
      <c r="X114" s="491"/>
      <c r="Y114" s="491"/>
      <c r="Z114" s="490"/>
      <c r="AA114" s="489"/>
      <c r="AB114" s="488"/>
      <c r="AC114" s="487"/>
      <c r="AD114" s="320"/>
      <c r="AE114" s="320"/>
      <c r="AF114" s="320"/>
      <c r="AG114" s="320"/>
      <c r="AH114" s="320"/>
      <c r="AI114" s="320"/>
      <c r="AJ114" s="320"/>
      <c r="AK114" s="320"/>
      <c r="AL114" s="320"/>
      <c r="AM114" s="320"/>
      <c r="AN114" s="320"/>
      <c r="AO114" s="320"/>
      <c r="AP114" s="320"/>
      <c r="AQ114" s="344">
        <v>2</v>
      </c>
      <c r="AR114" s="397" t="s">
        <v>748</v>
      </c>
      <c r="AS114" s="343">
        <v>109</v>
      </c>
      <c r="AT114" s="486"/>
      <c r="AU114" s="485"/>
      <c r="AV114" s="485"/>
      <c r="AW114" s="484"/>
      <c r="AX114" s="483"/>
      <c r="AY114" s="482"/>
      <c r="AZ114" s="363"/>
      <c r="BA114" s="342"/>
      <c r="BB114" s="342"/>
      <c r="BC114" s="481"/>
      <c r="BD114" s="423"/>
      <c r="BE114" s="423"/>
      <c r="BF114" s="423"/>
      <c r="BG114" s="320"/>
      <c r="BH114" s="320"/>
      <c r="BI114" s="320"/>
      <c r="BJ114" s="320"/>
      <c r="BK114" s="320"/>
      <c r="BL114" s="320"/>
      <c r="BM114" s="320"/>
    </row>
    <row r="115" spans="2:65">
      <c r="B115" s="367">
        <v>2</v>
      </c>
      <c r="C115" s="396" t="s">
        <v>749</v>
      </c>
      <c r="D115" s="365">
        <v>110</v>
      </c>
      <c r="E115" s="364"/>
      <c r="F115" s="364"/>
      <c r="G115" s="364"/>
      <c r="H115" s="336"/>
      <c r="I115" s="336"/>
      <c r="J115" s="336"/>
      <c r="K115" s="336"/>
      <c r="L115" s="336"/>
      <c r="M115" s="416"/>
      <c r="N115" s="320"/>
      <c r="O115" s="320"/>
      <c r="P115" s="320"/>
      <c r="Q115" s="320"/>
      <c r="R115" s="320"/>
      <c r="S115" s="320"/>
      <c r="T115" s="495">
        <v>2</v>
      </c>
      <c r="U115" s="494" t="s">
        <v>749</v>
      </c>
      <c r="V115" s="493">
        <v>110</v>
      </c>
      <c r="W115" s="492"/>
      <c r="X115" s="491"/>
      <c r="Y115" s="491"/>
      <c r="Z115" s="490"/>
      <c r="AA115" s="489"/>
      <c r="AB115" s="488"/>
      <c r="AC115" s="487"/>
      <c r="AD115" s="320"/>
      <c r="AE115" s="320"/>
      <c r="AF115" s="320"/>
      <c r="AG115" s="320"/>
      <c r="AH115" s="320"/>
      <c r="AI115" s="320"/>
      <c r="AJ115" s="320"/>
      <c r="AK115" s="320"/>
      <c r="AL115" s="320"/>
      <c r="AM115" s="320"/>
      <c r="AN115" s="320"/>
      <c r="AO115" s="320"/>
      <c r="AP115" s="320"/>
      <c r="AQ115" s="344">
        <v>2</v>
      </c>
      <c r="AR115" s="397" t="s">
        <v>749</v>
      </c>
      <c r="AS115" s="343">
        <v>110</v>
      </c>
      <c r="AT115" s="486"/>
      <c r="AU115" s="485"/>
      <c r="AV115" s="485"/>
      <c r="AW115" s="484"/>
      <c r="AX115" s="483"/>
      <c r="AY115" s="482"/>
      <c r="AZ115" s="363"/>
      <c r="BA115" s="342"/>
      <c r="BB115" s="342"/>
      <c r="BC115" s="481"/>
      <c r="BD115" s="423"/>
      <c r="BE115" s="423"/>
      <c r="BF115" s="423"/>
      <c r="BG115" s="320"/>
      <c r="BH115" s="320"/>
      <c r="BI115" s="320"/>
      <c r="BJ115" s="320"/>
      <c r="BK115" s="320"/>
      <c r="BL115" s="320"/>
      <c r="BM115" s="320"/>
    </row>
    <row r="116" spans="2:65">
      <c r="B116" s="367">
        <v>2</v>
      </c>
      <c r="C116" s="396" t="s">
        <v>750</v>
      </c>
      <c r="D116" s="365">
        <v>111</v>
      </c>
      <c r="E116" s="364"/>
      <c r="F116" s="364"/>
      <c r="G116" s="364"/>
      <c r="H116" s="336"/>
      <c r="I116" s="336"/>
      <c r="J116" s="336"/>
      <c r="K116" s="336"/>
      <c r="L116" s="336"/>
      <c r="M116" s="416"/>
      <c r="N116" s="320"/>
      <c r="O116" s="320"/>
      <c r="P116" s="320"/>
      <c r="Q116" s="320"/>
      <c r="R116" s="320"/>
      <c r="S116" s="320"/>
      <c r="T116" s="495">
        <v>2</v>
      </c>
      <c r="U116" s="494" t="s">
        <v>750</v>
      </c>
      <c r="V116" s="493">
        <v>111</v>
      </c>
      <c r="W116" s="492"/>
      <c r="X116" s="491"/>
      <c r="Y116" s="491"/>
      <c r="Z116" s="490"/>
      <c r="AA116" s="489"/>
      <c r="AB116" s="488"/>
      <c r="AC116" s="487"/>
      <c r="AD116" s="320"/>
      <c r="AE116" s="320"/>
      <c r="AF116" s="320"/>
      <c r="AG116" s="320"/>
      <c r="AH116" s="320"/>
      <c r="AI116" s="320"/>
      <c r="AJ116" s="320"/>
      <c r="AK116" s="320"/>
      <c r="AL116" s="320"/>
      <c r="AM116" s="320"/>
      <c r="AN116" s="320"/>
      <c r="AO116" s="320"/>
      <c r="AP116" s="320"/>
      <c r="AQ116" s="344">
        <v>2</v>
      </c>
      <c r="AR116" s="397" t="s">
        <v>750</v>
      </c>
      <c r="AS116" s="343">
        <v>111</v>
      </c>
      <c r="AT116" s="486"/>
      <c r="AU116" s="485"/>
      <c r="AV116" s="485"/>
      <c r="AW116" s="484"/>
      <c r="AX116" s="483"/>
      <c r="AY116" s="482"/>
      <c r="AZ116" s="363"/>
      <c r="BA116" s="342"/>
      <c r="BB116" s="342"/>
      <c r="BC116" s="481"/>
      <c r="BD116" s="423"/>
      <c r="BE116" s="423"/>
      <c r="BF116" s="423"/>
      <c r="BG116" s="320"/>
      <c r="BH116" s="320"/>
      <c r="BI116" s="320"/>
      <c r="BJ116" s="320"/>
      <c r="BK116" s="320"/>
      <c r="BL116" s="320"/>
      <c r="BM116" s="320"/>
    </row>
    <row r="117" spans="2:65">
      <c r="B117" s="367">
        <v>2</v>
      </c>
      <c r="C117" s="396" t="s">
        <v>751</v>
      </c>
      <c r="D117" s="365">
        <v>112</v>
      </c>
      <c r="E117" s="364"/>
      <c r="F117" s="364"/>
      <c r="G117" s="364"/>
      <c r="H117" s="336"/>
      <c r="I117" s="336"/>
      <c r="J117" s="336"/>
      <c r="K117" s="336"/>
      <c r="L117" s="336"/>
      <c r="M117" s="416"/>
      <c r="N117" s="320"/>
      <c r="O117" s="320"/>
      <c r="P117" s="320"/>
      <c r="Q117" s="320"/>
      <c r="R117" s="320"/>
      <c r="S117" s="320"/>
      <c r="T117" s="495">
        <v>2</v>
      </c>
      <c r="U117" s="494" t="s">
        <v>751</v>
      </c>
      <c r="V117" s="493">
        <v>112</v>
      </c>
      <c r="W117" s="492"/>
      <c r="X117" s="491"/>
      <c r="Y117" s="491"/>
      <c r="Z117" s="490"/>
      <c r="AA117" s="489"/>
      <c r="AB117" s="488"/>
      <c r="AC117" s="487"/>
      <c r="AD117" s="320"/>
      <c r="AE117" s="320"/>
      <c r="AF117" s="320"/>
      <c r="AG117" s="320"/>
      <c r="AH117" s="320"/>
      <c r="AI117" s="320"/>
      <c r="AJ117" s="320"/>
      <c r="AK117" s="320"/>
      <c r="AL117" s="320"/>
      <c r="AM117" s="320"/>
      <c r="AN117" s="320"/>
      <c r="AO117" s="320"/>
      <c r="AP117" s="320"/>
      <c r="AQ117" s="344">
        <v>2</v>
      </c>
      <c r="AR117" s="397" t="s">
        <v>751</v>
      </c>
      <c r="AS117" s="343">
        <v>112</v>
      </c>
      <c r="AT117" s="486"/>
      <c r="AU117" s="485"/>
      <c r="AV117" s="485"/>
      <c r="AW117" s="484"/>
      <c r="AX117" s="483"/>
      <c r="AY117" s="482"/>
      <c r="AZ117" s="363"/>
      <c r="BA117" s="342"/>
      <c r="BB117" s="342"/>
      <c r="BC117" s="481"/>
      <c r="BD117" s="423"/>
      <c r="BE117" s="423"/>
      <c r="BF117" s="423"/>
      <c r="BG117" s="320"/>
      <c r="BH117" s="320"/>
      <c r="BI117" s="320"/>
      <c r="BJ117" s="320"/>
      <c r="BK117" s="320"/>
      <c r="BL117" s="320"/>
      <c r="BM117" s="320"/>
    </row>
    <row r="118" spans="2:65">
      <c r="B118" s="345">
        <v>2</v>
      </c>
      <c r="C118" s="397" t="s">
        <v>752</v>
      </c>
      <c r="D118" s="343">
        <v>113</v>
      </c>
      <c r="E118" s="342"/>
      <c r="F118" s="342"/>
      <c r="G118" s="342"/>
      <c r="H118" s="340"/>
      <c r="I118" s="340"/>
      <c r="J118" s="340"/>
      <c r="K118" s="340"/>
      <c r="L118" s="340"/>
      <c r="M118" s="417"/>
      <c r="N118" s="320"/>
      <c r="O118" s="320"/>
      <c r="P118" s="320"/>
      <c r="Q118" s="320"/>
      <c r="R118" s="320"/>
      <c r="S118" s="320"/>
      <c r="T118" s="495">
        <v>2</v>
      </c>
      <c r="U118" s="494" t="s">
        <v>752</v>
      </c>
      <c r="V118" s="493">
        <v>113</v>
      </c>
      <c r="W118" s="492"/>
      <c r="X118" s="491"/>
      <c r="Y118" s="491"/>
      <c r="Z118" s="490"/>
      <c r="AA118" s="489"/>
      <c r="AB118" s="497"/>
      <c r="AC118" s="487"/>
      <c r="AD118" s="320"/>
      <c r="AE118" s="320"/>
      <c r="AF118" s="320"/>
      <c r="AG118" s="320"/>
      <c r="AH118" s="320"/>
      <c r="AI118" s="320"/>
      <c r="AJ118" s="320"/>
      <c r="AK118" s="320"/>
      <c r="AL118" s="320"/>
      <c r="AM118" s="320"/>
      <c r="AN118" s="320"/>
      <c r="AO118" s="320"/>
      <c r="AP118" s="320"/>
      <c r="AQ118" s="344">
        <v>2</v>
      </c>
      <c r="AR118" s="397" t="s">
        <v>752</v>
      </c>
      <c r="AS118" s="343">
        <v>113</v>
      </c>
      <c r="AT118" s="486"/>
      <c r="AU118" s="485"/>
      <c r="AV118" s="485"/>
      <c r="AW118" s="484"/>
      <c r="AX118" s="483"/>
      <c r="AY118" s="496"/>
      <c r="AZ118" s="363"/>
      <c r="BA118" s="342"/>
      <c r="BB118" s="342"/>
      <c r="BC118" s="481"/>
      <c r="BD118" s="423"/>
      <c r="BE118" s="423"/>
      <c r="BF118" s="423"/>
      <c r="BG118" s="320"/>
      <c r="BH118" s="320"/>
      <c r="BI118" s="320"/>
      <c r="BJ118" s="320"/>
      <c r="BK118" s="320"/>
      <c r="BL118" s="320"/>
      <c r="BM118" s="320"/>
    </row>
    <row r="119" spans="2:65">
      <c r="B119" s="345">
        <v>2</v>
      </c>
      <c r="C119" s="397" t="s">
        <v>753</v>
      </c>
      <c r="D119" s="343">
        <v>114</v>
      </c>
      <c r="E119" s="342"/>
      <c r="F119" s="342"/>
      <c r="G119" s="342"/>
      <c r="H119" s="340"/>
      <c r="I119" s="340"/>
      <c r="J119" s="340"/>
      <c r="K119" s="340"/>
      <c r="L119" s="340"/>
      <c r="M119" s="417"/>
      <c r="N119" s="320"/>
      <c r="O119" s="320"/>
      <c r="P119" s="320"/>
      <c r="Q119" s="320"/>
      <c r="R119" s="320"/>
      <c r="S119" s="320"/>
      <c r="T119" s="495">
        <v>2</v>
      </c>
      <c r="U119" s="494" t="s">
        <v>753</v>
      </c>
      <c r="V119" s="493">
        <v>114</v>
      </c>
      <c r="W119" s="492"/>
      <c r="X119" s="491"/>
      <c r="Y119" s="491"/>
      <c r="Z119" s="490"/>
      <c r="AA119" s="489"/>
      <c r="AB119" s="488"/>
      <c r="AC119" s="487"/>
      <c r="AD119" s="320"/>
      <c r="AE119" s="320"/>
      <c r="AF119" s="320"/>
      <c r="AG119" s="320"/>
      <c r="AH119" s="320"/>
      <c r="AI119" s="320"/>
      <c r="AJ119" s="320"/>
      <c r="AK119" s="320"/>
      <c r="AL119" s="320"/>
      <c r="AM119" s="320"/>
      <c r="AN119" s="320"/>
      <c r="AO119" s="320"/>
      <c r="AP119" s="320"/>
      <c r="AQ119" s="344">
        <v>2</v>
      </c>
      <c r="AR119" s="397" t="s">
        <v>753</v>
      </c>
      <c r="AS119" s="343">
        <v>114</v>
      </c>
      <c r="AT119" s="486"/>
      <c r="AU119" s="485"/>
      <c r="AV119" s="485"/>
      <c r="AW119" s="484"/>
      <c r="AX119" s="483"/>
      <c r="AY119" s="482"/>
      <c r="AZ119" s="363"/>
      <c r="BA119" s="342"/>
      <c r="BB119" s="342"/>
      <c r="BC119" s="481"/>
      <c r="BD119" s="423"/>
      <c r="BE119" s="423"/>
      <c r="BF119" s="423"/>
      <c r="BG119" s="320"/>
      <c r="BH119" s="320"/>
      <c r="BI119" s="320"/>
      <c r="BJ119" s="320"/>
      <c r="BK119" s="320"/>
      <c r="BL119" s="320"/>
      <c r="BM119" s="320"/>
    </row>
    <row r="120" spans="2:65">
      <c r="B120" s="345">
        <v>2</v>
      </c>
      <c r="C120" s="397" t="s">
        <v>754</v>
      </c>
      <c r="D120" s="343">
        <v>115</v>
      </c>
      <c r="E120" s="342"/>
      <c r="F120" s="342"/>
      <c r="G120" s="342"/>
      <c r="H120" s="340"/>
      <c r="I120" s="340"/>
      <c r="J120" s="340"/>
      <c r="K120" s="340"/>
      <c r="L120" s="340"/>
      <c r="M120" s="417"/>
      <c r="N120" s="320"/>
      <c r="O120" s="320"/>
      <c r="P120" s="320"/>
      <c r="Q120" s="320"/>
      <c r="R120" s="320"/>
      <c r="S120" s="320"/>
      <c r="T120" s="495">
        <v>2</v>
      </c>
      <c r="U120" s="494" t="s">
        <v>754</v>
      </c>
      <c r="V120" s="493">
        <v>115</v>
      </c>
      <c r="W120" s="492"/>
      <c r="X120" s="491"/>
      <c r="Y120" s="491"/>
      <c r="Z120" s="490"/>
      <c r="AA120" s="489"/>
      <c r="AB120" s="488"/>
      <c r="AC120" s="487"/>
      <c r="AD120" s="320"/>
      <c r="AE120" s="320"/>
      <c r="AF120" s="320"/>
      <c r="AG120" s="320"/>
      <c r="AH120" s="320"/>
      <c r="AI120" s="320"/>
      <c r="AJ120" s="320"/>
      <c r="AK120" s="320"/>
      <c r="AL120" s="320"/>
      <c r="AM120" s="320"/>
      <c r="AN120" s="320"/>
      <c r="AO120" s="320"/>
      <c r="AP120" s="320"/>
      <c r="AQ120" s="344">
        <v>2</v>
      </c>
      <c r="AR120" s="397" t="s">
        <v>754</v>
      </c>
      <c r="AS120" s="343">
        <v>115</v>
      </c>
      <c r="AT120" s="486"/>
      <c r="AU120" s="485"/>
      <c r="AV120" s="485"/>
      <c r="AW120" s="484"/>
      <c r="AX120" s="483"/>
      <c r="AY120" s="482"/>
      <c r="AZ120" s="363"/>
      <c r="BA120" s="342"/>
      <c r="BB120" s="342"/>
      <c r="BC120" s="481"/>
      <c r="BD120" s="423"/>
      <c r="BE120" s="423"/>
      <c r="BF120" s="423"/>
      <c r="BG120" s="320"/>
      <c r="BH120" s="320"/>
      <c r="BI120" s="320"/>
      <c r="BJ120" s="320"/>
      <c r="BK120" s="320"/>
      <c r="BL120" s="320"/>
      <c r="BM120" s="320"/>
    </row>
    <row r="121" spans="2:65">
      <c r="B121" s="345">
        <v>2</v>
      </c>
      <c r="C121" s="397" t="s">
        <v>755</v>
      </c>
      <c r="D121" s="343">
        <v>116</v>
      </c>
      <c r="E121" s="342"/>
      <c r="F121" s="342"/>
      <c r="G121" s="342"/>
      <c r="H121" s="340"/>
      <c r="I121" s="340"/>
      <c r="J121" s="340"/>
      <c r="K121" s="340"/>
      <c r="L121" s="340"/>
      <c r="M121" s="417"/>
      <c r="N121" s="320"/>
      <c r="O121" s="320"/>
      <c r="P121" s="320"/>
      <c r="Q121" s="320"/>
      <c r="R121" s="320"/>
      <c r="S121" s="320"/>
      <c r="T121" s="495">
        <v>2</v>
      </c>
      <c r="U121" s="494" t="s">
        <v>755</v>
      </c>
      <c r="V121" s="493">
        <v>116</v>
      </c>
      <c r="W121" s="492"/>
      <c r="X121" s="491"/>
      <c r="Y121" s="491"/>
      <c r="Z121" s="490"/>
      <c r="AA121" s="489"/>
      <c r="AB121" s="488"/>
      <c r="AC121" s="487"/>
      <c r="AD121" s="320"/>
      <c r="AE121" s="320"/>
      <c r="AF121" s="320"/>
      <c r="AG121" s="320"/>
      <c r="AH121" s="320"/>
      <c r="AI121" s="320"/>
      <c r="AJ121" s="320"/>
      <c r="AK121" s="320"/>
      <c r="AL121" s="320"/>
      <c r="AM121" s="320"/>
      <c r="AN121" s="320"/>
      <c r="AO121" s="320"/>
      <c r="AP121" s="320"/>
      <c r="AQ121" s="344">
        <v>2</v>
      </c>
      <c r="AR121" s="397" t="s">
        <v>755</v>
      </c>
      <c r="AS121" s="343">
        <v>116</v>
      </c>
      <c r="AT121" s="486"/>
      <c r="AU121" s="485"/>
      <c r="AV121" s="485"/>
      <c r="AW121" s="484"/>
      <c r="AX121" s="483"/>
      <c r="AY121" s="482"/>
      <c r="AZ121" s="363"/>
      <c r="BA121" s="342"/>
      <c r="BB121" s="342"/>
      <c r="BC121" s="481"/>
      <c r="BD121" s="423"/>
      <c r="BE121" s="423"/>
      <c r="BF121" s="423"/>
      <c r="BG121" s="320"/>
      <c r="BH121" s="320"/>
      <c r="BI121" s="320"/>
      <c r="BJ121" s="320"/>
      <c r="BK121" s="320"/>
      <c r="BL121" s="320"/>
      <c r="BM121" s="320"/>
    </row>
    <row r="122" spans="2:65">
      <c r="B122" s="345">
        <v>2</v>
      </c>
      <c r="C122" s="397" t="s">
        <v>756</v>
      </c>
      <c r="D122" s="343">
        <v>117</v>
      </c>
      <c r="E122" s="342"/>
      <c r="F122" s="342"/>
      <c r="G122" s="342"/>
      <c r="H122" s="340"/>
      <c r="I122" s="340"/>
      <c r="J122" s="340"/>
      <c r="K122" s="340"/>
      <c r="L122" s="340"/>
      <c r="M122" s="417"/>
      <c r="N122" s="320"/>
      <c r="O122" s="320"/>
      <c r="P122" s="320"/>
      <c r="Q122" s="320"/>
      <c r="R122" s="320"/>
      <c r="S122" s="320"/>
      <c r="T122" s="495">
        <v>2</v>
      </c>
      <c r="U122" s="494" t="s">
        <v>756</v>
      </c>
      <c r="V122" s="493">
        <v>117</v>
      </c>
      <c r="W122" s="492"/>
      <c r="X122" s="491"/>
      <c r="Y122" s="491"/>
      <c r="Z122" s="490"/>
      <c r="AA122" s="489"/>
      <c r="AB122" s="488"/>
      <c r="AC122" s="487"/>
      <c r="AD122" s="320"/>
      <c r="AE122" s="320"/>
      <c r="AF122" s="320"/>
      <c r="AG122" s="320"/>
      <c r="AH122" s="320"/>
      <c r="AI122" s="320"/>
      <c r="AJ122" s="320"/>
      <c r="AK122" s="320"/>
      <c r="AL122" s="320"/>
      <c r="AM122" s="320"/>
      <c r="AN122" s="320"/>
      <c r="AO122" s="320"/>
      <c r="AP122" s="320"/>
      <c r="AQ122" s="344">
        <v>2</v>
      </c>
      <c r="AR122" s="397" t="s">
        <v>756</v>
      </c>
      <c r="AS122" s="343">
        <v>117</v>
      </c>
      <c r="AT122" s="486"/>
      <c r="AU122" s="485"/>
      <c r="AV122" s="485"/>
      <c r="AW122" s="484"/>
      <c r="AX122" s="483"/>
      <c r="AY122" s="482"/>
      <c r="AZ122" s="363"/>
      <c r="BA122" s="342"/>
      <c r="BB122" s="342"/>
      <c r="BC122" s="481"/>
      <c r="BD122" s="423"/>
      <c r="BE122" s="423"/>
      <c r="BF122" s="423"/>
      <c r="BG122" s="320"/>
      <c r="BH122" s="320"/>
      <c r="BI122" s="320"/>
      <c r="BJ122" s="320"/>
      <c r="BK122" s="320"/>
      <c r="BL122" s="320"/>
      <c r="BM122" s="320"/>
    </row>
    <row r="123" spans="2:65">
      <c r="B123" s="345">
        <v>2</v>
      </c>
      <c r="C123" s="397" t="s">
        <v>757</v>
      </c>
      <c r="D123" s="343">
        <v>118</v>
      </c>
      <c r="E123" s="342"/>
      <c r="F123" s="342"/>
      <c r="G123" s="342"/>
      <c r="H123" s="340"/>
      <c r="I123" s="340"/>
      <c r="J123" s="340"/>
      <c r="K123" s="340"/>
      <c r="L123" s="340"/>
      <c r="M123" s="417"/>
      <c r="N123" s="320"/>
      <c r="O123" s="320"/>
      <c r="P123" s="320"/>
      <c r="Q123" s="320"/>
      <c r="R123" s="320"/>
      <c r="S123" s="320"/>
      <c r="T123" s="495">
        <v>2</v>
      </c>
      <c r="U123" s="494" t="s">
        <v>757</v>
      </c>
      <c r="V123" s="493">
        <v>118</v>
      </c>
      <c r="W123" s="492"/>
      <c r="X123" s="491"/>
      <c r="Y123" s="491"/>
      <c r="Z123" s="490"/>
      <c r="AA123" s="489"/>
      <c r="AB123" s="488"/>
      <c r="AC123" s="487"/>
      <c r="AD123" s="320"/>
      <c r="AE123" s="320"/>
      <c r="AF123" s="320"/>
      <c r="AG123" s="320"/>
      <c r="AH123" s="320"/>
      <c r="AI123" s="320"/>
      <c r="AJ123" s="320"/>
      <c r="AK123" s="320"/>
      <c r="AL123" s="320"/>
      <c r="AM123" s="320"/>
      <c r="AN123" s="320"/>
      <c r="AO123" s="320"/>
      <c r="AP123" s="320"/>
      <c r="AQ123" s="344">
        <v>2</v>
      </c>
      <c r="AR123" s="397" t="s">
        <v>757</v>
      </c>
      <c r="AS123" s="343">
        <v>118</v>
      </c>
      <c r="AT123" s="486"/>
      <c r="AU123" s="485"/>
      <c r="AV123" s="485"/>
      <c r="AW123" s="484"/>
      <c r="AX123" s="483"/>
      <c r="AY123" s="482"/>
      <c r="AZ123" s="363"/>
      <c r="BA123" s="342"/>
      <c r="BB123" s="342"/>
      <c r="BC123" s="481"/>
      <c r="BD123" s="423"/>
      <c r="BE123" s="423"/>
      <c r="BF123" s="423"/>
      <c r="BG123" s="320"/>
      <c r="BH123" s="320"/>
      <c r="BI123" s="320"/>
      <c r="BJ123" s="320"/>
      <c r="BK123" s="320"/>
      <c r="BL123" s="320"/>
      <c r="BM123" s="320"/>
    </row>
    <row r="124" spans="2:65">
      <c r="B124" s="345">
        <v>2</v>
      </c>
      <c r="C124" s="397" t="s">
        <v>758</v>
      </c>
      <c r="D124" s="343">
        <v>119</v>
      </c>
      <c r="E124" s="342"/>
      <c r="F124" s="342"/>
      <c r="G124" s="342"/>
      <c r="H124" s="340"/>
      <c r="I124" s="340"/>
      <c r="J124" s="340"/>
      <c r="K124" s="340"/>
      <c r="L124" s="340"/>
      <c r="M124" s="417"/>
      <c r="N124" s="320"/>
      <c r="O124" s="320"/>
      <c r="P124" s="320"/>
      <c r="Q124" s="320"/>
      <c r="R124" s="320"/>
      <c r="S124" s="320"/>
      <c r="T124" s="495">
        <v>2</v>
      </c>
      <c r="U124" s="494" t="s">
        <v>758</v>
      </c>
      <c r="V124" s="493">
        <v>119</v>
      </c>
      <c r="W124" s="492"/>
      <c r="X124" s="491"/>
      <c r="Y124" s="491"/>
      <c r="Z124" s="490"/>
      <c r="AA124" s="489"/>
      <c r="AB124" s="488"/>
      <c r="AC124" s="487"/>
      <c r="AD124" s="320"/>
      <c r="AE124" s="320"/>
      <c r="AF124" s="320"/>
      <c r="AG124" s="320"/>
      <c r="AH124" s="320"/>
      <c r="AI124" s="320"/>
      <c r="AJ124" s="320"/>
      <c r="AK124" s="320"/>
      <c r="AL124" s="320"/>
      <c r="AM124" s="320"/>
      <c r="AN124" s="320"/>
      <c r="AO124" s="320"/>
      <c r="AP124" s="320"/>
      <c r="AQ124" s="344">
        <v>2</v>
      </c>
      <c r="AR124" s="397" t="s">
        <v>758</v>
      </c>
      <c r="AS124" s="343">
        <v>119</v>
      </c>
      <c r="AT124" s="486"/>
      <c r="AU124" s="485"/>
      <c r="AV124" s="485"/>
      <c r="AW124" s="484"/>
      <c r="AX124" s="483"/>
      <c r="AY124" s="482"/>
      <c r="AZ124" s="363"/>
      <c r="BA124" s="342"/>
      <c r="BB124" s="342"/>
      <c r="BC124" s="481"/>
      <c r="BD124" s="423"/>
      <c r="BE124" s="423"/>
      <c r="BF124" s="423"/>
      <c r="BG124" s="320"/>
      <c r="BH124" s="320"/>
      <c r="BI124" s="320"/>
      <c r="BJ124" s="320"/>
      <c r="BK124" s="320"/>
      <c r="BL124" s="320"/>
      <c r="BM124" s="320"/>
    </row>
    <row r="125" spans="2:65" ht="15.75" thickBot="1">
      <c r="B125" s="362">
        <v>2</v>
      </c>
      <c r="C125" s="406" t="s">
        <v>759</v>
      </c>
      <c r="D125" s="358">
        <v>120</v>
      </c>
      <c r="E125" s="356"/>
      <c r="F125" s="356"/>
      <c r="G125" s="356"/>
      <c r="H125" s="360"/>
      <c r="I125" s="360"/>
      <c r="J125" s="360"/>
      <c r="K125" s="360"/>
      <c r="L125" s="360"/>
      <c r="M125" s="480"/>
      <c r="N125" s="320"/>
      <c r="O125" s="320"/>
      <c r="P125" s="320"/>
      <c r="Q125" s="320"/>
      <c r="R125" s="320"/>
      <c r="S125" s="320"/>
      <c r="T125" s="479">
        <v>2</v>
      </c>
      <c r="U125" s="478" t="s">
        <v>759</v>
      </c>
      <c r="V125" s="477">
        <v>120</v>
      </c>
      <c r="W125" s="476"/>
      <c r="X125" s="475"/>
      <c r="Y125" s="475"/>
      <c r="Z125" s="474"/>
      <c r="AA125" s="473"/>
      <c r="AB125" s="472"/>
      <c r="AC125" s="471"/>
      <c r="AD125" s="320"/>
      <c r="AE125" s="320"/>
      <c r="AF125" s="320"/>
      <c r="AG125" s="320"/>
      <c r="AH125" s="320"/>
      <c r="AI125" s="320"/>
      <c r="AJ125" s="320"/>
      <c r="AK125" s="320"/>
      <c r="AL125" s="320"/>
      <c r="AM125" s="320"/>
      <c r="AN125" s="320"/>
      <c r="AO125" s="320"/>
      <c r="AP125" s="320"/>
      <c r="AQ125" s="359">
        <v>2</v>
      </c>
      <c r="AR125" s="406" t="s">
        <v>759</v>
      </c>
      <c r="AS125" s="358">
        <v>120</v>
      </c>
      <c r="AT125" s="470"/>
      <c r="AU125" s="469"/>
      <c r="AV125" s="469"/>
      <c r="AW125" s="468"/>
      <c r="AX125" s="467"/>
      <c r="AY125" s="466"/>
      <c r="AZ125" s="357"/>
      <c r="BA125" s="356"/>
      <c r="BB125" s="356"/>
      <c r="BC125" s="465"/>
      <c r="BD125" s="423"/>
      <c r="BE125" s="423"/>
      <c r="BF125" s="423"/>
      <c r="BG125" s="320"/>
      <c r="BH125" s="320"/>
      <c r="BI125" s="320"/>
      <c r="BJ125" s="320"/>
      <c r="BK125" s="320"/>
      <c r="BL125" s="320"/>
      <c r="BM125" s="320"/>
    </row>
    <row r="126" spans="2:65">
      <c r="B126" s="405">
        <v>2</v>
      </c>
      <c r="C126" s="404" t="s">
        <v>760</v>
      </c>
      <c r="D126" s="403">
        <v>121</v>
      </c>
      <c r="E126" s="401"/>
      <c r="F126" s="401"/>
      <c r="G126" s="401"/>
      <c r="H126" s="352"/>
      <c r="I126" s="352"/>
      <c r="J126" s="352"/>
      <c r="K126" s="352"/>
      <c r="L126" s="352"/>
      <c r="M126" s="464"/>
      <c r="N126" s="320"/>
      <c r="O126" s="320"/>
      <c r="P126" s="320"/>
      <c r="Q126" s="320"/>
      <c r="R126" s="320"/>
      <c r="S126" s="320"/>
      <c r="T126" s="463">
        <v>2</v>
      </c>
      <c r="U126" s="462" t="s">
        <v>760</v>
      </c>
      <c r="V126" s="461">
        <v>121</v>
      </c>
      <c r="W126" s="460"/>
      <c r="X126" s="459"/>
      <c r="Y126" s="459"/>
      <c r="Z126" s="458"/>
      <c r="AA126" s="457"/>
      <c r="AB126" s="456">
        <f>AH11</f>
        <v>0</v>
      </c>
      <c r="AC126" s="455"/>
      <c r="AD126" s="320"/>
      <c r="AE126" s="320"/>
      <c r="AF126" s="320"/>
      <c r="AG126" s="320"/>
      <c r="AH126" s="320"/>
      <c r="AI126" s="320"/>
      <c r="AJ126" s="320"/>
      <c r="AK126" s="320"/>
      <c r="AL126" s="320"/>
      <c r="AM126" s="320"/>
      <c r="AN126" s="320"/>
      <c r="AO126" s="320"/>
      <c r="AP126" s="320"/>
      <c r="AQ126" s="454">
        <v>2</v>
      </c>
      <c r="AR126" s="404" t="s">
        <v>760</v>
      </c>
      <c r="AS126" s="403">
        <v>121</v>
      </c>
      <c r="AT126" s="453"/>
      <c r="AU126" s="452"/>
      <c r="AV126" s="452"/>
      <c r="AW126" s="451"/>
      <c r="AX126" s="450"/>
      <c r="AY126" s="449">
        <f>BH11</f>
        <v>0</v>
      </c>
      <c r="AZ126" s="448"/>
      <c r="BA126" s="388"/>
      <c r="BB126" s="388"/>
      <c r="BC126" s="447"/>
      <c r="BD126" s="423"/>
      <c r="BE126" s="423"/>
      <c r="BF126" s="423"/>
      <c r="BG126" s="320"/>
      <c r="BH126" s="320"/>
      <c r="BI126" s="320"/>
      <c r="BJ126" s="320"/>
      <c r="BK126" s="320"/>
      <c r="BL126" s="320"/>
      <c r="BM126" s="320"/>
    </row>
    <row r="127" spans="2:65">
      <c r="B127" s="367">
        <v>2</v>
      </c>
      <c r="C127" s="396" t="s">
        <v>761</v>
      </c>
      <c r="D127" s="365">
        <v>122</v>
      </c>
      <c r="E127" s="364"/>
      <c r="F127" s="364"/>
      <c r="G127" s="364"/>
      <c r="H127" s="336"/>
      <c r="I127" s="336"/>
      <c r="J127" s="336"/>
      <c r="K127" s="336"/>
      <c r="L127" s="336"/>
      <c r="M127" s="416"/>
      <c r="N127" s="320"/>
      <c r="O127" s="320"/>
      <c r="P127" s="320"/>
      <c r="Q127" s="320"/>
      <c r="R127" s="320"/>
      <c r="S127" s="320"/>
      <c r="T127" s="422">
        <v>2</v>
      </c>
      <c r="U127" s="421" t="s">
        <v>761</v>
      </c>
      <c r="V127" s="420">
        <v>122</v>
      </c>
      <c r="W127" s="434"/>
      <c r="X127" s="433"/>
      <c r="Y127" s="433"/>
      <c r="Z127" s="432"/>
      <c r="AA127" s="431"/>
      <c r="AB127" s="430"/>
      <c r="AC127" s="418"/>
      <c r="AD127" s="320"/>
      <c r="AE127" s="320"/>
      <c r="AF127" s="320"/>
      <c r="AG127" s="320"/>
      <c r="AH127" s="320"/>
      <c r="AI127" s="320"/>
      <c r="AJ127" s="320"/>
      <c r="AK127" s="320"/>
      <c r="AL127" s="320"/>
      <c r="AM127" s="320"/>
      <c r="AN127" s="320"/>
      <c r="AO127" s="320"/>
      <c r="AP127" s="320"/>
      <c r="AQ127" s="366">
        <v>2</v>
      </c>
      <c r="AR127" s="396" t="s">
        <v>761</v>
      </c>
      <c r="AS127" s="365">
        <v>122</v>
      </c>
      <c r="AT127" s="429"/>
      <c r="AU127" s="428"/>
      <c r="AV127" s="428"/>
      <c r="AW127" s="427"/>
      <c r="AX127" s="426"/>
      <c r="AY127" s="425"/>
      <c r="AZ127" s="415"/>
      <c r="BA127" s="331"/>
      <c r="BB127" s="331"/>
      <c r="BC127" s="424"/>
      <c r="BD127" s="423"/>
      <c r="BE127" s="423"/>
      <c r="BF127" s="423"/>
      <c r="BG127" s="320"/>
      <c r="BH127" s="320"/>
      <c r="BI127" s="320"/>
      <c r="BJ127" s="320"/>
      <c r="BK127" s="320"/>
      <c r="BL127" s="320"/>
      <c r="BM127" s="320"/>
    </row>
    <row r="128" spans="2:65">
      <c r="B128" s="367">
        <v>2</v>
      </c>
      <c r="C128" s="396" t="s">
        <v>762</v>
      </c>
      <c r="D128" s="365">
        <v>123</v>
      </c>
      <c r="E128" s="364"/>
      <c r="F128" s="364"/>
      <c r="G128" s="364"/>
      <c r="H128" s="336"/>
      <c r="I128" s="336"/>
      <c r="J128" s="336"/>
      <c r="K128" s="336"/>
      <c r="L128" s="336"/>
      <c r="M128" s="416"/>
      <c r="N128" s="320"/>
      <c r="O128" s="320"/>
      <c r="P128" s="320"/>
      <c r="Q128" s="320"/>
      <c r="R128" s="320"/>
      <c r="S128" s="320"/>
      <c r="T128" s="422">
        <v>2</v>
      </c>
      <c r="U128" s="421" t="s">
        <v>762</v>
      </c>
      <c r="V128" s="420">
        <v>123</v>
      </c>
      <c r="W128" s="434"/>
      <c r="X128" s="433"/>
      <c r="Y128" s="433"/>
      <c r="Z128" s="432"/>
      <c r="AA128" s="431"/>
      <c r="AB128" s="430"/>
      <c r="AC128" s="418"/>
      <c r="AD128" s="320"/>
      <c r="AE128" s="320"/>
      <c r="AF128" s="320"/>
      <c r="AG128" s="320"/>
      <c r="AH128" s="320"/>
      <c r="AI128" s="320"/>
      <c r="AJ128" s="320"/>
      <c r="AK128" s="320"/>
      <c r="AL128" s="320"/>
      <c r="AM128" s="320"/>
      <c r="AN128" s="320"/>
      <c r="AO128" s="320"/>
      <c r="AP128" s="320"/>
      <c r="AQ128" s="366">
        <v>2</v>
      </c>
      <c r="AR128" s="396" t="s">
        <v>762</v>
      </c>
      <c r="AS128" s="365">
        <v>123</v>
      </c>
      <c r="AT128" s="429"/>
      <c r="AU128" s="428"/>
      <c r="AV128" s="428"/>
      <c r="AW128" s="427"/>
      <c r="AX128" s="426"/>
      <c r="AY128" s="425"/>
      <c r="AZ128" s="415"/>
      <c r="BA128" s="331"/>
      <c r="BB128" s="331"/>
      <c r="BC128" s="424"/>
      <c r="BD128" s="423"/>
      <c r="BE128" s="423"/>
      <c r="BF128" s="423"/>
      <c r="BG128" s="320"/>
      <c r="BH128" s="320"/>
      <c r="BI128" s="320"/>
      <c r="BJ128" s="320"/>
      <c r="BK128" s="320"/>
      <c r="BL128" s="320"/>
      <c r="BM128" s="320"/>
    </row>
    <row r="129" spans="2:65">
      <c r="B129" s="367">
        <v>2</v>
      </c>
      <c r="C129" s="396" t="s">
        <v>763</v>
      </c>
      <c r="D129" s="365">
        <v>124</v>
      </c>
      <c r="E129" s="364"/>
      <c r="F129" s="364"/>
      <c r="G129" s="364"/>
      <c r="H129" s="336"/>
      <c r="I129" s="336"/>
      <c r="J129" s="336"/>
      <c r="K129" s="336"/>
      <c r="L129" s="336"/>
      <c r="M129" s="416"/>
      <c r="N129" s="320"/>
      <c r="O129" s="320"/>
      <c r="P129" s="320"/>
      <c r="Q129" s="320"/>
      <c r="R129" s="320"/>
      <c r="S129" s="320"/>
      <c r="T129" s="422">
        <v>2</v>
      </c>
      <c r="U129" s="421" t="s">
        <v>763</v>
      </c>
      <c r="V129" s="420">
        <v>124</v>
      </c>
      <c r="W129" s="434"/>
      <c r="X129" s="433"/>
      <c r="Y129" s="433"/>
      <c r="Z129" s="432"/>
      <c r="AA129" s="431"/>
      <c r="AB129" s="430"/>
      <c r="AC129" s="418"/>
      <c r="AD129" s="320"/>
      <c r="AE129" s="320"/>
      <c r="AF129" s="320"/>
      <c r="AG129" s="320"/>
      <c r="AH129" s="320"/>
      <c r="AI129" s="320"/>
      <c r="AJ129" s="320"/>
      <c r="AK129" s="320"/>
      <c r="AL129" s="320"/>
      <c r="AM129" s="320"/>
      <c r="AN129" s="320"/>
      <c r="AO129" s="320"/>
      <c r="AP129" s="320"/>
      <c r="AQ129" s="366">
        <v>2</v>
      </c>
      <c r="AR129" s="396" t="s">
        <v>763</v>
      </c>
      <c r="AS129" s="365">
        <v>124</v>
      </c>
      <c r="AT129" s="429"/>
      <c r="AU129" s="428"/>
      <c r="AV129" s="428"/>
      <c r="AW129" s="427"/>
      <c r="AX129" s="426"/>
      <c r="AY129" s="425"/>
      <c r="AZ129" s="415"/>
      <c r="BA129" s="331"/>
      <c r="BB129" s="331"/>
      <c r="BC129" s="424"/>
      <c r="BD129" s="423"/>
      <c r="BE129" s="423"/>
      <c r="BF129" s="423"/>
      <c r="BG129" s="320"/>
      <c r="BH129" s="320"/>
      <c r="BI129" s="320"/>
      <c r="BJ129" s="320"/>
      <c r="BK129" s="320"/>
      <c r="BL129" s="320"/>
      <c r="BM129" s="320"/>
    </row>
    <row r="130" spans="2:65">
      <c r="B130" s="367">
        <v>2</v>
      </c>
      <c r="C130" s="396" t="s">
        <v>764</v>
      </c>
      <c r="D130" s="365">
        <v>125</v>
      </c>
      <c r="E130" s="364"/>
      <c r="F130" s="364"/>
      <c r="G130" s="364"/>
      <c r="H130" s="336"/>
      <c r="I130" s="336"/>
      <c r="J130" s="336"/>
      <c r="K130" s="336"/>
      <c r="L130" s="336"/>
      <c r="M130" s="416"/>
      <c r="N130" s="320"/>
      <c r="O130" s="320"/>
      <c r="P130" s="320"/>
      <c r="Q130" s="320"/>
      <c r="R130" s="320"/>
      <c r="S130" s="320"/>
      <c r="T130" s="422">
        <v>2</v>
      </c>
      <c r="U130" s="421" t="s">
        <v>764</v>
      </c>
      <c r="V130" s="420">
        <v>125</v>
      </c>
      <c r="W130" s="434"/>
      <c r="X130" s="433"/>
      <c r="Y130" s="433"/>
      <c r="Z130" s="432"/>
      <c r="AA130" s="431"/>
      <c r="AB130" s="430"/>
      <c r="AC130" s="418"/>
      <c r="AD130" s="320"/>
      <c r="AE130" s="320"/>
      <c r="AF130" s="320"/>
      <c r="AG130" s="320"/>
      <c r="AH130" s="320"/>
      <c r="AI130" s="320"/>
      <c r="AJ130" s="320"/>
      <c r="AK130" s="320"/>
      <c r="AL130" s="320"/>
      <c r="AM130" s="320"/>
      <c r="AN130" s="320"/>
      <c r="AO130" s="320"/>
      <c r="AP130" s="320"/>
      <c r="AQ130" s="366">
        <v>2</v>
      </c>
      <c r="AR130" s="396" t="s">
        <v>764</v>
      </c>
      <c r="AS130" s="365">
        <v>125</v>
      </c>
      <c r="AT130" s="429"/>
      <c r="AU130" s="428"/>
      <c r="AV130" s="428"/>
      <c r="AW130" s="427"/>
      <c r="AX130" s="426"/>
      <c r="AY130" s="425"/>
      <c r="AZ130" s="415"/>
      <c r="BA130" s="331"/>
      <c r="BB130" s="331"/>
      <c r="BC130" s="424"/>
      <c r="BD130" s="423"/>
      <c r="BE130" s="423"/>
      <c r="BF130" s="423"/>
      <c r="BG130" s="320"/>
      <c r="BH130" s="320"/>
      <c r="BI130" s="320"/>
      <c r="BJ130" s="320"/>
      <c r="BK130" s="320"/>
      <c r="BL130" s="320"/>
      <c r="BM130" s="320"/>
    </row>
    <row r="131" spans="2:65">
      <c r="B131" s="367">
        <v>2</v>
      </c>
      <c r="C131" s="396" t="s">
        <v>765</v>
      </c>
      <c r="D131" s="365">
        <v>126</v>
      </c>
      <c r="E131" s="364"/>
      <c r="F131" s="364"/>
      <c r="G131" s="364"/>
      <c r="H131" s="336"/>
      <c r="I131" s="336"/>
      <c r="J131" s="336"/>
      <c r="K131" s="336"/>
      <c r="L131" s="336"/>
      <c r="M131" s="416"/>
      <c r="N131" s="320"/>
      <c r="O131" s="320"/>
      <c r="P131" s="320"/>
      <c r="Q131" s="320"/>
      <c r="R131" s="320"/>
      <c r="S131" s="320"/>
      <c r="T131" s="422">
        <v>2</v>
      </c>
      <c r="U131" s="421" t="s">
        <v>765</v>
      </c>
      <c r="V131" s="420">
        <v>126</v>
      </c>
      <c r="W131" s="446"/>
      <c r="X131" s="445"/>
      <c r="Y131" s="445"/>
      <c r="Z131" s="444"/>
      <c r="AA131" s="443"/>
      <c r="AB131" s="442"/>
      <c r="AC131" s="441"/>
      <c r="AD131" s="320"/>
      <c r="AE131" s="320"/>
      <c r="AF131" s="320"/>
      <c r="AG131" s="320"/>
      <c r="AH131" s="320"/>
      <c r="AI131" s="320"/>
      <c r="AJ131" s="320"/>
      <c r="AK131" s="320"/>
      <c r="AL131" s="320"/>
      <c r="AM131" s="320"/>
      <c r="AN131" s="320"/>
      <c r="AO131" s="320"/>
      <c r="AP131" s="320"/>
      <c r="AQ131" s="366">
        <v>2</v>
      </c>
      <c r="AR131" s="396" t="s">
        <v>765</v>
      </c>
      <c r="AS131" s="365">
        <v>126</v>
      </c>
      <c r="AT131" s="440"/>
      <c r="AU131" s="439"/>
      <c r="AV131" s="439"/>
      <c r="AW131" s="438"/>
      <c r="AX131" s="437"/>
      <c r="AY131" s="436"/>
      <c r="AZ131" s="435"/>
      <c r="BA131" s="331"/>
      <c r="BB131" s="331"/>
      <c r="BC131" s="424"/>
      <c r="BD131" s="423"/>
      <c r="BE131" s="423"/>
      <c r="BF131" s="423"/>
      <c r="BG131" s="320"/>
      <c r="BH131" s="320"/>
      <c r="BI131" s="320"/>
      <c r="BJ131" s="320"/>
      <c r="BK131" s="320"/>
      <c r="BL131" s="320"/>
      <c r="BM131" s="320"/>
    </row>
    <row r="132" spans="2:65">
      <c r="B132" s="367">
        <v>2</v>
      </c>
      <c r="C132" s="396" t="s">
        <v>766</v>
      </c>
      <c r="D132" s="365">
        <v>127</v>
      </c>
      <c r="E132" s="364"/>
      <c r="F132" s="364"/>
      <c r="G132" s="364"/>
      <c r="H132" s="336"/>
      <c r="I132" s="336"/>
      <c r="J132" s="336"/>
      <c r="K132" s="336"/>
      <c r="L132" s="336"/>
      <c r="M132" s="416"/>
      <c r="N132" s="320"/>
      <c r="O132" s="320"/>
      <c r="P132" s="320"/>
      <c r="Q132" s="320"/>
      <c r="R132" s="320"/>
      <c r="S132" s="320"/>
      <c r="T132" s="422">
        <v>2</v>
      </c>
      <c r="U132" s="421" t="s">
        <v>766</v>
      </c>
      <c r="V132" s="420">
        <v>127</v>
      </c>
      <c r="W132" s="434"/>
      <c r="X132" s="433"/>
      <c r="Y132" s="433"/>
      <c r="Z132" s="432"/>
      <c r="AA132" s="431"/>
      <c r="AB132" s="430"/>
      <c r="AC132" s="418"/>
      <c r="AD132" s="320"/>
      <c r="AE132" s="320"/>
      <c r="AF132" s="320"/>
      <c r="AG132" s="320"/>
      <c r="AH132" s="320"/>
      <c r="AI132" s="320"/>
      <c r="AJ132" s="320"/>
      <c r="AK132" s="320"/>
      <c r="AL132" s="320"/>
      <c r="AM132" s="320"/>
      <c r="AN132" s="320"/>
      <c r="AO132" s="320"/>
      <c r="AP132" s="320"/>
      <c r="AQ132" s="366">
        <v>2</v>
      </c>
      <c r="AR132" s="396" t="s">
        <v>766</v>
      </c>
      <c r="AS132" s="365">
        <v>127</v>
      </c>
      <c r="AT132" s="429"/>
      <c r="AU132" s="428"/>
      <c r="AV132" s="428"/>
      <c r="AW132" s="427"/>
      <c r="AX132" s="426"/>
      <c r="AY132" s="425"/>
      <c r="AZ132" s="415"/>
      <c r="BA132" s="331"/>
      <c r="BB132" s="331"/>
      <c r="BC132" s="424"/>
      <c r="BD132" s="423"/>
      <c r="BE132" s="423"/>
      <c r="BF132" s="423"/>
      <c r="BG132" s="320"/>
      <c r="BH132" s="320"/>
      <c r="BI132" s="320"/>
      <c r="BJ132" s="320"/>
      <c r="BK132" s="320"/>
      <c r="BL132" s="320"/>
      <c r="BM132" s="320"/>
    </row>
    <row r="133" spans="2:65">
      <c r="B133" s="367">
        <v>2</v>
      </c>
      <c r="C133" s="396" t="s">
        <v>767</v>
      </c>
      <c r="D133" s="365">
        <v>128</v>
      </c>
      <c r="E133" s="364"/>
      <c r="F133" s="364"/>
      <c r="G133" s="364"/>
      <c r="H133" s="336"/>
      <c r="I133" s="336"/>
      <c r="J133" s="336"/>
      <c r="K133" s="336"/>
      <c r="L133" s="336"/>
      <c r="M133" s="416"/>
      <c r="N133" s="320"/>
      <c r="O133" s="320"/>
      <c r="P133" s="320"/>
      <c r="Q133" s="320"/>
      <c r="R133" s="320"/>
      <c r="S133" s="320"/>
      <c r="T133" s="422">
        <v>2</v>
      </c>
      <c r="U133" s="421" t="s">
        <v>767</v>
      </c>
      <c r="V133" s="420">
        <v>128</v>
      </c>
      <c r="W133" s="419"/>
      <c r="X133" s="419"/>
      <c r="Y133" s="419"/>
      <c r="Z133" s="419"/>
      <c r="AA133" s="419"/>
      <c r="AB133" s="419"/>
      <c r="AC133" s="418"/>
      <c r="AD133" s="320"/>
      <c r="AE133" s="320"/>
      <c r="AF133" s="320"/>
      <c r="AG133" s="320"/>
      <c r="AH133" s="320"/>
      <c r="AI133" s="320"/>
      <c r="AJ133" s="320"/>
      <c r="AK133" s="320"/>
      <c r="AL133" s="320"/>
      <c r="AM133" s="320"/>
      <c r="AN133" s="320"/>
      <c r="AO133" s="320"/>
      <c r="AP133" s="320"/>
      <c r="AQ133" s="366">
        <v>2</v>
      </c>
      <c r="AR133" s="396" t="s">
        <v>767</v>
      </c>
      <c r="AS133" s="365">
        <v>128</v>
      </c>
      <c r="AT133" s="364"/>
      <c r="AU133" s="364"/>
      <c r="AV133" s="364"/>
      <c r="AW133" s="364"/>
      <c r="AX133" s="364"/>
      <c r="AY133" s="364"/>
      <c r="AZ133" s="415"/>
      <c r="BA133" s="331"/>
      <c r="BB133" s="331"/>
      <c r="BC133" s="330"/>
      <c r="BD133" s="320"/>
      <c r="BE133" s="320"/>
      <c r="BF133" s="320"/>
      <c r="BG133" s="320"/>
      <c r="BH133" s="320"/>
      <c r="BI133" s="320"/>
      <c r="BJ133" s="320"/>
      <c r="BK133" s="320"/>
      <c r="BL133" s="320"/>
      <c r="BM133" s="320"/>
    </row>
    <row r="134" spans="2:65">
      <c r="B134" s="345">
        <v>2</v>
      </c>
      <c r="C134" s="397" t="s">
        <v>768</v>
      </c>
      <c r="D134" s="343">
        <v>129</v>
      </c>
      <c r="E134" s="342"/>
      <c r="F134" s="342"/>
      <c r="G134" s="342"/>
      <c r="H134" s="340"/>
      <c r="I134" s="340"/>
      <c r="J134" s="340"/>
      <c r="K134" s="340"/>
      <c r="L134" s="340"/>
      <c r="M134" s="417"/>
      <c r="N134" s="320"/>
      <c r="O134" s="320"/>
      <c r="P134" s="320"/>
      <c r="Q134" s="320"/>
      <c r="R134" s="320"/>
      <c r="S134" s="320"/>
      <c r="T134" s="366">
        <v>2</v>
      </c>
      <c r="U134" s="396" t="s">
        <v>768</v>
      </c>
      <c r="V134" s="365">
        <v>129</v>
      </c>
      <c r="W134" s="364"/>
      <c r="X134" s="364"/>
      <c r="Y134" s="364"/>
      <c r="Z134" s="364"/>
      <c r="AA134" s="364"/>
      <c r="AB134" s="364"/>
      <c r="AC134" s="335"/>
      <c r="AD134" s="320"/>
      <c r="AE134" s="320"/>
      <c r="AF134" s="320"/>
      <c r="AG134" s="320"/>
      <c r="AH134" s="320"/>
      <c r="AI134" s="320"/>
      <c r="AJ134" s="320"/>
      <c r="AK134" s="320"/>
      <c r="AL134" s="320"/>
      <c r="AM134" s="320"/>
      <c r="AN134" s="320"/>
      <c r="AO134" s="320"/>
      <c r="AP134" s="320"/>
      <c r="AQ134" s="366">
        <v>2</v>
      </c>
      <c r="AR134" s="396" t="s">
        <v>768</v>
      </c>
      <c r="AS134" s="365">
        <v>129</v>
      </c>
      <c r="AT134" s="364"/>
      <c r="AU134" s="364"/>
      <c r="AV134" s="364"/>
      <c r="AW134" s="364"/>
      <c r="AX134" s="364"/>
      <c r="AY134" s="364"/>
      <c r="AZ134" s="415"/>
      <c r="BA134" s="331"/>
      <c r="BB134" s="331"/>
      <c r="BC134" s="330"/>
      <c r="BD134" s="320"/>
      <c r="BE134" s="320"/>
      <c r="BF134" s="320"/>
      <c r="BG134" s="320"/>
      <c r="BH134" s="320"/>
      <c r="BI134" s="320"/>
      <c r="BJ134" s="320"/>
      <c r="BK134" s="320"/>
      <c r="BL134" s="320"/>
      <c r="BM134" s="320"/>
    </row>
    <row r="135" spans="2:65">
      <c r="B135" s="345">
        <v>2</v>
      </c>
      <c r="C135" s="397" t="s">
        <v>769</v>
      </c>
      <c r="D135" s="343">
        <v>130</v>
      </c>
      <c r="E135" s="342"/>
      <c r="F135" s="342"/>
      <c r="G135" s="342"/>
      <c r="H135" s="340"/>
      <c r="I135" s="340"/>
      <c r="J135" s="340"/>
      <c r="K135" s="340"/>
      <c r="L135" s="340"/>
      <c r="M135" s="417"/>
      <c r="N135" s="320"/>
      <c r="O135" s="320"/>
      <c r="P135" s="320"/>
      <c r="Q135" s="320"/>
      <c r="R135" s="320"/>
      <c r="S135" s="320"/>
      <c r="T135" s="366">
        <v>2</v>
      </c>
      <c r="U135" s="396" t="s">
        <v>769</v>
      </c>
      <c r="V135" s="365">
        <v>130</v>
      </c>
      <c r="W135" s="364"/>
      <c r="X135" s="364"/>
      <c r="Y135" s="364"/>
      <c r="Z135" s="364"/>
      <c r="AA135" s="364"/>
      <c r="AB135" s="364"/>
      <c r="AC135" s="335"/>
      <c r="AD135" s="320"/>
      <c r="AE135" s="320"/>
      <c r="AF135" s="320"/>
      <c r="AG135" s="320"/>
      <c r="AH135" s="320"/>
      <c r="AI135" s="320"/>
      <c r="AJ135" s="320"/>
      <c r="AK135" s="320"/>
      <c r="AL135" s="320"/>
      <c r="AM135" s="320"/>
      <c r="AN135" s="320"/>
      <c r="AO135" s="320"/>
      <c r="AP135" s="320"/>
      <c r="AQ135" s="366">
        <v>2</v>
      </c>
      <c r="AR135" s="396" t="s">
        <v>769</v>
      </c>
      <c r="AS135" s="365">
        <v>130</v>
      </c>
      <c r="AT135" s="364"/>
      <c r="AU135" s="364"/>
      <c r="AV135" s="364"/>
      <c r="AW135" s="364"/>
      <c r="AX135" s="364"/>
      <c r="AY135" s="364"/>
      <c r="AZ135" s="415"/>
      <c r="BA135" s="331"/>
      <c r="BB135" s="331"/>
      <c r="BC135" s="330"/>
      <c r="BD135" s="320"/>
      <c r="BE135" s="320"/>
      <c r="BF135" s="320"/>
      <c r="BG135" s="320"/>
      <c r="BH135" s="320"/>
      <c r="BI135" s="320"/>
      <c r="BJ135" s="320"/>
      <c r="BK135" s="320"/>
      <c r="BL135" s="320"/>
      <c r="BM135" s="320"/>
    </row>
    <row r="136" spans="2:65">
      <c r="B136" s="345">
        <v>2</v>
      </c>
      <c r="C136" s="397" t="s">
        <v>770</v>
      </c>
      <c r="D136" s="343">
        <v>131</v>
      </c>
      <c r="E136" s="342"/>
      <c r="F136" s="342"/>
      <c r="G136" s="342"/>
      <c r="H136" s="340"/>
      <c r="I136" s="340"/>
      <c r="J136" s="340"/>
      <c r="K136" s="340"/>
      <c r="L136" s="340"/>
      <c r="M136" s="417"/>
      <c r="N136" s="320"/>
      <c r="O136" s="320"/>
      <c r="P136" s="320"/>
      <c r="Q136" s="320"/>
      <c r="R136" s="320"/>
      <c r="S136" s="320"/>
      <c r="T136" s="366">
        <v>2</v>
      </c>
      <c r="U136" s="396" t="s">
        <v>770</v>
      </c>
      <c r="V136" s="365">
        <v>131</v>
      </c>
      <c r="W136" s="364"/>
      <c r="X136" s="364"/>
      <c r="Y136" s="364"/>
      <c r="Z136" s="364"/>
      <c r="AA136" s="364"/>
      <c r="AB136" s="364"/>
      <c r="AC136" s="335"/>
      <c r="AD136" s="320"/>
      <c r="AE136" s="320"/>
      <c r="AF136" s="320"/>
      <c r="AG136" s="320"/>
      <c r="AH136" s="320"/>
      <c r="AI136" s="320"/>
      <c r="AJ136" s="320"/>
      <c r="AK136" s="320"/>
      <c r="AL136" s="320"/>
      <c r="AM136" s="320"/>
      <c r="AN136" s="320"/>
      <c r="AO136" s="320"/>
      <c r="AP136" s="320"/>
      <c r="AQ136" s="366">
        <v>2</v>
      </c>
      <c r="AR136" s="396" t="s">
        <v>770</v>
      </c>
      <c r="AS136" s="365">
        <v>131</v>
      </c>
      <c r="AT136" s="364"/>
      <c r="AU136" s="364"/>
      <c r="AV136" s="364"/>
      <c r="AW136" s="364"/>
      <c r="AX136" s="364"/>
      <c r="AY136" s="364"/>
      <c r="AZ136" s="415"/>
      <c r="BA136" s="331"/>
      <c r="BB136" s="331"/>
      <c r="BC136" s="330"/>
      <c r="BD136" s="320"/>
      <c r="BE136" s="320"/>
      <c r="BF136" s="320"/>
      <c r="BG136" s="320"/>
      <c r="BH136" s="320"/>
      <c r="BI136" s="320"/>
      <c r="BJ136" s="320"/>
      <c r="BK136" s="320"/>
      <c r="BL136" s="320"/>
      <c r="BM136" s="320"/>
    </row>
    <row r="137" spans="2:65">
      <c r="B137" s="345">
        <v>2</v>
      </c>
      <c r="C137" s="397" t="s">
        <v>771</v>
      </c>
      <c r="D137" s="343">
        <v>132</v>
      </c>
      <c r="E137" s="342"/>
      <c r="F137" s="342"/>
      <c r="G137" s="342"/>
      <c r="H137" s="340"/>
      <c r="I137" s="340"/>
      <c r="J137" s="340"/>
      <c r="K137" s="340"/>
      <c r="L137" s="340"/>
      <c r="M137" s="417"/>
      <c r="N137" s="320"/>
      <c r="O137" s="320"/>
      <c r="P137" s="320"/>
      <c r="Q137" s="320"/>
      <c r="R137" s="320"/>
      <c r="S137" s="320"/>
      <c r="T137" s="366">
        <v>2</v>
      </c>
      <c r="U137" s="396" t="s">
        <v>771</v>
      </c>
      <c r="V137" s="365">
        <v>132</v>
      </c>
      <c r="W137" s="364"/>
      <c r="X137" s="364"/>
      <c r="Y137" s="364"/>
      <c r="Z137" s="364"/>
      <c r="AA137" s="364"/>
      <c r="AB137" s="364"/>
      <c r="AC137" s="335"/>
      <c r="AD137" s="320"/>
      <c r="AE137" s="320"/>
      <c r="AF137" s="320"/>
      <c r="AG137" s="320"/>
      <c r="AH137" s="320"/>
      <c r="AI137" s="320"/>
      <c r="AJ137" s="320"/>
      <c r="AK137" s="320"/>
      <c r="AL137" s="320"/>
      <c r="AM137" s="320"/>
      <c r="AN137" s="320"/>
      <c r="AO137" s="320"/>
      <c r="AP137" s="320"/>
      <c r="AQ137" s="366">
        <v>2</v>
      </c>
      <c r="AR137" s="396" t="s">
        <v>771</v>
      </c>
      <c r="AS137" s="365">
        <v>132</v>
      </c>
      <c r="AT137" s="364"/>
      <c r="AU137" s="364"/>
      <c r="AV137" s="364"/>
      <c r="AW137" s="364"/>
      <c r="AX137" s="364"/>
      <c r="AY137" s="364"/>
      <c r="AZ137" s="415"/>
      <c r="BA137" s="331"/>
      <c r="BB137" s="331"/>
      <c r="BC137" s="330"/>
      <c r="BD137" s="320"/>
      <c r="BE137" s="320"/>
      <c r="BF137" s="320"/>
      <c r="BG137" s="320"/>
      <c r="BH137" s="320"/>
      <c r="BI137" s="320"/>
      <c r="BJ137" s="320"/>
      <c r="BK137" s="320"/>
      <c r="BL137" s="320"/>
      <c r="BM137" s="320"/>
    </row>
    <row r="138" spans="2:65">
      <c r="B138" s="345">
        <v>2</v>
      </c>
      <c r="C138" s="397" t="s">
        <v>772</v>
      </c>
      <c r="D138" s="343">
        <v>133</v>
      </c>
      <c r="E138" s="342"/>
      <c r="F138" s="342"/>
      <c r="G138" s="342"/>
      <c r="H138" s="340"/>
      <c r="I138" s="340"/>
      <c r="J138" s="340"/>
      <c r="K138" s="340"/>
      <c r="L138" s="340"/>
      <c r="M138" s="417"/>
      <c r="N138" s="320"/>
      <c r="O138" s="320"/>
      <c r="P138" s="320"/>
      <c r="Q138" s="320"/>
      <c r="R138" s="320"/>
      <c r="S138" s="320"/>
      <c r="T138" s="366">
        <v>2</v>
      </c>
      <c r="U138" s="396" t="s">
        <v>772</v>
      </c>
      <c r="V138" s="365">
        <v>133</v>
      </c>
      <c r="W138" s="364"/>
      <c r="X138" s="364"/>
      <c r="Y138" s="364"/>
      <c r="Z138" s="364"/>
      <c r="AA138" s="364"/>
      <c r="AB138" s="364"/>
      <c r="AC138" s="335"/>
      <c r="AD138" s="320"/>
      <c r="AE138" s="320"/>
      <c r="AF138" s="320"/>
      <c r="AG138" s="320"/>
      <c r="AH138" s="320"/>
      <c r="AI138" s="320"/>
      <c r="AJ138" s="320"/>
      <c r="AK138" s="320"/>
      <c r="AL138" s="320"/>
      <c r="AM138" s="320"/>
      <c r="AN138" s="320"/>
      <c r="AO138" s="320"/>
      <c r="AP138" s="320"/>
      <c r="AQ138" s="366">
        <v>2</v>
      </c>
      <c r="AR138" s="396" t="s">
        <v>772</v>
      </c>
      <c r="AS138" s="365">
        <v>133</v>
      </c>
      <c r="AT138" s="364"/>
      <c r="AU138" s="364"/>
      <c r="AV138" s="364"/>
      <c r="AW138" s="364"/>
      <c r="AX138" s="364"/>
      <c r="AY138" s="364"/>
      <c r="AZ138" s="415"/>
      <c r="BA138" s="331"/>
      <c r="BB138" s="331"/>
      <c r="BC138" s="330"/>
      <c r="BD138" s="320"/>
      <c r="BE138" s="320"/>
      <c r="BF138" s="320"/>
      <c r="BG138" s="320"/>
      <c r="BH138" s="320"/>
      <c r="BI138" s="320"/>
      <c r="BJ138" s="320"/>
      <c r="BK138" s="320"/>
      <c r="BL138" s="320"/>
      <c r="BM138" s="320"/>
    </row>
    <row r="139" spans="2:65">
      <c r="B139" s="345">
        <v>2</v>
      </c>
      <c r="C139" s="397" t="s">
        <v>773</v>
      </c>
      <c r="D139" s="343">
        <v>134</v>
      </c>
      <c r="E139" s="342"/>
      <c r="F139" s="342"/>
      <c r="G139" s="342"/>
      <c r="H139" s="340"/>
      <c r="I139" s="340"/>
      <c r="J139" s="340"/>
      <c r="K139" s="340"/>
      <c r="L139" s="340"/>
      <c r="M139" s="417"/>
      <c r="N139" s="320"/>
      <c r="O139" s="320"/>
      <c r="P139" s="320"/>
      <c r="Q139" s="320"/>
      <c r="R139" s="320"/>
      <c r="S139" s="320"/>
      <c r="T139" s="366">
        <v>2</v>
      </c>
      <c r="U139" s="396" t="s">
        <v>773</v>
      </c>
      <c r="V139" s="365">
        <v>134</v>
      </c>
      <c r="W139" s="364"/>
      <c r="X139" s="364"/>
      <c r="Y139" s="364"/>
      <c r="Z139" s="364"/>
      <c r="AA139" s="364"/>
      <c r="AB139" s="364"/>
      <c r="AC139" s="335"/>
      <c r="AD139" s="320"/>
      <c r="AE139" s="320"/>
      <c r="AF139" s="320"/>
      <c r="AG139" s="320"/>
      <c r="AH139" s="320"/>
      <c r="AI139" s="320"/>
      <c r="AJ139" s="320"/>
      <c r="AK139" s="320"/>
      <c r="AL139" s="320"/>
      <c r="AM139" s="320"/>
      <c r="AN139" s="320"/>
      <c r="AO139" s="320"/>
      <c r="AP139" s="320"/>
      <c r="AQ139" s="366">
        <v>2</v>
      </c>
      <c r="AR139" s="396" t="s">
        <v>773</v>
      </c>
      <c r="AS139" s="365">
        <v>134</v>
      </c>
      <c r="AT139" s="364"/>
      <c r="AU139" s="364"/>
      <c r="AV139" s="364"/>
      <c r="AW139" s="364"/>
      <c r="AX139" s="364"/>
      <c r="AY139" s="364"/>
      <c r="AZ139" s="415"/>
      <c r="BA139" s="331"/>
      <c r="BB139" s="331"/>
      <c r="BC139" s="330"/>
      <c r="BD139" s="320"/>
      <c r="BE139" s="320"/>
      <c r="BF139" s="320"/>
      <c r="BG139" s="320"/>
      <c r="BH139" s="320"/>
      <c r="BI139" s="320"/>
      <c r="BJ139" s="320"/>
      <c r="BK139" s="320"/>
      <c r="BL139" s="320"/>
      <c r="BM139" s="320"/>
    </row>
    <row r="140" spans="2:65">
      <c r="B140" s="345">
        <v>2</v>
      </c>
      <c r="C140" s="397" t="s">
        <v>774</v>
      </c>
      <c r="D140" s="343">
        <v>135</v>
      </c>
      <c r="E140" s="342"/>
      <c r="F140" s="342"/>
      <c r="G140" s="342"/>
      <c r="H140" s="340"/>
      <c r="I140" s="340"/>
      <c r="J140" s="340"/>
      <c r="K140" s="340"/>
      <c r="L140" s="340"/>
      <c r="M140" s="417"/>
      <c r="N140" s="320"/>
      <c r="O140" s="320"/>
      <c r="P140" s="320"/>
      <c r="Q140" s="320"/>
      <c r="R140" s="320"/>
      <c r="S140" s="320"/>
      <c r="T140" s="366">
        <v>2</v>
      </c>
      <c r="U140" s="396" t="s">
        <v>774</v>
      </c>
      <c r="V140" s="365">
        <v>135</v>
      </c>
      <c r="W140" s="364"/>
      <c r="X140" s="364"/>
      <c r="Y140" s="364"/>
      <c r="Z140" s="364"/>
      <c r="AA140" s="364"/>
      <c r="AB140" s="364"/>
      <c r="AC140" s="335"/>
      <c r="AD140" s="320"/>
      <c r="AE140" s="320"/>
      <c r="AF140" s="320"/>
      <c r="AG140" s="320"/>
      <c r="AH140" s="320"/>
      <c r="AI140" s="320"/>
      <c r="AJ140" s="320"/>
      <c r="AK140" s="320"/>
      <c r="AL140" s="320"/>
      <c r="AM140" s="320"/>
      <c r="AN140" s="320"/>
      <c r="AO140" s="320"/>
      <c r="AP140" s="320"/>
      <c r="AQ140" s="366">
        <v>2</v>
      </c>
      <c r="AR140" s="396" t="s">
        <v>774</v>
      </c>
      <c r="AS140" s="365">
        <v>135</v>
      </c>
      <c r="AT140" s="364"/>
      <c r="AU140" s="364"/>
      <c r="AV140" s="364"/>
      <c r="AW140" s="364"/>
      <c r="AX140" s="364"/>
      <c r="AY140" s="364"/>
      <c r="AZ140" s="415"/>
      <c r="BA140" s="331"/>
      <c r="BB140" s="331"/>
      <c r="BC140" s="330"/>
      <c r="BD140" s="320"/>
      <c r="BE140" s="320"/>
      <c r="BF140" s="320"/>
      <c r="BG140" s="320"/>
      <c r="BH140" s="320"/>
      <c r="BI140" s="320"/>
      <c r="BJ140" s="320"/>
      <c r="BK140" s="320"/>
      <c r="BL140" s="320"/>
      <c r="BM140" s="320"/>
    </row>
    <row r="141" spans="2:65">
      <c r="B141" s="345">
        <v>2</v>
      </c>
      <c r="C141" s="397" t="s">
        <v>775</v>
      </c>
      <c r="D141" s="343">
        <v>136</v>
      </c>
      <c r="E141" s="342"/>
      <c r="F141" s="342"/>
      <c r="G141" s="342"/>
      <c r="H141" s="340"/>
      <c r="I141" s="340"/>
      <c r="J141" s="340"/>
      <c r="K141" s="340"/>
      <c r="L141" s="340"/>
      <c r="M141" s="417"/>
      <c r="N141" s="320"/>
      <c r="O141" s="320"/>
      <c r="P141" s="320"/>
      <c r="Q141" s="320"/>
      <c r="R141" s="320"/>
      <c r="S141" s="320"/>
      <c r="T141" s="366">
        <v>2</v>
      </c>
      <c r="U141" s="396" t="s">
        <v>775</v>
      </c>
      <c r="V141" s="365">
        <v>136</v>
      </c>
      <c r="W141" s="364"/>
      <c r="X141" s="364"/>
      <c r="Y141" s="364"/>
      <c r="Z141" s="364"/>
      <c r="AA141" s="364"/>
      <c r="AB141" s="364"/>
      <c r="AC141" s="335"/>
      <c r="AD141" s="320"/>
      <c r="AE141" s="320"/>
      <c r="AF141" s="320"/>
      <c r="AG141" s="320"/>
      <c r="AH141" s="320"/>
      <c r="AI141" s="320"/>
      <c r="AJ141" s="320"/>
      <c r="AK141" s="320"/>
      <c r="AL141" s="320"/>
      <c r="AM141" s="320"/>
      <c r="AN141" s="320"/>
      <c r="AO141" s="320"/>
      <c r="AP141" s="320"/>
      <c r="AQ141" s="366">
        <v>2</v>
      </c>
      <c r="AR141" s="396" t="s">
        <v>775</v>
      </c>
      <c r="AS141" s="365">
        <v>136</v>
      </c>
      <c r="AT141" s="364"/>
      <c r="AU141" s="364"/>
      <c r="AV141" s="364"/>
      <c r="AW141" s="364"/>
      <c r="AX141" s="364"/>
      <c r="AY141" s="364"/>
      <c r="AZ141" s="415"/>
      <c r="BA141" s="331"/>
      <c r="BB141" s="331"/>
      <c r="BC141" s="330"/>
      <c r="BD141" s="320"/>
      <c r="BE141" s="320"/>
      <c r="BF141" s="320"/>
      <c r="BG141" s="320"/>
      <c r="BH141" s="320"/>
      <c r="BI141" s="320"/>
      <c r="BJ141" s="320"/>
      <c r="BK141" s="320"/>
      <c r="BL141" s="320"/>
      <c r="BM141" s="320"/>
    </row>
    <row r="142" spans="2:65">
      <c r="B142" s="367">
        <v>2</v>
      </c>
      <c r="C142" s="396" t="s">
        <v>776</v>
      </c>
      <c r="D142" s="365">
        <v>137</v>
      </c>
      <c r="E142" s="364"/>
      <c r="F142" s="364"/>
      <c r="G142" s="364"/>
      <c r="H142" s="336"/>
      <c r="I142" s="336"/>
      <c r="J142" s="336"/>
      <c r="K142" s="336"/>
      <c r="L142" s="336"/>
      <c r="M142" s="416"/>
      <c r="N142" s="320"/>
      <c r="O142" s="320"/>
      <c r="P142" s="320"/>
      <c r="Q142" s="320"/>
      <c r="R142" s="320"/>
      <c r="S142" s="320"/>
      <c r="T142" s="366">
        <v>2</v>
      </c>
      <c r="U142" s="396" t="s">
        <v>776</v>
      </c>
      <c r="V142" s="365">
        <v>137</v>
      </c>
      <c r="W142" s="364"/>
      <c r="X142" s="364"/>
      <c r="Y142" s="364"/>
      <c r="Z142" s="364"/>
      <c r="AA142" s="364"/>
      <c r="AB142" s="364"/>
      <c r="AC142" s="335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20"/>
      <c r="AN142" s="320"/>
      <c r="AO142" s="320"/>
      <c r="AP142" s="320"/>
      <c r="AQ142" s="366">
        <v>2</v>
      </c>
      <c r="AR142" s="396" t="s">
        <v>776</v>
      </c>
      <c r="AS142" s="365">
        <v>137</v>
      </c>
      <c r="AT142" s="364"/>
      <c r="AU142" s="364"/>
      <c r="AV142" s="364"/>
      <c r="AW142" s="364"/>
      <c r="AX142" s="364"/>
      <c r="AY142" s="364"/>
      <c r="AZ142" s="415"/>
      <c r="BA142" s="331"/>
      <c r="BB142" s="331"/>
      <c r="BC142" s="330"/>
      <c r="BD142" s="320"/>
      <c r="BE142" s="320"/>
      <c r="BF142" s="320"/>
      <c r="BG142" s="320"/>
      <c r="BH142" s="320"/>
      <c r="BI142" s="320"/>
      <c r="BJ142" s="320"/>
      <c r="BK142" s="320"/>
      <c r="BL142" s="320"/>
      <c r="BM142" s="320"/>
    </row>
    <row r="143" spans="2:65">
      <c r="B143" s="367">
        <v>2</v>
      </c>
      <c r="C143" s="396" t="s">
        <v>777</v>
      </c>
      <c r="D143" s="365">
        <v>138</v>
      </c>
      <c r="E143" s="364"/>
      <c r="F143" s="364"/>
      <c r="G143" s="364"/>
      <c r="H143" s="336"/>
      <c r="I143" s="336"/>
      <c r="J143" s="336"/>
      <c r="K143" s="336"/>
      <c r="L143" s="336"/>
      <c r="M143" s="416"/>
      <c r="N143" s="320"/>
      <c r="O143" s="320"/>
      <c r="P143" s="320"/>
      <c r="Q143" s="320"/>
      <c r="R143" s="320"/>
      <c r="S143" s="320"/>
      <c r="T143" s="366">
        <v>2</v>
      </c>
      <c r="U143" s="396" t="s">
        <v>777</v>
      </c>
      <c r="V143" s="365">
        <v>138</v>
      </c>
      <c r="W143" s="364"/>
      <c r="X143" s="364"/>
      <c r="Y143" s="364"/>
      <c r="Z143" s="364"/>
      <c r="AA143" s="364"/>
      <c r="AB143" s="364"/>
      <c r="AC143" s="335"/>
      <c r="AD143" s="320"/>
      <c r="AE143" s="320"/>
      <c r="AF143" s="320"/>
      <c r="AG143" s="320"/>
      <c r="AH143" s="320"/>
      <c r="AI143" s="320"/>
      <c r="AJ143" s="320"/>
      <c r="AK143" s="320"/>
      <c r="AL143" s="320"/>
      <c r="AM143" s="320"/>
      <c r="AN143" s="320"/>
      <c r="AO143" s="320"/>
      <c r="AP143" s="320"/>
      <c r="AQ143" s="366">
        <v>2</v>
      </c>
      <c r="AR143" s="396" t="s">
        <v>777</v>
      </c>
      <c r="AS143" s="365">
        <v>138</v>
      </c>
      <c r="AT143" s="364"/>
      <c r="AU143" s="364"/>
      <c r="AV143" s="364"/>
      <c r="AW143" s="364"/>
      <c r="AX143" s="364"/>
      <c r="AY143" s="364"/>
      <c r="AZ143" s="415"/>
      <c r="BA143" s="331"/>
      <c r="BB143" s="331"/>
      <c r="BC143" s="330"/>
      <c r="BD143" s="320"/>
      <c r="BE143" s="320"/>
      <c r="BF143" s="320"/>
      <c r="BG143" s="320"/>
      <c r="BH143" s="320"/>
      <c r="BI143" s="320"/>
      <c r="BJ143" s="320"/>
      <c r="BK143" s="320"/>
      <c r="BL143" s="320"/>
      <c r="BM143" s="320"/>
    </row>
    <row r="144" spans="2:65">
      <c r="B144" s="367">
        <v>2</v>
      </c>
      <c r="C144" s="396" t="s">
        <v>778</v>
      </c>
      <c r="D144" s="365">
        <v>139</v>
      </c>
      <c r="E144" s="364"/>
      <c r="F144" s="364"/>
      <c r="G144" s="364"/>
      <c r="H144" s="336"/>
      <c r="I144" s="336"/>
      <c r="J144" s="336"/>
      <c r="K144" s="336"/>
      <c r="L144" s="336"/>
      <c r="M144" s="416"/>
      <c r="N144" s="320"/>
      <c r="O144" s="320"/>
      <c r="P144" s="320"/>
      <c r="Q144" s="320"/>
      <c r="R144" s="320"/>
      <c r="S144" s="320"/>
      <c r="T144" s="366">
        <v>2</v>
      </c>
      <c r="U144" s="396" t="s">
        <v>778</v>
      </c>
      <c r="V144" s="365">
        <v>139</v>
      </c>
      <c r="W144" s="364"/>
      <c r="X144" s="364"/>
      <c r="Y144" s="364"/>
      <c r="Z144" s="364"/>
      <c r="AA144" s="364"/>
      <c r="AB144" s="364"/>
      <c r="AC144" s="335"/>
      <c r="AD144" s="320"/>
      <c r="AE144" s="320"/>
      <c r="AF144" s="320"/>
      <c r="AG144" s="320"/>
      <c r="AH144" s="320"/>
      <c r="AI144" s="320"/>
      <c r="AJ144" s="320"/>
      <c r="AK144" s="320"/>
      <c r="AL144" s="320"/>
      <c r="AM144" s="320"/>
      <c r="AN144" s="320"/>
      <c r="AO144" s="320"/>
      <c r="AP144" s="320"/>
      <c r="AQ144" s="366">
        <v>2</v>
      </c>
      <c r="AR144" s="396" t="s">
        <v>778</v>
      </c>
      <c r="AS144" s="365">
        <v>139</v>
      </c>
      <c r="AT144" s="364"/>
      <c r="AU144" s="364"/>
      <c r="AV144" s="364"/>
      <c r="AW144" s="364"/>
      <c r="AX144" s="364"/>
      <c r="AY144" s="364"/>
      <c r="AZ144" s="415"/>
      <c r="BA144" s="331"/>
      <c r="BB144" s="331"/>
      <c r="BC144" s="330"/>
      <c r="BD144" s="320"/>
      <c r="BE144" s="320"/>
      <c r="BF144" s="320"/>
      <c r="BG144" s="320"/>
      <c r="BH144" s="320"/>
      <c r="BI144" s="320"/>
      <c r="BJ144" s="320"/>
      <c r="BK144" s="320"/>
      <c r="BL144" s="320"/>
      <c r="BM144" s="320"/>
    </row>
    <row r="145" spans="2:65">
      <c r="B145" s="367">
        <v>2</v>
      </c>
      <c r="C145" s="396" t="s">
        <v>779</v>
      </c>
      <c r="D145" s="365">
        <v>140</v>
      </c>
      <c r="E145" s="364"/>
      <c r="F145" s="364"/>
      <c r="G145" s="364"/>
      <c r="H145" s="336"/>
      <c r="I145" s="336"/>
      <c r="J145" s="336"/>
      <c r="K145" s="336"/>
      <c r="L145" s="336"/>
      <c r="M145" s="416"/>
      <c r="N145" s="320"/>
      <c r="O145" s="320"/>
      <c r="P145" s="320"/>
      <c r="Q145" s="320"/>
      <c r="R145" s="320"/>
      <c r="S145" s="320"/>
      <c r="T145" s="366">
        <v>2</v>
      </c>
      <c r="U145" s="396" t="s">
        <v>779</v>
      </c>
      <c r="V145" s="365">
        <v>140</v>
      </c>
      <c r="W145" s="364"/>
      <c r="X145" s="364"/>
      <c r="Y145" s="364"/>
      <c r="Z145" s="364"/>
      <c r="AA145" s="364"/>
      <c r="AB145" s="364"/>
      <c r="AC145" s="335"/>
      <c r="AD145" s="320"/>
      <c r="AE145" s="320"/>
      <c r="AF145" s="320"/>
      <c r="AG145" s="320"/>
      <c r="AH145" s="320"/>
      <c r="AI145" s="320"/>
      <c r="AJ145" s="320"/>
      <c r="AK145" s="320"/>
      <c r="AL145" s="320"/>
      <c r="AM145" s="320"/>
      <c r="AN145" s="320"/>
      <c r="AO145" s="320"/>
      <c r="AP145" s="320"/>
      <c r="AQ145" s="366">
        <v>2</v>
      </c>
      <c r="AR145" s="396" t="s">
        <v>779</v>
      </c>
      <c r="AS145" s="365">
        <v>140</v>
      </c>
      <c r="AT145" s="364"/>
      <c r="AU145" s="364"/>
      <c r="AV145" s="364"/>
      <c r="AW145" s="364"/>
      <c r="AX145" s="364"/>
      <c r="AY145" s="364"/>
      <c r="AZ145" s="415"/>
      <c r="BA145" s="331"/>
      <c r="BB145" s="331"/>
      <c r="BC145" s="330"/>
      <c r="BD145" s="320"/>
      <c r="BE145" s="320"/>
      <c r="BF145" s="320"/>
      <c r="BG145" s="320"/>
      <c r="BH145" s="320"/>
      <c r="BI145" s="320"/>
      <c r="BJ145" s="320"/>
      <c r="BK145" s="320"/>
      <c r="BL145" s="320"/>
      <c r="BM145" s="320"/>
    </row>
    <row r="146" spans="2:65">
      <c r="B146" s="367">
        <v>2</v>
      </c>
      <c r="C146" s="396" t="s">
        <v>780</v>
      </c>
      <c r="D146" s="365">
        <v>141</v>
      </c>
      <c r="E146" s="364"/>
      <c r="F146" s="364"/>
      <c r="G146" s="364"/>
      <c r="H146" s="364"/>
      <c r="I146" s="364"/>
      <c r="J146" s="364"/>
      <c r="K146" s="336"/>
      <c r="L146" s="336"/>
      <c r="M146" s="416"/>
      <c r="N146" s="320"/>
      <c r="O146" s="320"/>
      <c r="P146" s="320"/>
      <c r="Q146" s="320"/>
      <c r="R146" s="320"/>
      <c r="S146" s="320"/>
      <c r="T146" s="366">
        <v>2</v>
      </c>
      <c r="U146" s="396" t="s">
        <v>780</v>
      </c>
      <c r="V146" s="365">
        <v>141</v>
      </c>
      <c r="W146" s="364"/>
      <c r="X146" s="364"/>
      <c r="Y146" s="364"/>
      <c r="Z146" s="364"/>
      <c r="AA146" s="364"/>
      <c r="AB146" s="364"/>
      <c r="AC146" s="335"/>
      <c r="AD146" s="320"/>
      <c r="AE146" s="320"/>
      <c r="AF146" s="320"/>
      <c r="AG146" s="320"/>
      <c r="AH146" s="320"/>
      <c r="AI146" s="320"/>
      <c r="AJ146" s="320"/>
      <c r="AK146" s="320"/>
      <c r="AL146" s="320"/>
      <c r="AM146" s="320"/>
      <c r="AN146" s="320"/>
      <c r="AO146" s="320"/>
      <c r="AP146" s="320"/>
      <c r="AQ146" s="366">
        <v>2</v>
      </c>
      <c r="AR146" s="396" t="s">
        <v>780</v>
      </c>
      <c r="AS146" s="365">
        <v>141</v>
      </c>
      <c r="AT146" s="364"/>
      <c r="AU146" s="364"/>
      <c r="AV146" s="364"/>
      <c r="AW146" s="364"/>
      <c r="AX146" s="364"/>
      <c r="AY146" s="364"/>
      <c r="AZ146" s="415"/>
      <c r="BA146" s="331"/>
      <c r="BB146" s="331"/>
      <c r="BC146" s="330"/>
      <c r="BD146" s="320"/>
      <c r="BE146" s="320"/>
      <c r="BF146" s="320"/>
      <c r="BG146" s="320"/>
      <c r="BH146" s="320"/>
      <c r="BI146" s="320"/>
      <c r="BJ146" s="320"/>
      <c r="BK146" s="320"/>
      <c r="BL146" s="320"/>
      <c r="BM146" s="320"/>
    </row>
    <row r="147" spans="2:65">
      <c r="B147" s="367">
        <v>2</v>
      </c>
      <c r="C147" s="396" t="s">
        <v>781</v>
      </c>
      <c r="D147" s="365">
        <v>142</v>
      </c>
      <c r="E147" s="364"/>
      <c r="F147" s="364"/>
      <c r="G147" s="364"/>
      <c r="H147" s="364"/>
      <c r="I147" s="364"/>
      <c r="J147" s="364"/>
      <c r="K147" s="336"/>
      <c r="L147" s="336"/>
      <c r="M147" s="416"/>
      <c r="N147" s="320"/>
      <c r="O147" s="320"/>
      <c r="P147" s="320"/>
      <c r="Q147" s="320"/>
      <c r="R147" s="320"/>
      <c r="S147" s="320"/>
      <c r="T147" s="366">
        <v>2</v>
      </c>
      <c r="U147" s="396" t="s">
        <v>781</v>
      </c>
      <c r="V147" s="365">
        <v>142</v>
      </c>
      <c r="W147" s="364"/>
      <c r="X147" s="364"/>
      <c r="Y147" s="364"/>
      <c r="Z147" s="364"/>
      <c r="AA147" s="364"/>
      <c r="AB147" s="364"/>
      <c r="AC147" s="335"/>
      <c r="AD147" s="320"/>
      <c r="AE147" s="320"/>
      <c r="AF147" s="320"/>
      <c r="AG147" s="320"/>
      <c r="AH147" s="320"/>
      <c r="AI147" s="320"/>
      <c r="AJ147" s="320"/>
      <c r="AK147" s="320"/>
      <c r="AL147" s="320"/>
      <c r="AM147" s="320"/>
      <c r="AN147" s="320"/>
      <c r="AO147" s="320"/>
      <c r="AP147" s="320"/>
      <c r="AQ147" s="366">
        <v>2</v>
      </c>
      <c r="AR147" s="396" t="s">
        <v>781</v>
      </c>
      <c r="AS147" s="365">
        <v>142</v>
      </c>
      <c r="AT147" s="364"/>
      <c r="AU147" s="364"/>
      <c r="AV147" s="364"/>
      <c r="AW147" s="364"/>
      <c r="AX147" s="364"/>
      <c r="AY147" s="364"/>
      <c r="AZ147" s="415"/>
      <c r="BA147" s="331"/>
      <c r="BB147" s="331"/>
      <c r="BC147" s="330"/>
      <c r="BD147" s="320"/>
      <c r="BE147" s="320"/>
      <c r="BF147" s="320"/>
      <c r="BG147" s="320"/>
      <c r="BH147" s="320"/>
      <c r="BI147" s="320"/>
      <c r="BJ147" s="320"/>
      <c r="BK147" s="320"/>
      <c r="BL147" s="320"/>
      <c r="BM147" s="320"/>
    </row>
    <row r="148" spans="2:65">
      <c r="B148" s="367">
        <v>2</v>
      </c>
      <c r="C148" s="396" t="s">
        <v>782</v>
      </c>
      <c r="D148" s="365">
        <v>143</v>
      </c>
      <c r="E148" s="364"/>
      <c r="F148" s="364"/>
      <c r="G148" s="364"/>
      <c r="H148" s="364"/>
      <c r="I148" s="364"/>
      <c r="J148" s="364"/>
      <c r="K148" s="336"/>
      <c r="L148" s="336"/>
      <c r="M148" s="416"/>
      <c r="N148" s="320"/>
      <c r="O148" s="320"/>
      <c r="P148" s="320"/>
      <c r="Q148" s="320"/>
      <c r="R148" s="320"/>
      <c r="S148" s="320"/>
      <c r="T148" s="366">
        <v>2</v>
      </c>
      <c r="U148" s="396" t="s">
        <v>782</v>
      </c>
      <c r="V148" s="365">
        <v>143</v>
      </c>
      <c r="W148" s="364"/>
      <c r="X148" s="364"/>
      <c r="Y148" s="364"/>
      <c r="Z148" s="364"/>
      <c r="AA148" s="364"/>
      <c r="AB148" s="364"/>
      <c r="AC148" s="335"/>
      <c r="AD148" s="320"/>
      <c r="AE148" s="320"/>
      <c r="AF148" s="320"/>
      <c r="AG148" s="320"/>
      <c r="AH148" s="320"/>
      <c r="AI148" s="320"/>
      <c r="AJ148" s="320"/>
      <c r="AK148" s="320"/>
      <c r="AL148" s="320"/>
      <c r="AM148" s="320"/>
      <c r="AN148" s="320"/>
      <c r="AO148" s="320"/>
      <c r="AP148" s="320"/>
      <c r="AQ148" s="366">
        <v>2</v>
      </c>
      <c r="AR148" s="396" t="s">
        <v>782</v>
      </c>
      <c r="AS148" s="365">
        <v>143</v>
      </c>
      <c r="AT148" s="364"/>
      <c r="AU148" s="364"/>
      <c r="AV148" s="364"/>
      <c r="AW148" s="364"/>
      <c r="AX148" s="364"/>
      <c r="AY148" s="364"/>
      <c r="AZ148" s="415"/>
      <c r="BA148" s="331"/>
      <c r="BB148" s="331"/>
      <c r="BC148" s="330"/>
      <c r="BD148" s="320"/>
      <c r="BE148" s="320"/>
      <c r="BF148" s="320"/>
      <c r="BG148" s="320"/>
      <c r="BH148" s="320"/>
      <c r="BI148" s="320"/>
      <c r="BJ148" s="320"/>
      <c r="BK148" s="320"/>
      <c r="BL148" s="320"/>
      <c r="BM148" s="320"/>
    </row>
    <row r="149" spans="2:65" ht="15.75" thickBot="1">
      <c r="B149" s="394">
        <v>2</v>
      </c>
      <c r="C149" s="393" t="s">
        <v>783</v>
      </c>
      <c r="D149" s="392">
        <v>144</v>
      </c>
      <c r="E149" s="391"/>
      <c r="F149" s="391"/>
      <c r="G149" s="391"/>
      <c r="H149" s="391"/>
      <c r="I149" s="391"/>
      <c r="J149" s="391"/>
      <c r="K149" s="384"/>
      <c r="L149" s="384"/>
      <c r="M149" s="414"/>
      <c r="N149" s="320"/>
      <c r="O149" s="320"/>
      <c r="P149" s="320"/>
      <c r="Q149" s="320"/>
      <c r="R149" s="320"/>
      <c r="S149" s="320"/>
      <c r="T149" s="413">
        <v>2</v>
      </c>
      <c r="U149" s="393" t="s">
        <v>783</v>
      </c>
      <c r="V149" s="392">
        <v>144</v>
      </c>
      <c r="W149" s="391"/>
      <c r="X149" s="391"/>
      <c r="Y149" s="391"/>
      <c r="Z149" s="391"/>
      <c r="AA149" s="391"/>
      <c r="AB149" s="391"/>
      <c r="AC149" s="383"/>
      <c r="AD149" s="320"/>
      <c r="AE149" s="320"/>
      <c r="AF149" s="320"/>
      <c r="AG149" s="320"/>
      <c r="AH149" s="320"/>
      <c r="AI149" s="320"/>
      <c r="AJ149" s="320"/>
      <c r="AK149" s="320"/>
      <c r="AL149" s="320"/>
      <c r="AM149" s="320"/>
      <c r="AN149" s="320"/>
      <c r="AO149" s="320"/>
      <c r="AP149" s="320"/>
      <c r="AQ149" s="413">
        <v>2</v>
      </c>
      <c r="AR149" s="393" t="s">
        <v>783</v>
      </c>
      <c r="AS149" s="392">
        <v>144</v>
      </c>
      <c r="AT149" s="391"/>
      <c r="AU149" s="391"/>
      <c r="AV149" s="391"/>
      <c r="AW149" s="391"/>
      <c r="AX149" s="391"/>
      <c r="AY149" s="391"/>
      <c r="AZ149" s="412"/>
      <c r="BA149" s="379"/>
      <c r="BB149" s="379"/>
      <c r="BC149" s="378"/>
      <c r="BD149" s="320"/>
      <c r="BE149" s="320"/>
      <c r="BF149" s="320"/>
      <c r="BG149" s="320"/>
      <c r="BH149" s="320"/>
      <c r="BI149" s="320"/>
      <c r="BJ149" s="320"/>
      <c r="BK149" s="320"/>
      <c r="BL149" s="320"/>
      <c r="BM149" s="320"/>
    </row>
    <row r="150" spans="2:65">
      <c r="B150" s="411">
        <v>2</v>
      </c>
      <c r="C150" s="408" t="s">
        <v>784</v>
      </c>
      <c r="D150" s="407">
        <v>145</v>
      </c>
      <c r="E150" s="369"/>
      <c r="F150" s="369"/>
      <c r="G150" s="369"/>
      <c r="H150" s="374"/>
      <c r="I150" s="374"/>
      <c r="J150" s="374"/>
      <c r="K150" s="375"/>
      <c r="L150" s="375"/>
      <c r="M150" s="410"/>
      <c r="N150" s="320"/>
      <c r="O150" s="320"/>
      <c r="P150" s="320"/>
      <c r="Q150" s="320"/>
      <c r="R150" s="320"/>
      <c r="S150" s="320"/>
      <c r="T150" s="409">
        <v>2</v>
      </c>
      <c r="U150" s="408" t="s">
        <v>784</v>
      </c>
      <c r="V150" s="407">
        <v>145</v>
      </c>
      <c r="W150" s="374"/>
      <c r="X150" s="374"/>
      <c r="Y150" s="374"/>
      <c r="Z150" s="374"/>
      <c r="AA150" s="374"/>
      <c r="AB150" s="374">
        <f>AH12</f>
        <v>0</v>
      </c>
      <c r="AC150" s="373"/>
      <c r="AD150" s="320"/>
      <c r="AE150" s="320"/>
      <c r="AF150" s="320"/>
      <c r="AG150" s="320"/>
      <c r="AH150" s="320"/>
      <c r="AI150" s="320"/>
      <c r="AJ150" s="320"/>
      <c r="AK150" s="320"/>
      <c r="AL150" s="320"/>
      <c r="AM150" s="320"/>
      <c r="AN150" s="320"/>
      <c r="AO150" s="320"/>
      <c r="AP150" s="320"/>
      <c r="AQ150" s="409">
        <v>2</v>
      </c>
      <c r="AR150" s="408" t="s">
        <v>784</v>
      </c>
      <c r="AS150" s="407">
        <v>145</v>
      </c>
      <c r="AT150" s="369"/>
      <c r="AU150" s="369"/>
      <c r="AV150" s="369"/>
      <c r="AW150" s="369"/>
      <c r="AX150" s="369"/>
      <c r="AY150" s="369">
        <f>BH12</f>
        <v>0</v>
      </c>
      <c r="AZ150" s="370"/>
      <c r="BA150" s="369"/>
      <c r="BB150" s="369"/>
      <c r="BC150" s="368"/>
      <c r="BD150" s="320"/>
      <c r="BE150" s="320"/>
      <c r="BF150" s="320"/>
      <c r="BG150" s="320"/>
      <c r="BH150" s="320"/>
      <c r="BI150" s="320"/>
      <c r="BJ150" s="320"/>
      <c r="BK150" s="320"/>
      <c r="BL150" s="320"/>
      <c r="BM150" s="320"/>
    </row>
    <row r="151" spans="2:65">
      <c r="B151" s="345">
        <v>2</v>
      </c>
      <c r="C151" s="397" t="s">
        <v>785</v>
      </c>
      <c r="D151" s="343">
        <v>146</v>
      </c>
      <c r="E151" s="342"/>
      <c r="F151" s="342"/>
      <c r="G151" s="342"/>
      <c r="H151" s="342"/>
      <c r="I151" s="342"/>
      <c r="J151" s="342"/>
      <c r="K151" s="341"/>
      <c r="L151" s="340"/>
      <c r="M151" s="339"/>
      <c r="N151" s="320"/>
      <c r="O151" s="320"/>
      <c r="P151" s="320"/>
      <c r="Q151" s="320"/>
      <c r="R151" s="320"/>
      <c r="S151" s="320"/>
      <c r="T151" s="344">
        <v>2</v>
      </c>
      <c r="U151" s="397" t="s">
        <v>785</v>
      </c>
      <c r="V151" s="343">
        <v>146</v>
      </c>
      <c r="W151" s="342"/>
      <c r="X151" s="342"/>
      <c r="Y151" s="342"/>
      <c r="Z151" s="342"/>
      <c r="AA151" s="342"/>
      <c r="AB151" s="342"/>
      <c r="AC151" s="339"/>
      <c r="AD151" s="320"/>
      <c r="AE151" s="320"/>
      <c r="AF151" s="320"/>
      <c r="AG151" s="320"/>
      <c r="AH151" s="320"/>
      <c r="AI151" s="320"/>
      <c r="AJ151" s="320"/>
      <c r="AK151" s="320"/>
      <c r="AL151" s="320"/>
      <c r="AM151" s="320"/>
      <c r="AN151" s="320"/>
      <c r="AO151" s="320"/>
      <c r="AP151" s="320"/>
      <c r="AQ151" s="344">
        <v>2</v>
      </c>
      <c r="AR151" s="397" t="s">
        <v>785</v>
      </c>
      <c r="AS151" s="343">
        <v>146</v>
      </c>
      <c r="AT151" s="342"/>
      <c r="AU151" s="342"/>
      <c r="AV151" s="342"/>
      <c r="AW151" s="342"/>
      <c r="AX151" s="342"/>
      <c r="AY151" s="342"/>
      <c r="AZ151" s="363"/>
      <c r="BA151" s="342"/>
      <c r="BB151" s="342"/>
      <c r="BC151" s="339"/>
      <c r="BD151" s="320"/>
      <c r="BE151" s="320"/>
      <c r="BF151" s="320"/>
      <c r="BG151" s="320"/>
      <c r="BH151" s="320"/>
      <c r="BI151" s="320"/>
      <c r="BJ151" s="320"/>
      <c r="BK151" s="320"/>
      <c r="BL151" s="320"/>
      <c r="BM151" s="320"/>
    </row>
    <row r="152" spans="2:65">
      <c r="B152" s="345">
        <v>2</v>
      </c>
      <c r="C152" s="397" t="s">
        <v>786</v>
      </c>
      <c r="D152" s="343">
        <v>147</v>
      </c>
      <c r="E152" s="342"/>
      <c r="F152" s="342"/>
      <c r="G152" s="342"/>
      <c r="H152" s="342"/>
      <c r="I152" s="342"/>
      <c r="J152" s="342"/>
      <c r="K152" s="341"/>
      <c r="L152" s="340"/>
      <c r="M152" s="339"/>
      <c r="N152" s="320"/>
      <c r="O152" s="320"/>
      <c r="P152" s="320"/>
      <c r="Q152" s="320"/>
      <c r="R152" s="320"/>
      <c r="S152" s="320"/>
      <c r="T152" s="344">
        <v>2</v>
      </c>
      <c r="U152" s="397" t="s">
        <v>786</v>
      </c>
      <c r="V152" s="343">
        <v>147</v>
      </c>
      <c r="W152" s="342"/>
      <c r="X152" s="342"/>
      <c r="Y152" s="342"/>
      <c r="Z152" s="342"/>
      <c r="AA152" s="342"/>
      <c r="AB152" s="342"/>
      <c r="AC152" s="339"/>
      <c r="AD152" s="320"/>
      <c r="AE152" s="320"/>
      <c r="AF152" s="320"/>
      <c r="AG152" s="320"/>
      <c r="AH152" s="320"/>
      <c r="AI152" s="320"/>
      <c r="AJ152" s="320"/>
      <c r="AK152" s="320"/>
      <c r="AL152" s="320"/>
      <c r="AM152" s="320"/>
      <c r="AN152" s="320"/>
      <c r="AO152" s="320"/>
      <c r="AP152" s="320"/>
      <c r="AQ152" s="344">
        <v>2</v>
      </c>
      <c r="AR152" s="397" t="s">
        <v>786</v>
      </c>
      <c r="AS152" s="343">
        <v>147</v>
      </c>
      <c r="AT152" s="342"/>
      <c r="AU152" s="342"/>
      <c r="AV152" s="342"/>
      <c r="AW152" s="342"/>
      <c r="AX152" s="342"/>
      <c r="AY152" s="342"/>
      <c r="AZ152" s="363"/>
      <c r="BA152" s="342"/>
      <c r="BB152" s="342"/>
      <c r="BC152" s="339"/>
      <c r="BD152" s="320"/>
      <c r="BE152" s="320"/>
      <c r="BF152" s="320"/>
      <c r="BG152" s="320"/>
      <c r="BH152" s="320"/>
      <c r="BI152" s="320"/>
      <c r="BJ152" s="320"/>
      <c r="BK152" s="320"/>
      <c r="BL152" s="320"/>
      <c r="BM152" s="320"/>
    </row>
    <row r="153" spans="2:65">
      <c r="B153" s="345">
        <v>2</v>
      </c>
      <c r="C153" s="397" t="s">
        <v>787</v>
      </c>
      <c r="D153" s="343">
        <v>148</v>
      </c>
      <c r="E153" s="342"/>
      <c r="F153" s="342"/>
      <c r="G153" s="342"/>
      <c r="H153" s="342"/>
      <c r="I153" s="342"/>
      <c r="J153" s="342"/>
      <c r="K153" s="341"/>
      <c r="L153" s="340"/>
      <c r="M153" s="339"/>
      <c r="N153" s="320"/>
      <c r="O153" s="320"/>
      <c r="P153" s="320"/>
      <c r="Q153" s="320"/>
      <c r="R153" s="320"/>
      <c r="S153" s="320"/>
      <c r="T153" s="344">
        <v>2</v>
      </c>
      <c r="U153" s="397" t="s">
        <v>787</v>
      </c>
      <c r="V153" s="343">
        <v>148</v>
      </c>
      <c r="W153" s="342"/>
      <c r="X153" s="342"/>
      <c r="Y153" s="342"/>
      <c r="Z153" s="342"/>
      <c r="AA153" s="342"/>
      <c r="AB153" s="342"/>
      <c r="AC153" s="339"/>
      <c r="AD153" s="320"/>
      <c r="AE153" s="320"/>
      <c r="AF153" s="320"/>
      <c r="AG153" s="320"/>
      <c r="AH153" s="320"/>
      <c r="AI153" s="320"/>
      <c r="AJ153" s="320"/>
      <c r="AK153" s="320"/>
      <c r="AL153" s="320"/>
      <c r="AM153" s="320"/>
      <c r="AN153" s="320"/>
      <c r="AO153" s="320"/>
      <c r="AP153" s="320"/>
      <c r="AQ153" s="344">
        <v>2</v>
      </c>
      <c r="AR153" s="397" t="s">
        <v>787</v>
      </c>
      <c r="AS153" s="343">
        <v>148</v>
      </c>
      <c r="AT153" s="342"/>
      <c r="AU153" s="342"/>
      <c r="AV153" s="342"/>
      <c r="AW153" s="342"/>
      <c r="AX153" s="342"/>
      <c r="AY153" s="342"/>
      <c r="AZ153" s="363"/>
      <c r="BA153" s="342"/>
      <c r="BB153" s="342"/>
      <c r="BC153" s="339"/>
      <c r="BD153" s="320"/>
      <c r="BE153" s="320"/>
      <c r="BF153" s="320"/>
      <c r="BG153" s="320"/>
      <c r="BH153" s="320"/>
      <c r="BI153" s="320"/>
      <c r="BJ153" s="320"/>
      <c r="BK153" s="320"/>
      <c r="BL153" s="320"/>
      <c r="BM153" s="320"/>
    </row>
    <row r="154" spans="2:65">
      <c r="B154" s="345">
        <v>2</v>
      </c>
      <c r="C154" s="397" t="s">
        <v>788</v>
      </c>
      <c r="D154" s="343">
        <v>149</v>
      </c>
      <c r="E154" s="342"/>
      <c r="F154" s="342"/>
      <c r="G154" s="342"/>
      <c r="H154" s="342"/>
      <c r="I154" s="342"/>
      <c r="J154" s="342"/>
      <c r="K154" s="341"/>
      <c r="L154" s="340"/>
      <c r="M154" s="339"/>
      <c r="N154" s="320"/>
      <c r="O154" s="320"/>
      <c r="P154" s="320"/>
      <c r="Q154" s="320"/>
      <c r="R154" s="320"/>
      <c r="S154" s="320"/>
      <c r="T154" s="344">
        <v>2</v>
      </c>
      <c r="U154" s="397" t="s">
        <v>788</v>
      </c>
      <c r="V154" s="343">
        <v>149</v>
      </c>
      <c r="W154" s="342"/>
      <c r="X154" s="342"/>
      <c r="Y154" s="342"/>
      <c r="Z154" s="342"/>
      <c r="AA154" s="342"/>
      <c r="AB154" s="342"/>
      <c r="AC154" s="339"/>
      <c r="AD154" s="320"/>
      <c r="AE154" s="320"/>
      <c r="AF154" s="320"/>
      <c r="AG154" s="320"/>
      <c r="AH154" s="320"/>
      <c r="AI154" s="320"/>
      <c r="AJ154" s="320"/>
      <c r="AK154" s="320"/>
      <c r="AL154" s="320"/>
      <c r="AM154" s="320"/>
      <c r="AN154" s="320"/>
      <c r="AO154" s="320"/>
      <c r="AP154" s="320"/>
      <c r="AQ154" s="344">
        <v>2</v>
      </c>
      <c r="AR154" s="397" t="s">
        <v>788</v>
      </c>
      <c r="AS154" s="343">
        <v>149</v>
      </c>
      <c r="AT154" s="342"/>
      <c r="AU154" s="342"/>
      <c r="AV154" s="342"/>
      <c r="AW154" s="342"/>
      <c r="AX154" s="342"/>
      <c r="AY154" s="342"/>
      <c r="AZ154" s="363"/>
      <c r="BA154" s="342"/>
      <c r="BB154" s="342"/>
      <c r="BC154" s="339"/>
      <c r="BD154" s="320"/>
      <c r="BE154" s="320"/>
      <c r="BF154" s="320"/>
      <c r="BG154" s="320"/>
      <c r="BH154" s="320"/>
      <c r="BI154" s="320"/>
      <c r="BJ154" s="320"/>
      <c r="BK154" s="320"/>
      <c r="BL154" s="320"/>
      <c r="BM154" s="320"/>
    </row>
    <row r="155" spans="2:65">
      <c r="B155" s="345">
        <v>2</v>
      </c>
      <c r="C155" s="397" t="s">
        <v>789</v>
      </c>
      <c r="D155" s="343">
        <v>150</v>
      </c>
      <c r="E155" s="342"/>
      <c r="F155" s="342"/>
      <c r="G155" s="342"/>
      <c r="H155" s="342"/>
      <c r="I155" s="342"/>
      <c r="J155" s="342"/>
      <c r="K155" s="341"/>
      <c r="L155" s="340"/>
      <c r="M155" s="339"/>
      <c r="N155" s="320"/>
      <c r="O155" s="320"/>
      <c r="P155" s="320"/>
      <c r="Q155" s="320"/>
      <c r="R155" s="320"/>
      <c r="S155" s="320"/>
      <c r="T155" s="344">
        <v>2</v>
      </c>
      <c r="U155" s="397" t="s">
        <v>789</v>
      </c>
      <c r="V155" s="343">
        <v>150</v>
      </c>
      <c r="W155" s="342"/>
      <c r="X155" s="342"/>
      <c r="Y155" s="342"/>
      <c r="Z155" s="342"/>
      <c r="AA155" s="342"/>
      <c r="AB155" s="342"/>
      <c r="AC155" s="339"/>
      <c r="AD155" s="320"/>
      <c r="AE155" s="320"/>
      <c r="AF155" s="320"/>
      <c r="AG155" s="320"/>
      <c r="AH155" s="320"/>
      <c r="AI155" s="320"/>
      <c r="AJ155" s="320"/>
      <c r="AK155" s="320"/>
      <c r="AL155" s="320"/>
      <c r="AM155" s="320"/>
      <c r="AN155" s="320"/>
      <c r="AO155" s="320"/>
      <c r="AP155" s="320"/>
      <c r="AQ155" s="344">
        <v>2</v>
      </c>
      <c r="AR155" s="397" t="s">
        <v>789</v>
      </c>
      <c r="AS155" s="343">
        <v>150</v>
      </c>
      <c r="AT155" s="342"/>
      <c r="AU155" s="342"/>
      <c r="AV155" s="342"/>
      <c r="AW155" s="342"/>
      <c r="AX155" s="342"/>
      <c r="AY155" s="342"/>
      <c r="AZ155" s="363"/>
      <c r="BA155" s="342"/>
      <c r="BB155" s="342"/>
      <c r="BC155" s="339"/>
      <c r="BD155" s="320"/>
      <c r="BE155" s="320"/>
      <c r="BF155" s="320"/>
      <c r="BG155" s="320"/>
      <c r="BH155" s="320"/>
      <c r="BI155" s="320"/>
      <c r="BJ155" s="320"/>
      <c r="BK155" s="320"/>
      <c r="BL155" s="320"/>
      <c r="BM155" s="320"/>
    </row>
    <row r="156" spans="2:65">
      <c r="B156" s="345">
        <v>2</v>
      </c>
      <c r="C156" s="397" t="s">
        <v>790</v>
      </c>
      <c r="D156" s="343">
        <v>151</v>
      </c>
      <c r="E156" s="342"/>
      <c r="F156" s="342"/>
      <c r="G156" s="342"/>
      <c r="H156" s="342"/>
      <c r="I156" s="342"/>
      <c r="J156" s="342"/>
      <c r="K156" s="341"/>
      <c r="L156" s="340"/>
      <c r="M156" s="339"/>
      <c r="N156" s="320"/>
      <c r="O156" s="320"/>
      <c r="P156" s="320"/>
      <c r="Q156" s="320"/>
      <c r="R156" s="320"/>
      <c r="S156" s="320"/>
      <c r="T156" s="344">
        <v>2</v>
      </c>
      <c r="U156" s="397" t="s">
        <v>790</v>
      </c>
      <c r="V156" s="343">
        <v>151</v>
      </c>
      <c r="W156" s="342"/>
      <c r="X156" s="342"/>
      <c r="Y156" s="342"/>
      <c r="Z156" s="342"/>
      <c r="AA156" s="342"/>
      <c r="AB156" s="342"/>
      <c r="AC156" s="339"/>
      <c r="AD156" s="320"/>
      <c r="AE156" s="320"/>
      <c r="AF156" s="320"/>
      <c r="AG156" s="320"/>
      <c r="AH156" s="320"/>
      <c r="AI156" s="320"/>
      <c r="AJ156" s="320"/>
      <c r="AK156" s="320"/>
      <c r="AL156" s="320"/>
      <c r="AM156" s="320"/>
      <c r="AN156" s="320"/>
      <c r="AO156" s="320"/>
      <c r="AP156" s="320"/>
      <c r="AQ156" s="344">
        <v>2</v>
      </c>
      <c r="AR156" s="397" t="s">
        <v>790</v>
      </c>
      <c r="AS156" s="343">
        <v>151</v>
      </c>
      <c r="AT156" s="342"/>
      <c r="AU156" s="342"/>
      <c r="AV156" s="342"/>
      <c r="AW156" s="342"/>
      <c r="AX156" s="342"/>
      <c r="AY156" s="342"/>
      <c r="AZ156" s="363"/>
      <c r="BA156" s="342"/>
      <c r="BB156" s="342"/>
      <c r="BC156" s="339"/>
      <c r="BD156" s="320"/>
      <c r="BE156" s="320"/>
      <c r="BF156" s="320"/>
      <c r="BG156" s="320"/>
      <c r="BH156" s="320"/>
      <c r="BI156" s="320"/>
      <c r="BJ156" s="320"/>
      <c r="BK156" s="320"/>
      <c r="BL156" s="320"/>
      <c r="BM156" s="320"/>
    </row>
    <row r="157" spans="2:65">
      <c r="B157" s="345">
        <v>2</v>
      </c>
      <c r="C157" s="397" t="s">
        <v>791</v>
      </c>
      <c r="D157" s="343">
        <v>152</v>
      </c>
      <c r="E157" s="342"/>
      <c r="F157" s="342"/>
      <c r="G157" s="342"/>
      <c r="H157" s="342"/>
      <c r="I157" s="342"/>
      <c r="J157" s="342"/>
      <c r="K157" s="341"/>
      <c r="L157" s="340"/>
      <c r="M157" s="339"/>
      <c r="N157" s="320"/>
      <c r="O157" s="320"/>
      <c r="P157" s="320"/>
      <c r="Q157" s="320"/>
      <c r="R157" s="320"/>
      <c r="S157" s="320"/>
      <c r="T157" s="344">
        <v>2</v>
      </c>
      <c r="U157" s="397" t="s">
        <v>791</v>
      </c>
      <c r="V157" s="343">
        <v>152</v>
      </c>
      <c r="W157" s="342"/>
      <c r="X157" s="342"/>
      <c r="Y157" s="342"/>
      <c r="Z157" s="342"/>
      <c r="AA157" s="342"/>
      <c r="AB157" s="342"/>
      <c r="AC157" s="339"/>
      <c r="AD157" s="320"/>
      <c r="AE157" s="320"/>
      <c r="AF157" s="320"/>
      <c r="AG157" s="320"/>
      <c r="AH157" s="320"/>
      <c r="AI157" s="320"/>
      <c r="AJ157" s="320"/>
      <c r="AK157" s="320"/>
      <c r="AL157" s="320"/>
      <c r="AM157" s="320"/>
      <c r="AN157" s="320"/>
      <c r="AO157" s="320"/>
      <c r="AP157" s="320"/>
      <c r="AQ157" s="344">
        <v>2</v>
      </c>
      <c r="AR157" s="397" t="s">
        <v>791</v>
      </c>
      <c r="AS157" s="343">
        <v>152</v>
      </c>
      <c r="AT157" s="342"/>
      <c r="AU157" s="342"/>
      <c r="AV157" s="342"/>
      <c r="AW157" s="342"/>
      <c r="AX157" s="342"/>
      <c r="AY157" s="342"/>
      <c r="AZ157" s="363"/>
      <c r="BA157" s="342"/>
      <c r="BB157" s="342"/>
      <c r="BC157" s="339"/>
      <c r="BD157" s="320"/>
      <c r="BE157" s="320"/>
      <c r="BF157" s="320"/>
      <c r="BG157" s="320"/>
      <c r="BH157" s="320"/>
      <c r="BI157" s="320"/>
      <c r="BJ157" s="320"/>
      <c r="BK157" s="320"/>
      <c r="BL157" s="320"/>
      <c r="BM157" s="320"/>
    </row>
    <row r="158" spans="2:65">
      <c r="B158" s="367">
        <v>2</v>
      </c>
      <c r="C158" s="396" t="s">
        <v>792</v>
      </c>
      <c r="D158" s="365">
        <v>153</v>
      </c>
      <c r="E158" s="364"/>
      <c r="F158" s="364"/>
      <c r="G158" s="364"/>
      <c r="H158" s="364"/>
      <c r="I158" s="364"/>
      <c r="J158" s="364"/>
      <c r="K158" s="337"/>
      <c r="L158" s="336"/>
      <c r="M158" s="335"/>
      <c r="N158" s="320"/>
      <c r="O158" s="320"/>
      <c r="P158" s="320"/>
      <c r="Q158" s="320"/>
      <c r="R158" s="320"/>
      <c r="S158" s="320"/>
      <c r="T158" s="344">
        <v>2</v>
      </c>
      <c r="U158" s="397" t="s">
        <v>792</v>
      </c>
      <c r="V158" s="343">
        <v>153</v>
      </c>
      <c r="W158" s="342"/>
      <c r="X158" s="342"/>
      <c r="Y158" s="342"/>
      <c r="Z158" s="342"/>
      <c r="AA158" s="342"/>
      <c r="AB158" s="342"/>
      <c r="AC158" s="339"/>
      <c r="AD158" s="320"/>
      <c r="AE158" s="320"/>
      <c r="AF158" s="320"/>
      <c r="AG158" s="320"/>
      <c r="AH158" s="320"/>
      <c r="AI158" s="320"/>
      <c r="AJ158" s="320"/>
      <c r="AK158" s="320"/>
      <c r="AL158" s="320"/>
      <c r="AM158" s="320"/>
      <c r="AN158" s="320"/>
      <c r="AO158" s="320"/>
      <c r="AP158" s="320"/>
      <c r="AQ158" s="344">
        <v>2</v>
      </c>
      <c r="AR158" s="397" t="s">
        <v>792</v>
      </c>
      <c r="AS158" s="343">
        <v>153</v>
      </c>
      <c r="AT158" s="342"/>
      <c r="AU158" s="342"/>
      <c r="AV158" s="342"/>
      <c r="AW158" s="342"/>
      <c r="AX158" s="342"/>
      <c r="AY158" s="342"/>
      <c r="AZ158" s="363"/>
      <c r="BA158" s="342"/>
      <c r="BB158" s="342"/>
      <c r="BC158" s="339"/>
      <c r="BD158" s="320"/>
      <c r="BE158" s="320"/>
      <c r="BF158" s="320"/>
      <c r="BG158" s="320"/>
      <c r="BH158" s="320"/>
      <c r="BI158" s="320"/>
      <c r="BJ158" s="320"/>
      <c r="BK158" s="320"/>
      <c r="BL158" s="320"/>
      <c r="BM158" s="320"/>
    </row>
    <row r="159" spans="2:65">
      <c r="B159" s="367">
        <v>2</v>
      </c>
      <c r="C159" s="396" t="s">
        <v>793</v>
      </c>
      <c r="D159" s="365">
        <v>154</v>
      </c>
      <c r="E159" s="364"/>
      <c r="F159" s="364"/>
      <c r="G159" s="364"/>
      <c r="H159" s="364"/>
      <c r="I159" s="364"/>
      <c r="J159" s="364"/>
      <c r="K159" s="337"/>
      <c r="L159" s="336"/>
      <c r="M159" s="335"/>
      <c r="N159" s="320"/>
      <c r="O159" s="320"/>
      <c r="P159" s="320"/>
      <c r="Q159" s="320"/>
      <c r="R159" s="320"/>
      <c r="S159" s="320"/>
      <c r="T159" s="344">
        <v>2</v>
      </c>
      <c r="U159" s="397" t="s">
        <v>793</v>
      </c>
      <c r="V159" s="343">
        <v>154</v>
      </c>
      <c r="W159" s="342"/>
      <c r="X159" s="342"/>
      <c r="Y159" s="342"/>
      <c r="Z159" s="342"/>
      <c r="AA159" s="342"/>
      <c r="AB159" s="342"/>
      <c r="AC159" s="339"/>
      <c r="AD159" s="320"/>
      <c r="AE159" s="320"/>
      <c r="AF159" s="320"/>
      <c r="AG159" s="320"/>
      <c r="AH159" s="320"/>
      <c r="AI159" s="320"/>
      <c r="AJ159" s="320"/>
      <c r="AK159" s="320"/>
      <c r="AL159" s="320"/>
      <c r="AM159" s="320"/>
      <c r="AN159" s="320"/>
      <c r="AO159" s="320"/>
      <c r="AP159" s="320"/>
      <c r="AQ159" s="344">
        <v>2</v>
      </c>
      <c r="AR159" s="397" t="s">
        <v>793</v>
      </c>
      <c r="AS159" s="343">
        <v>154</v>
      </c>
      <c r="AT159" s="342"/>
      <c r="AU159" s="342"/>
      <c r="AV159" s="342"/>
      <c r="AW159" s="342"/>
      <c r="AX159" s="342"/>
      <c r="AY159" s="342"/>
      <c r="AZ159" s="363"/>
      <c r="BA159" s="342"/>
      <c r="BB159" s="342"/>
      <c r="BC159" s="339"/>
      <c r="BD159" s="320"/>
      <c r="BE159" s="320"/>
      <c r="BF159" s="320"/>
      <c r="BG159" s="320"/>
      <c r="BH159" s="320"/>
      <c r="BI159" s="320"/>
      <c r="BJ159" s="320"/>
      <c r="BK159" s="320"/>
      <c r="BL159" s="320"/>
      <c r="BM159" s="320"/>
    </row>
    <row r="160" spans="2:65">
      <c r="B160" s="367">
        <v>2</v>
      </c>
      <c r="C160" s="396" t="s">
        <v>794</v>
      </c>
      <c r="D160" s="365">
        <v>155</v>
      </c>
      <c r="E160" s="364"/>
      <c r="F160" s="364"/>
      <c r="G160" s="364"/>
      <c r="H160" s="364"/>
      <c r="I160" s="364"/>
      <c r="J160" s="364"/>
      <c r="K160" s="337"/>
      <c r="L160" s="336"/>
      <c r="M160" s="335"/>
      <c r="N160" s="320"/>
      <c r="O160" s="320"/>
      <c r="P160" s="320"/>
      <c r="Q160" s="320"/>
      <c r="R160" s="320"/>
      <c r="S160" s="320"/>
      <c r="T160" s="344">
        <v>2</v>
      </c>
      <c r="U160" s="397" t="s">
        <v>794</v>
      </c>
      <c r="V160" s="343">
        <v>155</v>
      </c>
      <c r="W160" s="342"/>
      <c r="X160" s="342"/>
      <c r="Y160" s="342"/>
      <c r="Z160" s="342"/>
      <c r="AA160" s="342"/>
      <c r="AB160" s="342"/>
      <c r="AC160" s="339"/>
      <c r="AD160" s="320"/>
      <c r="AE160" s="320"/>
      <c r="AF160" s="320"/>
      <c r="AG160" s="320"/>
      <c r="AH160" s="320"/>
      <c r="AI160" s="320"/>
      <c r="AJ160" s="320"/>
      <c r="AK160" s="320"/>
      <c r="AL160" s="320"/>
      <c r="AM160" s="320"/>
      <c r="AN160" s="320"/>
      <c r="AO160" s="320"/>
      <c r="AP160" s="320"/>
      <c r="AQ160" s="344">
        <v>2</v>
      </c>
      <c r="AR160" s="397" t="s">
        <v>794</v>
      </c>
      <c r="AS160" s="343">
        <v>155</v>
      </c>
      <c r="AT160" s="342"/>
      <c r="AU160" s="342"/>
      <c r="AV160" s="342"/>
      <c r="AW160" s="342"/>
      <c r="AX160" s="342"/>
      <c r="AY160" s="342"/>
      <c r="AZ160" s="363"/>
      <c r="BA160" s="342"/>
      <c r="BB160" s="342"/>
      <c r="BC160" s="339"/>
      <c r="BD160" s="320"/>
      <c r="BE160" s="320"/>
      <c r="BF160" s="320"/>
      <c r="BG160" s="320"/>
      <c r="BH160" s="320"/>
      <c r="BI160" s="320"/>
      <c r="BJ160" s="320"/>
      <c r="BK160" s="320"/>
      <c r="BL160" s="320"/>
      <c r="BM160" s="320"/>
    </row>
    <row r="161" spans="2:65">
      <c r="B161" s="367">
        <v>2</v>
      </c>
      <c r="C161" s="396" t="s">
        <v>795</v>
      </c>
      <c r="D161" s="365">
        <v>156</v>
      </c>
      <c r="E161" s="364"/>
      <c r="F161" s="364"/>
      <c r="G161" s="364"/>
      <c r="H161" s="364"/>
      <c r="I161" s="364"/>
      <c r="J161" s="364"/>
      <c r="K161" s="337"/>
      <c r="L161" s="336"/>
      <c r="M161" s="335"/>
      <c r="N161" s="320"/>
      <c r="O161" s="320"/>
      <c r="P161" s="320"/>
      <c r="Q161" s="320"/>
      <c r="R161" s="320"/>
      <c r="S161" s="320"/>
      <c r="T161" s="344">
        <v>2</v>
      </c>
      <c r="U161" s="397" t="s">
        <v>795</v>
      </c>
      <c r="V161" s="343">
        <v>156</v>
      </c>
      <c r="W161" s="342"/>
      <c r="X161" s="342"/>
      <c r="Y161" s="342"/>
      <c r="Z161" s="342"/>
      <c r="AA161" s="342"/>
      <c r="AB161" s="342"/>
      <c r="AC161" s="339"/>
      <c r="AD161" s="320"/>
      <c r="AE161" s="320"/>
      <c r="AF161" s="320"/>
      <c r="AG161" s="320"/>
      <c r="AH161" s="320"/>
      <c r="AI161" s="320"/>
      <c r="AJ161" s="320"/>
      <c r="AK161" s="320"/>
      <c r="AL161" s="320"/>
      <c r="AM161" s="320"/>
      <c r="AN161" s="320"/>
      <c r="AO161" s="320"/>
      <c r="AP161" s="320"/>
      <c r="AQ161" s="344">
        <v>2</v>
      </c>
      <c r="AR161" s="397" t="s">
        <v>795</v>
      </c>
      <c r="AS161" s="343">
        <v>156</v>
      </c>
      <c r="AT161" s="342"/>
      <c r="AU161" s="342"/>
      <c r="AV161" s="342"/>
      <c r="AW161" s="342"/>
      <c r="AX161" s="342"/>
      <c r="AY161" s="342"/>
      <c r="AZ161" s="363"/>
      <c r="BA161" s="342"/>
      <c r="BB161" s="342"/>
      <c r="BC161" s="339"/>
      <c r="BD161" s="320"/>
      <c r="BE161" s="320"/>
      <c r="BF161" s="320"/>
      <c r="BG161" s="320"/>
      <c r="BH161" s="320"/>
      <c r="BI161" s="320"/>
      <c r="BJ161" s="320"/>
      <c r="BK161" s="320"/>
      <c r="BL161" s="320"/>
      <c r="BM161" s="320"/>
    </row>
    <row r="162" spans="2:65">
      <c r="B162" s="367">
        <v>2</v>
      </c>
      <c r="C162" s="396" t="s">
        <v>796</v>
      </c>
      <c r="D162" s="365">
        <v>157</v>
      </c>
      <c r="E162" s="364"/>
      <c r="F162" s="364"/>
      <c r="G162" s="364"/>
      <c r="H162" s="364"/>
      <c r="I162" s="364"/>
      <c r="J162" s="364"/>
      <c r="K162" s="337"/>
      <c r="L162" s="336"/>
      <c r="M162" s="335"/>
      <c r="N162" s="320"/>
      <c r="O162" s="320"/>
      <c r="P162" s="320"/>
      <c r="Q162" s="320"/>
      <c r="R162" s="320"/>
      <c r="S162" s="320"/>
      <c r="T162" s="344">
        <v>2</v>
      </c>
      <c r="U162" s="397" t="s">
        <v>796</v>
      </c>
      <c r="V162" s="343">
        <v>157</v>
      </c>
      <c r="W162" s="342"/>
      <c r="X162" s="342"/>
      <c r="Y162" s="342"/>
      <c r="Z162" s="342"/>
      <c r="AA162" s="342"/>
      <c r="AB162" s="342"/>
      <c r="AC162" s="339"/>
      <c r="AD162" s="320"/>
      <c r="AE162" s="320"/>
      <c r="AF162" s="320"/>
      <c r="AG162" s="320"/>
      <c r="AH162" s="320"/>
      <c r="AI162" s="320"/>
      <c r="AJ162" s="320"/>
      <c r="AK162" s="320"/>
      <c r="AL162" s="320"/>
      <c r="AM162" s="320"/>
      <c r="AN162" s="320"/>
      <c r="AO162" s="320"/>
      <c r="AP162" s="320"/>
      <c r="AQ162" s="344">
        <v>2</v>
      </c>
      <c r="AR162" s="397" t="s">
        <v>796</v>
      </c>
      <c r="AS162" s="343">
        <v>157</v>
      </c>
      <c r="AT162" s="342"/>
      <c r="AU162" s="342"/>
      <c r="AV162" s="342"/>
      <c r="AW162" s="342"/>
      <c r="AX162" s="342"/>
      <c r="AY162" s="342"/>
      <c r="AZ162" s="363"/>
      <c r="BA162" s="342"/>
      <c r="BB162" s="342"/>
      <c r="BC162" s="339"/>
      <c r="BD162" s="320"/>
      <c r="BE162" s="320"/>
      <c r="BF162" s="320"/>
      <c r="BG162" s="320"/>
      <c r="BH162" s="320"/>
      <c r="BI162" s="320"/>
      <c r="BJ162" s="320"/>
      <c r="BK162" s="320"/>
      <c r="BL162" s="320"/>
      <c r="BM162" s="320"/>
    </row>
    <row r="163" spans="2:65">
      <c r="B163" s="367">
        <v>2</v>
      </c>
      <c r="C163" s="396" t="s">
        <v>797</v>
      </c>
      <c r="D163" s="365">
        <v>158</v>
      </c>
      <c r="E163" s="364"/>
      <c r="F163" s="364"/>
      <c r="G163" s="364"/>
      <c r="H163" s="364"/>
      <c r="I163" s="364"/>
      <c r="J163" s="364"/>
      <c r="K163" s="337"/>
      <c r="L163" s="336"/>
      <c r="M163" s="335"/>
      <c r="N163" s="320"/>
      <c r="O163" s="320"/>
      <c r="P163" s="320"/>
      <c r="Q163" s="320"/>
      <c r="R163" s="320"/>
      <c r="S163" s="320"/>
      <c r="T163" s="344">
        <v>2</v>
      </c>
      <c r="U163" s="397" t="s">
        <v>797</v>
      </c>
      <c r="V163" s="343">
        <v>158</v>
      </c>
      <c r="W163" s="342"/>
      <c r="X163" s="342"/>
      <c r="Y163" s="342"/>
      <c r="Z163" s="342"/>
      <c r="AA163" s="342"/>
      <c r="AB163" s="342"/>
      <c r="AC163" s="339"/>
      <c r="AD163" s="320"/>
      <c r="AE163" s="320"/>
      <c r="AF163" s="320"/>
      <c r="AG163" s="320"/>
      <c r="AH163" s="320"/>
      <c r="AI163" s="320"/>
      <c r="AJ163" s="320"/>
      <c r="AK163" s="320"/>
      <c r="AL163" s="320"/>
      <c r="AM163" s="320"/>
      <c r="AN163" s="320"/>
      <c r="AO163" s="320"/>
      <c r="AP163" s="320"/>
      <c r="AQ163" s="344">
        <v>2</v>
      </c>
      <c r="AR163" s="397" t="s">
        <v>797</v>
      </c>
      <c r="AS163" s="343">
        <v>158</v>
      </c>
      <c r="AT163" s="342"/>
      <c r="AU163" s="342"/>
      <c r="AV163" s="342"/>
      <c r="AW163" s="342"/>
      <c r="AX163" s="342"/>
      <c r="AY163" s="342"/>
      <c r="AZ163" s="363"/>
      <c r="BA163" s="342"/>
      <c r="BB163" s="342"/>
      <c r="BC163" s="339"/>
      <c r="BD163" s="320"/>
      <c r="BE163" s="320"/>
      <c r="BF163" s="320"/>
      <c r="BG163" s="320"/>
      <c r="BH163" s="320"/>
      <c r="BI163" s="320"/>
      <c r="BJ163" s="320"/>
      <c r="BK163" s="320"/>
      <c r="BL163" s="320"/>
      <c r="BM163" s="320"/>
    </row>
    <row r="164" spans="2:65">
      <c r="B164" s="367">
        <v>2</v>
      </c>
      <c r="C164" s="396" t="s">
        <v>798</v>
      </c>
      <c r="D164" s="365">
        <v>159</v>
      </c>
      <c r="E164" s="364"/>
      <c r="F164" s="364"/>
      <c r="G164" s="364"/>
      <c r="H164" s="364"/>
      <c r="I164" s="364"/>
      <c r="J164" s="364"/>
      <c r="K164" s="337"/>
      <c r="L164" s="336"/>
      <c r="M164" s="335"/>
      <c r="N164" s="320"/>
      <c r="O164" s="320"/>
      <c r="P164" s="320"/>
      <c r="Q164" s="320"/>
      <c r="R164" s="320"/>
      <c r="S164" s="320"/>
      <c r="T164" s="344">
        <v>2</v>
      </c>
      <c r="U164" s="397" t="s">
        <v>798</v>
      </c>
      <c r="V164" s="343">
        <v>159</v>
      </c>
      <c r="W164" s="342"/>
      <c r="X164" s="342"/>
      <c r="Y164" s="342"/>
      <c r="Z164" s="342"/>
      <c r="AA164" s="342"/>
      <c r="AB164" s="342"/>
      <c r="AC164" s="339"/>
      <c r="AD164" s="320"/>
      <c r="AE164" s="320"/>
      <c r="AF164" s="320"/>
      <c r="AG164" s="320"/>
      <c r="AH164" s="320"/>
      <c r="AI164" s="320"/>
      <c r="AJ164" s="320"/>
      <c r="AK164" s="320"/>
      <c r="AL164" s="320"/>
      <c r="AM164" s="320"/>
      <c r="AN164" s="320"/>
      <c r="AO164" s="320"/>
      <c r="AP164" s="320"/>
      <c r="AQ164" s="344">
        <v>2</v>
      </c>
      <c r="AR164" s="397" t="s">
        <v>798</v>
      </c>
      <c r="AS164" s="343">
        <v>159</v>
      </c>
      <c r="AT164" s="342"/>
      <c r="AU164" s="342"/>
      <c r="AV164" s="342"/>
      <c r="AW164" s="342"/>
      <c r="AX164" s="342"/>
      <c r="AY164" s="342"/>
      <c r="AZ164" s="363"/>
      <c r="BA164" s="342"/>
      <c r="BB164" s="342"/>
      <c r="BC164" s="339"/>
      <c r="BD164" s="320"/>
      <c r="BE164" s="320"/>
      <c r="BF164" s="320"/>
      <c r="BG164" s="320"/>
      <c r="BH164" s="320"/>
      <c r="BI164" s="320"/>
      <c r="BJ164" s="320"/>
      <c r="BK164" s="320"/>
      <c r="BL164" s="320"/>
      <c r="BM164" s="320"/>
    </row>
    <row r="165" spans="2:65">
      <c r="B165" s="367">
        <v>2</v>
      </c>
      <c r="C165" s="396" t="s">
        <v>799</v>
      </c>
      <c r="D165" s="365">
        <v>160</v>
      </c>
      <c r="E165" s="364"/>
      <c r="F165" s="364"/>
      <c r="G165" s="364"/>
      <c r="H165" s="364"/>
      <c r="I165" s="364"/>
      <c r="J165" s="364"/>
      <c r="K165" s="337"/>
      <c r="L165" s="336"/>
      <c r="M165" s="335"/>
      <c r="N165" s="320"/>
      <c r="O165" s="320"/>
      <c r="P165" s="320"/>
      <c r="Q165" s="320"/>
      <c r="R165" s="320"/>
      <c r="S165" s="320"/>
      <c r="T165" s="344">
        <v>2</v>
      </c>
      <c r="U165" s="397" t="s">
        <v>799</v>
      </c>
      <c r="V165" s="343">
        <v>160</v>
      </c>
      <c r="W165" s="342"/>
      <c r="X165" s="342"/>
      <c r="Y165" s="342"/>
      <c r="Z165" s="342"/>
      <c r="AA165" s="342"/>
      <c r="AB165" s="342"/>
      <c r="AC165" s="339"/>
      <c r="AD165" s="320"/>
      <c r="AE165" s="320"/>
      <c r="AF165" s="320"/>
      <c r="AG165" s="320"/>
      <c r="AH165" s="320"/>
      <c r="AI165" s="320"/>
      <c r="AJ165" s="320"/>
      <c r="AK165" s="320"/>
      <c r="AL165" s="320"/>
      <c r="AM165" s="320"/>
      <c r="AN165" s="320"/>
      <c r="AO165" s="320"/>
      <c r="AP165" s="320"/>
      <c r="AQ165" s="344">
        <v>2</v>
      </c>
      <c r="AR165" s="397" t="s">
        <v>799</v>
      </c>
      <c r="AS165" s="343">
        <v>160</v>
      </c>
      <c r="AT165" s="342"/>
      <c r="AU165" s="342"/>
      <c r="AV165" s="342"/>
      <c r="AW165" s="342"/>
      <c r="AX165" s="342"/>
      <c r="AY165" s="342"/>
      <c r="AZ165" s="363"/>
      <c r="BA165" s="342"/>
      <c r="BB165" s="342"/>
      <c r="BC165" s="339"/>
      <c r="BD165" s="320"/>
      <c r="BE165" s="320"/>
      <c r="BF165" s="320"/>
      <c r="BG165" s="320"/>
      <c r="BH165" s="320"/>
      <c r="BI165" s="320"/>
      <c r="BJ165" s="320"/>
      <c r="BK165" s="320"/>
      <c r="BL165" s="320"/>
      <c r="BM165" s="320"/>
    </row>
    <row r="166" spans="2:65">
      <c r="B166" s="345">
        <v>2</v>
      </c>
      <c r="C166" s="397" t="s">
        <v>800</v>
      </c>
      <c r="D166" s="343">
        <v>161</v>
      </c>
      <c r="E166" s="342"/>
      <c r="F166" s="342"/>
      <c r="G166" s="342"/>
      <c r="H166" s="342"/>
      <c r="I166" s="342"/>
      <c r="J166" s="342"/>
      <c r="K166" s="341"/>
      <c r="L166" s="340"/>
      <c r="M166" s="339"/>
      <c r="N166" s="320"/>
      <c r="O166" s="320"/>
      <c r="P166" s="320"/>
      <c r="Q166" s="320"/>
      <c r="R166" s="320"/>
      <c r="S166" s="320"/>
      <c r="T166" s="344">
        <v>2</v>
      </c>
      <c r="U166" s="397" t="s">
        <v>800</v>
      </c>
      <c r="V166" s="343">
        <v>161</v>
      </c>
      <c r="W166" s="342"/>
      <c r="X166" s="342"/>
      <c r="Y166" s="342"/>
      <c r="Z166" s="342"/>
      <c r="AA166" s="342"/>
      <c r="AB166" s="342"/>
      <c r="AC166" s="339"/>
      <c r="AD166" s="320"/>
      <c r="AE166" s="320"/>
      <c r="AF166" s="320"/>
      <c r="AG166" s="320"/>
      <c r="AH166" s="320"/>
      <c r="AI166" s="320"/>
      <c r="AJ166" s="320"/>
      <c r="AK166" s="320"/>
      <c r="AL166" s="320"/>
      <c r="AM166" s="320"/>
      <c r="AN166" s="320"/>
      <c r="AO166" s="320"/>
      <c r="AP166" s="320"/>
      <c r="AQ166" s="344">
        <v>2</v>
      </c>
      <c r="AR166" s="397" t="s">
        <v>800</v>
      </c>
      <c r="AS166" s="343">
        <v>161</v>
      </c>
      <c r="AT166" s="342"/>
      <c r="AU166" s="342"/>
      <c r="AV166" s="342"/>
      <c r="AW166" s="342"/>
      <c r="AX166" s="342"/>
      <c r="AY166" s="342"/>
      <c r="AZ166" s="363"/>
      <c r="BA166" s="342"/>
      <c r="BB166" s="342"/>
      <c r="BC166" s="339"/>
      <c r="BD166" s="320"/>
      <c r="BE166" s="320"/>
      <c r="BF166" s="320"/>
      <c r="BG166" s="320"/>
      <c r="BH166" s="320"/>
      <c r="BI166" s="320"/>
      <c r="BJ166" s="320"/>
      <c r="BK166" s="320"/>
      <c r="BL166" s="320"/>
      <c r="BM166" s="320"/>
    </row>
    <row r="167" spans="2:65">
      <c r="B167" s="345">
        <v>2</v>
      </c>
      <c r="C167" s="397" t="s">
        <v>801</v>
      </c>
      <c r="D167" s="343">
        <v>162</v>
      </c>
      <c r="E167" s="342"/>
      <c r="F167" s="342"/>
      <c r="G167" s="342"/>
      <c r="H167" s="342"/>
      <c r="I167" s="342"/>
      <c r="J167" s="342"/>
      <c r="K167" s="341"/>
      <c r="L167" s="340"/>
      <c r="M167" s="339"/>
      <c r="N167" s="320"/>
      <c r="O167" s="320"/>
      <c r="P167" s="320"/>
      <c r="Q167" s="320"/>
      <c r="R167" s="320"/>
      <c r="S167" s="320"/>
      <c r="T167" s="344">
        <v>2</v>
      </c>
      <c r="U167" s="397" t="s">
        <v>801</v>
      </c>
      <c r="V167" s="343">
        <v>162</v>
      </c>
      <c r="W167" s="342"/>
      <c r="X167" s="342"/>
      <c r="Y167" s="342"/>
      <c r="Z167" s="342"/>
      <c r="AA167" s="342"/>
      <c r="AB167" s="342"/>
      <c r="AC167" s="339"/>
      <c r="AD167" s="320"/>
      <c r="AE167" s="320"/>
      <c r="AF167" s="320"/>
      <c r="AG167" s="320"/>
      <c r="AH167" s="320"/>
      <c r="AI167" s="320"/>
      <c r="AJ167" s="320"/>
      <c r="AK167" s="320"/>
      <c r="AL167" s="320"/>
      <c r="AM167" s="320"/>
      <c r="AN167" s="320"/>
      <c r="AO167" s="320"/>
      <c r="AP167" s="320"/>
      <c r="AQ167" s="344">
        <v>2</v>
      </c>
      <c r="AR167" s="397" t="s">
        <v>801</v>
      </c>
      <c r="AS167" s="343">
        <v>162</v>
      </c>
      <c r="AT167" s="342"/>
      <c r="AU167" s="342"/>
      <c r="AV167" s="342"/>
      <c r="AW167" s="342"/>
      <c r="AX167" s="342"/>
      <c r="AY167" s="342"/>
      <c r="AZ167" s="363"/>
      <c r="BA167" s="342"/>
      <c r="BB167" s="342"/>
      <c r="BC167" s="339"/>
      <c r="BD167" s="320"/>
      <c r="BE167" s="320"/>
      <c r="BF167" s="320"/>
      <c r="BG167" s="320"/>
      <c r="BH167" s="320"/>
      <c r="BI167" s="320"/>
      <c r="BJ167" s="320"/>
      <c r="BK167" s="320"/>
      <c r="BL167" s="320"/>
      <c r="BM167" s="320"/>
    </row>
    <row r="168" spans="2:65">
      <c r="B168" s="345">
        <v>2</v>
      </c>
      <c r="C168" s="397" t="s">
        <v>802</v>
      </c>
      <c r="D168" s="343">
        <v>163</v>
      </c>
      <c r="E168" s="342"/>
      <c r="F168" s="342"/>
      <c r="G168" s="342"/>
      <c r="H168" s="342"/>
      <c r="I168" s="342"/>
      <c r="J168" s="342"/>
      <c r="K168" s="341"/>
      <c r="L168" s="340"/>
      <c r="M168" s="339"/>
      <c r="N168" s="320"/>
      <c r="O168" s="320"/>
      <c r="P168" s="320"/>
      <c r="Q168" s="320"/>
      <c r="R168" s="320"/>
      <c r="S168" s="320"/>
      <c r="T168" s="344">
        <v>2</v>
      </c>
      <c r="U168" s="397" t="s">
        <v>802</v>
      </c>
      <c r="V168" s="343">
        <v>163</v>
      </c>
      <c r="W168" s="342"/>
      <c r="X168" s="342"/>
      <c r="Y168" s="342"/>
      <c r="Z168" s="342"/>
      <c r="AA168" s="342"/>
      <c r="AB168" s="342"/>
      <c r="AC168" s="339"/>
      <c r="AD168" s="320"/>
      <c r="AE168" s="320"/>
      <c r="AF168" s="320"/>
      <c r="AG168" s="320"/>
      <c r="AH168" s="320"/>
      <c r="AI168" s="320"/>
      <c r="AJ168" s="320"/>
      <c r="AK168" s="320"/>
      <c r="AL168" s="320"/>
      <c r="AM168" s="320"/>
      <c r="AN168" s="320"/>
      <c r="AO168" s="320"/>
      <c r="AP168" s="320"/>
      <c r="AQ168" s="344">
        <v>2</v>
      </c>
      <c r="AR168" s="397" t="s">
        <v>802</v>
      </c>
      <c r="AS168" s="343">
        <v>163</v>
      </c>
      <c r="AT168" s="342"/>
      <c r="AU168" s="342"/>
      <c r="AV168" s="342"/>
      <c r="AW168" s="342"/>
      <c r="AX168" s="342"/>
      <c r="AY168" s="342"/>
      <c r="AZ168" s="363"/>
      <c r="BA168" s="342"/>
      <c r="BB168" s="342"/>
      <c r="BC168" s="339"/>
      <c r="BD168" s="320"/>
      <c r="BE168" s="320"/>
      <c r="BF168" s="320"/>
      <c r="BG168" s="320"/>
      <c r="BH168" s="320"/>
      <c r="BI168" s="320"/>
      <c r="BJ168" s="320"/>
      <c r="BK168" s="320"/>
      <c r="BL168" s="320"/>
      <c r="BM168" s="320"/>
    </row>
    <row r="169" spans="2:65">
      <c r="B169" s="345">
        <v>2</v>
      </c>
      <c r="C169" s="397" t="s">
        <v>803</v>
      </c>
      <c r="D169" s="343">
        <v>164</v>
      </c>
      <c r="E169" s="342"/>
      <c r="F169" s="342"/>
      <c r="G169" s="342"/>
      <c r="H169" s="342"/>
      <c r="I169" s="342"/>
      <c r="J169" s="342"/>
      <c r="K169" s="341"/>
      <c r="L169" s="340"/>
      <c r="M169" s="339"/>
      <c r="N169" s="320"/>
      <c r="O169" s="320"/>
      <c r="P169" s="320"/>
      <c r="Q169" s="320"/>
      <c r="R169" s="320"/>
      <c r="S169" s="320"/>
      <c r="T169" s="344">
        <v>2</v>
      </c>
      <c r="U169" s="397" t="s">
        <v>803</v>
      </c>
      <c r="V169" s="343">
        <v>164</v>
      </c>
      <c r="W169" s="342"/>
      <c r="X169" s="342"/>
      <c r="Y169" s="342"/>
      <c r="Z169" s="342"/>
      <c r="AA169" s="342"/>
      <c r="AB169" s="342"/>
      <c r="AC169" s="339"/>
      <c r="AD169" s="320"/>
      <c r="AE169" s="320"/>
      <c r="AF169" s="320"/>
      <c r="AG169" s="320"/>
      <c r="AH169" s="320"/>
      <c r="AI169" s="320"/>
      <c r="AJ169" s="320"/>
      <c r="AK169" s="320"/>
      <c r="AL169" s="320"/>
      <c r="AM169" s="320"/>
      <c r="AN169" s="320"/>
      <c r="AO169" s="320"/>
      <c r="AP169" s="320"/>
      <c r="AQ169" s="344">
        <v>2</v>
      </c>
      <c r="AR169" s="397" t="s">
        <v>803</v>
      </c>
      <c r="AS169" s="343">
        <v>164</v>
      </c>
      <c r="AT169" s="342"/>
      <c r="AU169" s="342"/>
      <c r="AV169" s="342"/>
      <c r="AW169" s="342"/>
      <c r="AX169" s="342"/>
      <c r="AY169" s="342"/>
      <c r="AZ169" s="363"/>
      <c r="BA169" s="342"/>
      <c r="BB169" s="342"/>
      <c r="BC169" s="339"/>
      <c r="BD169" s="320"/>
      <c r="BE169" s="320"/>
      <c r="BF169" s="320"/>
      <c r="BG169" s="320"/>
      <c r="BH169" s="320"/>
      <c r="BI169" s="320"/>
      <c r="BJ169" s="320"/>
      <c r="BK169" s="320"/>
      <c r="BL169" s="320"/>
      <c r="BM169" s="320"/>
    </row>
    <row r="170" spans="2:65">
      <c r="B170" s="345">
        <v>2</v>
      </c>
      <c r="C170" s="397" t="s">
        <v>804</v>
      </c>
      <c r="D170" s="343">
        <v>165</v>
      </c>
      <c r="E170" s="342"/>
      <c r="F170" s="342"/>
      <c r="G170" s="342"/>
      <c r="H170" s="342"/>
      <c r="I170" s="342"/>
      <c r="J170" s="342"/>
      <c r="K170" s="341"/>
      <c r="L170" s="340"/>
      <c r="M170" s="339"/>
      <c r="N170" s="320"/>
      <c r="O170" s="320"/>
      <c r="P170" s="320"/>
      <c r="Q170" s="320"/>
      <c r="R170" s="320"/>
      <c r="S170" s="320"/>
      <c r="T170" s="344">
        <v>2</v>
      </c>
      <c r="U170" s="397" t="s">
        <v>804</v>
      </c>
      <c r="V170" s="343">
        <v>165</v>
      </c>
      <c r="W170" s="342"/>
      <c r="X170" s="342"/>
      <c r="Y170" s="342"/>
      <c r="Z170" s="342"/>
      <c r="AA170" s="342"/>
      <c r="AB170" s="342"/>
      <c r="AC170" s="339"/>
      <c r="AD170" s="320"/>
      <c r="AE170" s="320"/>
      <c r="AF170" s="320"/>
      <c r="AG170" s="320"/>
      <c r="AH170" s="320"/>
      <c r="AI170" s="320"/>
      <c r="AJ170" s="320"/>
      <c r="AK170" s="320"/>
      <c r="AL170" s="320"/>
      <c r="AM170" s="320"/>
      <c r="AN170" s="320"/>
      <c r="AO170" s="320"/>
      <c r="AP170" s="320"/>
      <c r="AQ170" s="344">
        <v>2</v>
      </c>
      <c r="AR170" s="397" t="s">
        <v>804</v>
      </c>
      <c r="AS170" s="343">
        <v>165</v>
      </c>
      <c r="AT170" s="342"/>
      <c r="AU170" s="342"/>
      <c r="AV170" s="342"/>
      <c r="AW170" s="342"/>
      <c r="AX170" s="342"/>
      <c r="AY170" s="342"/>
      <c r="AZ170" s="363"/>
      <c r="BA170" s="342"/>
      <c r="BB170" s="342"/>
      <c r="BC170" s="339"/>
      <c r="BD170" s="320"/>
      <c r="BE170" s="320"/>
      <c r="BF170" s="320"/>
      <c r="BG170" s="320"/>
      <c r="BH170" s="320"/>
      <c r="BI170" s="320"/>
      <c r="BJ170" s="320"/>
      <c r="BK170" s="320"/>
      <c r="BL170" s="320"/>
      <c r="BM170" s="320"/>
    </row>
    <row r="171" spans="2:65">
      <c r="B171" s="345">
        <v>2</v>
      </c>
      <c r="C171" s="397" t="s">
        <v>805</v>
      </c>
      <c r="D171" s="343">
        <v>166</v>
      </c>
      <c r="E171" s="342"/>
      <c r="F171" s="342"/>
      <c r="G171" s="342"/>
      <c r="H171" s="342"/>
      <c r="I171" s="342"/>
      <c r="J171" s="342"/>
      <c r="K171" s="341"/>
      <c r="L171" s="340"/>
      <c r="M171" s="339"/>
      <c r="N171" s="320"/>
      <c r="O171" s="320"/>
      <c r="P171" s="320"/>
      <c r="Q171" s="320"/>
      <c r="R171" s="320"/>
      <c r="S171" s="320"/>
      <c r="T171" s="344">
        <v>2</v>
      </c>
      <c r="U171" s="397" t="s">
        <v>805</v>
      </c>
      <c r="V171" s="343">
        <v>166</v>
      </c>
      <c r="W171" s="342"/>
      <c r="X171" s="342"/>
      <c r="Y171" s="342"/>
      <c r="Z171" s="342"/>
      <c r="AA171" s="342"/>
      <c r="AB171" s="342"/>
      <c r="AC171" s="339"/>
      <c r="AD171" s="320"/>
      <c r="AE171" s="320"/>
      <c r="AF171" s="320"/>
      <c r="AG171" s="320"/>
      <c r="AH171" s="320"/>
      <c r="AI171" s="320"/>
      <c r="AJ171" s="320"/>
      <c r="AK171" s="320"/>
      <c r="AL171" s="320"/>
      <c r="AM171" s="320"/>
      <c r="AN171" s="320"/>
      <c r="AO171" s="320"/>
      <c r="AP171" s="320"/>
      <c r="AQ171" s="344">
        <v>2</v>
      </c>
      <c r="AR171" s="397" t="s">
        <v>805</v>
      </c>
      <c r="AS171" s="343">
        <v>166</v>
      </c>
      <c r="AT171" s="342"/>
      <c r="AU171" s="342"/>
      <c r="AV171" s="342"/>
      <c r="AW171" s="342"/>
      <c r="AX171" s="342"/>
      <c r="AY171" s="342"/>
      <c r="AZ171" s="363"/>
      <c r="BA171" s="342"/>
      <c r="BB171" s="342"/>
      <c r="BC171" s="339"/>
      <c r="BD171" s="320"/>
      <c r="BE171" s="320"/>
      <c r="BF171" s="320"/>
      <c r="BG171" s="320"/>
      <c r="BH171" s="320"/>
      <c r="BI171" s="320"/>
      <c r="BJ171" s="320"/>
      <c r="BK171" s="320"/>
      <c r="BL171" s="320"/>
      <c r="BM171" s="320"/>
    </row>
    <row r="172" spans="2:65">
      <c r="B172" s="345">
        <v>2</v>
      </c>
      <c r="C172" s="397" t="s">
        <v>806</v>
      </c>
      <c r="D172" s="343">
        <v>167</v>
      </c>
      <c r="E172" s="342"/>
      <c r="F172" s="342"/>
      <c r="G172" s="342"/>
      <c r="H172" s="342"/>
      <c r="I172" s="342"/>
      <c r="J172" s="342"/>
      <c r="K172" s="341"/>
      <c r="L172" s="340"/>
      <c r="M172" s="339"/>
      <c r="N172" s="320"/>
      <c r="O172" s="320"/>
      <c r="P172" s="320"/>
      <c r="Q172" s="320"/>
      <c r="R172" s="320"/>
      <c r="S172" s="320"/>
      <c r="T172" s="344">
        <v>2</v>
      </c>
      <c r="U172" s="397" t="s">
        <v>806</v>
      </c>
      <c r="V172" s="343">
        <v>167</v>
      </c>
      <c r="W172" s="342"/>
      <c r="X172" s="342"/>
      <c r="Y172" s="342"/>
      <c r="Z172" s="342"/>
      <c r="AA172" s="342"/>
      <c r="AB172" s="342"/>
      <c r="AC172" s="339"/>
      <c r="AD172" s="320"/>
      <c r="AE172" s="320"/>
      <c r="AF172" s="320"/>
      <c r="AG172" s="320"/>
      <c r="AH172" s="320"/>
      <c r="AI172" s="320"/>
      <c r="AJ172" s="320"/>
      <c r="AK172" s="320"/>
      <c r="AL172" s="320"/>
      <c r="AM172" s="320"/>
      <c r="AN172" s="320"/>
      <c r="AO172" s="320"/>
      <c r="AP172" s="320"/>
      <c r="AQ172" s="344">
        <v>2</v>
      </c>
      <c r="AR172" s="397" t="s">
        <v>806</v>
      </c>
      <c r="AS172" s="343">
        <v>167</v>
      </c>
      <c r="AT172" s="342"/>
      <c r="AU172" s="342"/>
      <c r="AV172" s="342"/>
      <c r="AW172" s="342"/>
      <c r="AX172" s="342"/>
      <c r="AY172" s="342"/>
      <c r="AZ172" s="363"/>
      <c r="BA172" s="342"/>
      <c r="BB172" s="342"/>
      <c r="BC172" s="339"/>
      <c r="BD172" s="320"/>
      <c r="BE172" s="320"/>
      <c r="BF172" s="320"/>
      <c r="BG172" s="320"/>
      <c r="BH172" s="320"/>
      <c r="BI172" s="320"/>
      <c r="BJ172" s="320"/>
      <c r="BK172" s="320"/>
      <c r="BL172" s="320"/>
      <c r="BM172" s="320"/>
    </row>
    <row r="173" spans="2:65" ht="15.75" thickBot="1">
      <c r="B173" s="362">
        <v>2</v>
      </c>
      <c r="C173" s="406" t="s">
        <v>807</v>
      </c>
      <c r="D173" s="358">
        <v>168</v>
      </c>
      <c r="E173" s="356"/>
      <c r="F173" s="356"/>
      <c r="G173" s="356"/>
      <c r="H173" s="356"/>
      <c r="I173" s="356"/>
      <c r="J173" s="356"/>
      <c r="K173" s="361"/>
      <c r="L173" s="360"/>
      <c r="M173" s="355"/>
      <c r="N173" s="320"/>
      <c r="O173" s="320"/>
      <c r="P173" s="320"/>
      <c r="Q173" s="320"/>
      <c r="R173" s="320"/>
      <c r="S173" s="320"/>
      <c r="T173" s="359">
        <v>2</v>
      </c>
      <c r="U173" s="406" t="s">
        <v>807</v>
      </c>
      <c r="V173" s="358">
        <v>168</v>
      </c>
      <c r="W173" s="356"/>
      <c r="X173" s="356"/>
      <c r="Y173" s="356"/>
      <c r="Z173" s="356"/>
      <c r="AA173" s="356"/>
      <c r="AB173" s="356"/>
      <c r="AC173" s="355"/>
      <c r="AD173" s="320"/>
      <c r="AE173" s="320"/>
      <c r="AF173" s="320"/>
      <c r="AG173" s="320"/>
      <c r="AH173" s="320"/>
      <c r="AI173" s="320"/>
      <c r="AJ173" s="320"/>
      <c r="AK173" s="320"/>
      <c r="AL173" s="320"/>
      <c r="AM173" s="320"/>
      <c r="AN173" s="320"/>
      <c r="AO173" s="320"/>
      <c r="AP173" s="320"/>
      <c r="AQ173" s="359">
        <v>2</v>
      </c>
      <c r="AR173" s="406" t="s">
        <v>807</v>
      </c>
      <c r="AS173" s="358">
        <v>168</v>
      </c>
      <c r="AT173" s="356"/>
      <c r="AU173" s="356"/>
      <c r="AV173" s="356"/>
      <c r="AW173" s="356"/>
      <c r="AX173" s="356"/>
      <c r="AY173" s="356"/>
      <c r="AZ173" s="357"/>
      <c r="BA173" s="356"/>
      <c r="BB173" s="356"/>
      <c r="BC173" s="355"/>
      <c r="BD173" s="320"/>
      <c r="BE173" s="320"/>
      <c r="BF173" s="320"/>
      <c r="BG173" s="320"/>
      <c r="BH173" s="320"/>
      <c r="BI173" s="320"/>
      <c r="BJ173" s="320"/>
      <c r="BK173" s="320"/>
      <c r="BL173" s="320"/>
      <c r="BM173" s="320"/>
    </row>
    <row r="174" spans="2:65">
      <c r="B174" s="405">
        <v>2</v>
      </c>
      <c r="C174" s="404" t="s">
        <v>233</v>
      </c>
      <c r="D174" s="403">
        <v>169</v>
      </c>
      <c r="E174" s="402"/>
      <c r="F174" s="402"/>
      <c r="G174" s="402"/>
      <c r="H174" s="401"/>
      <c r="I174" s="401"/>
      <c r="J174" s="401"/>
      <c r="K174" s="353"/>
      <c r="L174" s="352"/>
      <c r="M174" s="351"/>
      <c r="N174" s="320"/>
      <c r="O174" s="320"/>
      <c r="P174" s="320"/>
      <c r="Q174" s="320"/>
      <c r="R174" s="320"/>
      <c r="S174" s="320"/>
      <c r="T174" s="400">
        <v>2</v>
      </c>
      <c r="U174" s="399" t="s">
        <v>233</v>
      </c>
      <c r="V174" s="398">
        <v>169</v>
      </c>
      <c r="W174" s="347"/>
      <c r="X174" s="347"/>
      <c r="Y174" s="347"/>
      <c r="Z174" s="347"/>
      <c r="AA174" s="347"/>
      <c r="AB174" s="347">
        <f>AH13</f>
        <v>0</v>
      </c>
      <c r="AC174" s="346"/>
      <c r="AD174" s="320"/>
      <c r="AE174" s="320"/>
      <c r="AF174" s="320"/>
      <c r="AG174" s="320"/>
      <c r="AH174" s="320"/>
      <c r="AI174" s="320"/>
      <c r="AJ174" s="320"/>
      <c r="AK174" s="320"/>
      <c r="AL174" s="320"/>
      <c r="AM174" s="320"/>
      <c r="AN174" s="320"/>
      <c r="AO174" s="320"/>
      <c r="AP174" s="320"/>
      <c r="AQ174" s="400">
        <v>2</v>
      </c>
      <c r="AR174" s="399" t="s">
        <v>233</v>
      </c>
      <c r="AS174" s="398">
        <v>169</v>
      </c>
      <c r="AT174" s="347"/>
      <c r="AU174" s="347"/>
      <c r="AV174" s="347"/>
      <c r="AW174" s="347"/>
      <c r="AX174" s="347"/>
      <c r="AY174" s="347">
        <f>BH13</f>
        <v>0</v>
      </c>
      <c r="AZ174" s="348"/>
      <c r="BA174" s="347"/>
      <c r="BB174" s="347"/>
      <c r="BC174" s="346"/>
      <c r="BD174" s="320"/>
      <c r="BE174" s="320"/>
      <c r="BF174" s="320"/>
      <c r="BG174" s="320"/>
      <c r="BH174" s="320"/>
      <c r="BI174" s="320"/>
      <c r="BJ174" s="320"/>
      <c r="BK174" s="320"/>
      <c r="BL174" s="320"/>
      <c r="BM174" s="320"/>
    </row>
    <row r="175" spans="2:65">
      <c r="B175" s="367">
        <v>2</v>
      </c>
      <c r="C175" s="396" t="s">
        <v>234</v>
      </c>
      <c r="D175" s="365">
        <v>170</v>
      </c>
      <c r="E175" s="364"/>
      <c r="F175" s="364"/>
      <c r="G175" s="364"/>
      <c r="H175" s="364"/>
      <c r="I175" s="364"/>
      <c r="J175" s="364"/>
      <c r="K175" s="337"/>
      <c r="L175" s="336"/>
      <c r="M175" s="335"/>
      <c r="N175" s="320"/>
      <c r="O175" s="320"/>
      <c r="P175" s="320"/>
      <c r="Q175" s="320"/>
      <c r="R175" s="320"/>
      <c r="S175" s="320"/>
      <c r="T175" s="334">
        <v>2</v>
      </c>
      <c r="U175" s="395" t="s">
        <v>234</v>
      </c>
      <c r="V175" s="333">
        <v>170</v>
      </c>
      <c r="W175" s="331"/>
      <c r="X175" s="331"/>
      <c r="Y175" s="331"/>
      <c r="Z175" s="331"/>
      <c r="AA175" s="331"/>
      <c r="AB175" s="331"/>
      <c r="AC175" s="330"/>
      <c r="AD175" s="320"/>
      <c r="AE175" s="320"/>
      <c r="AF175" s="320"/>
      <c r="AG175" s="320"/>
      <c r="AH175" s="320"/>
      <c r="AI175" s="320"/>
      <c r="AJ175" s="320"/>
      <c r="AK175" s="320"/>
      <c r="AL175" s="320"/>
      <c r="AM175" s="320"/>
      <c r="AN175" s="320"/>
      <c r="AO175" s="320"/>
      <c r="AP175" s="320"/>
      <c r="AQ175" s="334">
        <v>2</v>
      </c>
      <c r="AR175" s="395" t="s">
        <v>234</v>
      </c>
      <c r="AS175" s="333">
        <v>170</v>
      </c>
      <c r="AT175" s="331"/>
      <c r="AU175" s="331"/>
      <c r="AV175" s="331"/>
      <c r="AW175" s="331"/>
      <c r="AX175" s="331"/>
      <c r="AY175" s="331"/>
      <c r="AZ175" s="332"/>
      <c r="BA175" s="331"/>
      <c r="BB175" s="331"/>
      <c r="BC175" s="330"/>
      <c r="BD175" s="320"/>
      <c r="BE175" s="320"/>
      <c r="BF175" s="320"/>
      <c r="BG175" s="320"/>
      <c r="BH175" s="320"/>
      <c r="BI175" s="320"/>
      <c r="BJ175" s="320"/>
      <c r="BK175" s="320"/>
      <c r="BL175" s="320"/>
      <c r="BM175" s="320"/>
    </row>
    <row r="176" spans="2:65">
      <c r="B176" s="367">
        <v>2</v>
      </c>
      <c r="C176" s="396" t="s">
        <v>235</v>
      </c>
      <c r="D176" s="365">
        <v>171</v>
      </c>
      <c r="E176" s="364"/>
      <c r="F176" s="364"/>
      <c r="G176" s="364"/>
      <c r="H176" s="364"/>
      <c r="I176" s="364"/>
      <c r="J176" s="364"/>
      <c r="K176" s="337"/>
      <c r="L176" s="336"/>
      <c r="M176" s="335"/>
      <c r="N176" s="320"/>
      <c r="O176" s="320"/>
      <c r="P176" s="320"/>
      <c r="Q176" s="320"/>
      <c r="R176" s="320"/>
      <c r="S176" s="320"/>
      <c r="T176" s="334">
        <v>2</v>
      </c>
      <c r="U176" s="395" t="s">
        <v>235</v>
      </c>
      <c r="V176" s="333">
        <v>171</v>
      </c>
      <c r="W176" s="331"/>
      <c r="X176" s="331"/>
      <c r="Y176" s="331"/>
      <c r="Z176" s="331"/>
      <c r="AA176" s="331"/>
      <c r="AB176" s="331"/>
      <c r="AC176" s="330"/>
      <c r="AD176" s="320"/>
      <c r="AE176" s="320"/>
      <c r="AF176" s="320"/>
      <c r="AG176" s="320"/>
      <c r="AH176" s="320"/>
      <c r="AI176" s="320"/>
      <c r="AJ176" s="320"/>
      <c r="AK176" s="320"/>
      <c r="AL176" s="320"/>
      <c r="AM176" s="320"/>
      <c r="AN176" s="320"/>
      <c r="AO176" s="320"/>
      <c r="AP176" s="320"/>
      <c r="AQ176" s="334">
        <v>2</v>
      </c>
      <c r="AR176" s="395" t="s">
        <v>235</v>
      </c>
      <c r="AS176" s="333">
        <v>171</v>
      </c>
      <c r="AT176" s="331"/>
      <c r="AU176" s="331"/>
      <c r="AV176" s="331"/>
      <c r="AW176" s="331"/>
      <c r="AX176" s="331"/>
      <c r="AY176" s="331"/>
      <c r="AZ176" s="332"/>
      <c r="BA176" s="331"/>
      <c r="BB176" s="331"/>
      <c r="BC176" s="330"/>
      <c r="BD176" s="320"/>
      <c r="BE176" s="320"/>
      <c r="BF176" s="320"/>
      <c r="BG176" s="320"/>
      <c r="BH176" s="320"/>
      <c r="BI176" s="320"/>
      <c r="BJ176" s="320"/>
      <c r="BK176" s="320"/>
      <c r="BL176" s="320"/>
      <c r="BM176" s="320"/>
    </row>
    <row r="177" spans="2:65">
      <c r="B177" s="367">
        <v>2</v>
      </c>
      <c r="C177" s="396" t="s">
        <v>236</v>
      </c>
      <c r="D177" s="365">
        <v>172</v>
      </c>
      <c r="E177" s="364"/>
      <c r="F177" s="364"/>
      <c r="G177" s="364"/>
      <c r="H177" s="364"/>
      <c r="I177" s="364"/>
      <c r="J177" s="364"/>
      <c r="K177" s="337"/>
      <c r="L177" s="336"/>
      <c r="M177" s="335"/>
      <c r="N177" s="320"/>
      <c r="O177" s="320"/>
      <c r="P177" s="320"/>
      <c r="Q177" s="320"/>
      <c r="R177" s="320"/>
      <c r="S177" s="320"/>
      <c r="T177" s="334">
        <v>2</v>
      </c>
      <c r="U177" s="395" t="s">
        <v>236</v>
      </c>
      <c r="V177" s="333">
        <v>172</v>
      </c>
      <c r="W177" s="331"/>
      <c r="X177" s="331"/>
      <c r="Y177" s="331"/>
      <c r="Z177" s="331"/>
      <c r="AA177" s="331"/>
      <c r="AB177" s="331"/>
      <c r="AC177" s="330"/>
      <c r="AD177" s="320"/>
      <c r="AE177" s="320"/>
      <c r="AF177" s="320"/>
      <c r="AG177" s="320"/>
      <c r="AH177" s="320"/>
      <c r="AI177" s="320"/>
      <c r="AJ177" s="320"/>
      <c r="AK177" s="320"/>
      <c r="AL177" s="320"/>
      <c r="AM177" s="320"/>
      <c r="AN177" s="320"/>
      <c r="AO177" s="320"/>
      <c r="AP177" s="320"/>
      <c r="AQ177" s="334">
        <v>2</v>
      </c>
      <c r="AR177" s="395" t="s">
        <v>236</v>
      </c>
      <c r="AS177" s="333">
        <v>172</v>
      </c>
      <c r="AT177" s="331"/>
      <c r="AU177" s="331"/>
      <c r="AV177" s="331"/>
      <c r="AW177" s="331"/>
      <c r="AX177" s="331"/>
      <c r="AY177" s="331"/>
      <c r="AZ177" s="332"/>
      <c r="BA177" s="331"/>
      <c r="BB177" s="331"/>
      <c r="BC177" s="330"/>
      <c r="BD177" s="320"/>
      <c r="BE177" s="320"/>
      <c r="BF177" s="320"/>
      <c r="BG177" s="320"/>
      <c r="BH177" s="320"/>
      <c r="BI177" s="320"/>
      <c r="BJ177" s="320"/>
      <c r="BK177" s="320"/>
      <c r="BL177" s="320"/>
      <c r="BM177" s="320"/>
    </row>
    <row r="178" spans="2:65">
      <c r="B178" s="367">
        <v>2</v>
      </c>
      <c r="C178" s="396" t="s">
        <v>237</v>
      </c>
      <c r="D178" s="365">
        <v>173</v>
      </c>
      <c r="E178" s="364"/>
      <c r="F178" s="364"/>
      <c r="G178" s="364"/>
      <c r="H178" s="364"/>
      <c r="I178" s="364"/>
      <c r="J178" s="364"/>
      <c r="K178" s="337"/>
      <c r="L178" s="336"/>
      <c r="M178" s="335"/>
      <c r="N178" s="320"/>
      <c r="O178" s="320"/>
      <c r="P178" s="320"/>
      <c r="Q178" s="320"/>
      <c r="R178" s="320"/>
      <c r="S178" s="320"/>
      <c r="T178" s="334">
        <v>2</v>
      </c>
      <c r="U178" s="395" t="s">
        <v>237</v>
      </c>
      <c r="V178" s="333">
        <v>173</v>
      </c>
      <c r="W178" s="331"/>
      <c r="X178" s="331"/>
      <c r="Y178" s="331"/>
      <c r="Z178" s="331"/>
      <c r="AA178" s="331"/>
      <c r="AB178" s="331"/>
      <c r="AC178" s="330"/>
      <c r="AD178" s="320"/>
      <c r="AE178" s="320"/>
      <c r="AF178" s="320"/>
      <c r="AG178" s="320"/>
      <c r="AH178" s="320"/>
      <c r="AI178" s="320"/>
      <c r="AJ178" s="320"/>
      <c r="AK178" s="320"/>
      <c r="AL178" s="320"/>
      <c r="AM178" s="320"/>
      <c r="AN178" s="320"/>
      <c r="AO178" s="320"/>
      <c r="AP178" s="320"/>
      <c r="AQ178" s="334">
        <v>2</v>
      </c>
      <c r="AR178" s="395" t="s">
        <v>237</v>
      </c>
      <c r="AS178" s="333">
        <v>173</v>
      </c>
      <c r="AT178" s="331"/>
      <c r="AU178" s="331"/>
      <c r="AV178" s="331"/>
      <c r="AW178" s="331"/>
      <c r="AX178" s="331"/>
      <c r="AY178" s="331"/>
      <c r="AZ178" s="332"/>
      <c r="BA178" s="331"/>
      <c r="BB178" s="331"/>
      <c r="BC178" s="330"/>
      <c r="BD178" s="320"/>
      <c r="BE178" s="320"/>
      <c r="BF178" s="320"/>
      <c r="BG178" s="320"/>
      <c r="BH178" s="320"/>
      <c r="BI178" s="320"/>
      <c r="BJ178" s="320"/>
      <c r="BK178" s="320"/>
      <c r="BL178" s="320"/>
      <c r="BM178" s="320"/>
    </row>
    <row r="179" spans="2:65">
      <c r="B179" s="367">
        <v>2</v>
      </c>
      <c r="C179" s="396" t="s">
        <v>238</v>
      </c>
      <c r="D179" s="365">
        <v>174</v>
      </c>
      <c r="E179" s="364"/>
      <c r="F179" s="364"/>
      <c r="G179" s="364"/>
      <c r="H179" s="364"/>
      <c r="I179" s="364"/>
      <c r="J179" s="364"/>
      <c r="K179" s="337"/>
      <c r="L179" s="336"/>
      <c r="M179" s="335"/>
      <c r="N179" s="320"/>
      <c r="O179" s="320"/>
      <c r="P179" s="320"/>
      <c r="Q179" s="320"/>
      <c r="R179" s="320"/>
      <c r="S179" s="320"/>
      <c r="T179" s="334">
        <v>2</v>
      </c>
      <c r="U179" s="395" t="s">
        <v>238</v>
      </c>
      <c r="V179" s="333">
        <v>174</v>
      </c>
      <c r="W179" s="331"/>
      <c r="X179" s="331"/>
      <c r="Y179" s="331"/>
      <c r="Z179" s="331"/>
      <c r="AA179" s="331"/>
      <c r="AB179" s="331"/>
      <c r="AC179" s="330"/>
      <c r="AD179" s="320"/>
      <c r="AE179" s="320"/>
      <c r="AF179" s="320"/>
      <c r="AG179" s="320"/>
      <c r="AH179" s="320"/>
      <c r="AI179" s="320"/>
      <c r="AJ179" s="320"/>
      <c r="AK179" s="320"/>
      <c r="AL179" s="320"/>
      <c r="AM179" s="320"/>
      <c r="AN179" s="320"/>
      <c r="AO179" s="320"/>
      <c r="AP179" s="320"/>
      <c r="AQ179" s="334">
        <v>2</v>
      </c>
      <c r="AR179" s="395" t="s">
        <v>238</v>
      </c>
      <c r="AS179" s="333">
        <v>174</v>
      </c>
      <c r="AT179" s="331"/>
      <c r="AU179" s="331"/>
      <c r="AV179" s="331"/>
      <c r="AW179" s="331"/>
      <c r="AX179" s="331"/>
      <c r="AY179" s="331"/>
      <c r="AZ179" s="332"/>
      <c r="BA179" s="331"/>
      <c r="BB179" s="331"/>
      <c r="BC179" s="330"/>
      <c r="BD179" s="320"/>
      <c r="BE179" s="320"/>
      <c r="BF179" s="320"/>
      <c r="BG179" s="320"/>
      <c r="BH179" s="320"/>
      <c r="BI179" s="320"/>
      <c r="BJ179" s="320"/>
      <c r="BK179" s="320"/>
      <c r="BL179" s="320"/>
      <c r="BM179" s="320"/>
    </row>
    <row r="180" spans="2:65">
      <c r="B180" s="367">
        <v>2</v>
      </c>
      <c r="C180" s="396" t="s">
        <v>239</v>
      </c>
      <c r="D180" s="365">
        <v>175</v>
      </c>
      <c r="E180" s="364"/>
      <c r="F180" s="364"/>
      <c r="G180" s="364"/>
      <c r="H180" s="364"/>
      <c r="I180" s="364"/>
      <c r="J180" s="364"/>
      <c r="K180" s="337"/>
      <c r="L180" s="336"/>
      <c r="M180" s="335"/>
      <c r="N180" s="320"/>
      <c r="O180" s="320"/>
      <c r="P180" s="320"/>
      <c r="Q180" s="320"/>
      <c r="R180" s="320"/>
      <c r="S180" s="320"/>
      <c r="T180" s="334">
        <v>2</v>
      </c>
      <c r="U180" s="395" t="s">
        <v>239</v>
      </c>
      <c r="V180" s="333">
        <v>175</v>
      </c>
      <c r="W180" s="331"/>
      <c r="X180" s="331"/>
      <c r="Y180" s="331"/>
      <c r="Z180" s="331"/>
      <c r="AA180" s="331"/>
      <c r="AB180" s="331"/>
      <c r="AC180" s="330"/>
      <c r="AD180" s="320"/>
      <c r="AE180" s="320"/>
      <c r="AF180" s="320"/>
      <c r="AG180" s="320"/>
      <c r="AH180" s="320"/>
      <c r="AI180" s="320"/>
      <c r="AJ180" s="320"/>
      <c r="AK180" s="320"/>
      <c r="AL180" s="320"/>
      <c r="AM180" s="320"/>
      <c r="AN180" s="320"/>
      <c r="AO180" s="320"/>
      <c r="AP180" s="320"/>
      <c r="AQ180" s="334">
        <v>2</v>
      </c>
      <c r="AR180" s="395" t="s">
        <v>239</v>
      </c>
      <c r="AS180" s="333">
        <v>175</v>
      </c>
      <c r="AT180" s="331"/>
      <c r="AU180" s="331"/>
      <c r="AV180" s="331"/>
      <c r="AW180" s="331"/>
      <c r="AX180" s="331"/>
      <c r="AY180" s="331"/>
      <c r="AZ180" s="332"/>
      <c r="BA180" s="331"/>
      <c r="BB180" s="331"/>
      <c r="BC180" s="330"/>
      <c r="BD180" s="320"/>
      <c r="BE180" s="320"/>
      <c r="BF180" s="320"/>
      <c r="BG180" s="320"/>
      <c r="BH180" s="320"/>
      <c r="BI180" s="320"/>
      <c r="BJ180" s="320"/>
      <c r="BK180" s="320"/>
      <c r="BL180" s="320"/>
      <c r="BM180" s="320"/>
    </row>
    <row r="181" spans="2:65">
      <c r="B181" s="367">
        <v>2</v>
      </c>
      <c r="C181" s="396" t="s">
        <v>240</v>
      </c>
      <c r="D181" s="365">
        <v>176</v>
      </c>
      <c r="E181" s="364"/>
      <c r="F181" s="364"/>
      <c r="G181" s="364"/>
      <c r="H181" s="364"/>
      <c r="I181" s="364"/>
      <c r="J181" s="364"/>
      <c r="K181" s="337"/>
      <c r="L181" s="336"/>
      <c r="M181" s="335"/>
      <c r="N181" s="320"/>
      <c r="O181" s="320"/>
      <c r="P181" s="320"/>
      <c r="Q181" s="320"/>
      <c r="R181" s="320"/>
      <c r="S181" s="320"/>
      <c r="T181" s="334">
        <v>2</v>
      </c>
      <c r="U181" s="395" t="s">
        <v>240</v>
      </c>
      <c r="V181" s="333">
        <v>176</v>
      </c>
      <c r="W181" s="331"/>
      <c r="X181" s="331"/>
      <c r="Y181" s="331"/>
      <c r="Z181" s="331"/>
      <c r="AA181" s="331"/>
      <c r="AB181" s="331"/>
      <c r="AC181" s="330"/>
      <c r="AD181" s="320"/>
      <c r="AE181" s="320"/>
      <c r="AF181" s="320"/>
      <c r="AG181" s="320"/>
      <c r="AH181" s="320"/>
      <c r="AI181" s="320"/>
      <c r="AJ181" s="320"/>
      <c r="AK181" s="320"/>
      <c r="AL181" s="320"/>
      <c r="AM181" s="320"/>
      <c r="AN181" s="320"/>
      <c r="AO181" s="320"/>
      <c r="AP181" s="320"/>
      <c r="AQ181" s="334">
        <v>2</v>
      </c>
      <c r="AR181" s="395" t="s">
        <v>240</v>
      </c>
      <c r="AS181" s="333">
        <v>176</v>
      </c>
      <c r="AT181" s="331"/>
      <c r="AU181" s="331"/>
      <c r="AV181" s="331"/>
      <c r="AW181" s="331"/>
      <c r="AX181" s="331"/>
      <c r="AY181" s="331"/>
      <c r="AZ181" s="332"/>
      <c r="BA181" s="331"/>
      <c r="BB181" s="331"/>
      <c r="BC181" s="330"/>
      <c r="BD181" s="320"/>
      <c r="BE181" s="320"/>
      <c r="BF181" s="320"/>
      <c r="BG181" s="320"/>
      <c r="BH181" s="320"/>
      <c r="BI181" s="320"/>
      <c r="BJ181" s="320"/>
      <c r="BK181" s="320"/>
      <c r="BL181" s="320"/>
      <c r="BM181" s="320"/>
    </row>
    <row r="182" spans="2:65">
      <c r="B182" s="345">
        <v>2</v>
      </c>
      <c r="C182" s="397" t="s">
        <v>241</v>
      </c>
      <c r="D182" s="343">
        <v>177</v>
      </c>
      <c r="E182" s="342"/>
      <c r="F182" s="342"/>
      <c r="G182" s="342"/>
      <c r="H182" s="342"/>
      <c r="I182" s="342"/>
      <c r="J182" s="342"/>
      <c r="K182" s="341"/>
      <c r="L182" s="340"/>
      <c r="M182" s="339"/>
      <c r="N182" s="320"/>
      <c r="O182" s="320"/>
      <c r="P182" s="320"/>
      <c r="Q182" s="320"/>
      <c r="R182" s="320"/>
      <c r="S182" s="320"/>
      <c r="T182" s="334">
        <v>2</v>
      </c>
      <c r="U182" s="395" t="s">
        <v>241</v>
      </c>
      <c r="V182" s="333">
        <v>177</v>
      </c>
      <c r="W182" s="331"/>
      <c r="X182" s="331"/>
      <c r="Y182" s="331"/>
      <c r="Z182" s="331"/>
      <c r="AA182" s="331"/>
      <c r="AB182" s="331"/>
      <c r="AC182" s="330"/>
      <c r="AD182" s="320"/>
      <c r="AE182" s="320"/>
      <c r="AF182" s="320"/>
      <c r="AG182" s="320"/>
      <c r="AH182" s="320"/>
      <c r="AI182" s="320"/>
      <c r="AJ182" s="320"/>
      <c r="AK182" s="320"/>
      <c r="AL182" s="320"/>
      <c r="AM182" s="320"/>
      <c r="AN182" s="320"/>
      <c r="AO182" s="320"/>
      <c r="AP182" s="320"/>
      <c r="AQ182" s="334">
        <v>2</v>
      </c>
      <c r="AR182" s="395" t="s">
        <v>241</v>
      </c>
      <c r="AS182" s="333">
        <v>177</v>
      </c>
      <c r="AT182" s="331"/>
      <c r="AU182" s="331"/>
      <c r="AV182" s="331"/>
      <c r="AW182" s="331"/>
      <c r="AX182" s="331"/>
      <c r="AY182" s="331"/>
      <c r="AZ182" s="332"/>
      <c r="BA182" s="331"/>
      <c r="BB182" s="331"/>
      <c r="BC182" s="330"/>
      <c r="BD182" s="320"/>
      <c r="BE182" s="320"/>
      <c r="BF182" s="320"/>
      <c r="BG182" s="320"/>
      <c r="BH182" s="320"/>
      <c r="BI182" s="320"/>
      <c r="BJ182" s="320"/>
      <c r="BK182" s="320"/>
      <c r="BL182" s="320"/>
      <c r="BM182" s="320"/>
    </row>
    <row r="183" spans="2:65">
      <c r="B183" s="345">
        <v>2</v>
      </c>
      <c r="C183" s="397" t="s">
        <v>242</v>
      </c>
      <c r="D183" s="343">
        <v>178</v>
      </c>
      <c r="E183" s="342"/>
      <c r="F183" s="342"/>
      <c r="G183" s="342"/>
      <c r="H183" s="342"/>
      <c r="I183" s="342"/>
      <c r="J183" s="342"/>
      <c r="K183" s="341"/>
      <c r="L183" s="340"/>
      <c r="M183" s="339"/>
      <c r="N183" s="320"/>
      <c r="O183" s="320"/>
      <c r="P183" s="320"/>
      <c r="Q183" s="320"/>
      <c r="R183" s="320"/>
      <c r="S183" s="320"/>
      <c r="T183" s="334">
        <v>2</v>
      </c>
      <c r="U183" s="395" t="s">
        <v>242</v>
      </c>
      <c r="V183" s="333">
        <v>178</v>
      </c>
      <c r="W183" s="331"/>
      <c r="X183" s="331"/>
      <c r="Y183" s="331"/>
      <c r="Z183" s="331"/>
      <c r="AA183" s="331"/>
      <c r="AB183" s="331"/>
      <c r="AC183" s="330"/>
      <c r="AD183" s="320"/>
      <c r="AE183" s="320"/>
      <c r="AF183" s="320"/>
      <c r="AG183" s="320"/>
      <c r="AH183" s="320"/>
      <c r="AI183" s="320"/>
      <c r="AJ183" s="320"/>
      <c r="AK183" s="320"/>
      <c r="AL183" s="320"/>
      <c r="AM183" s="320"/>
      <c r="AN183" s="320"/>
      <c r="AO183" s="320"/>
      <c r="AP183" s="320"/>
      <c r="AQ183" s="334">
        <v>2</v>
      </c>
      <c r="AR183" s="395" t="s">
        <v>242</v>
      </c>
      <c r="AS183" s="333">
        <v>178</v>
      </c>
      <c r="AT183" s="331"/>
      <c r="AU183" s="331"/>
      <c r="AV183" s="331"/>
      <c r="AW183" s="331"/>
      <c r="AX183" s="331"/>
      <c r="AY183" s="331"/>
      <c r="AZ183" s="332"/>
      <c r="BA183" s="331"/>
      <c r="BB183" s="331"/>
      <c r="BC183" s="330"/>
      <c r="BD183" s="320"/>
      <c r="BE183" s="320"/>
      <c r="BF183" s="320"/>
      <c r="BG183" s="320"/>
      <c r="BH183" s="320"/>
      <c r="BI183" s="320"/>
      <c r="BJ183" s="320"/>
      <c r="BK183" s="320"/>
      <c r="BL183" s="320"/>
      <c r="BM183" s="320"/>
    </row>
    <row r="184" spans="2:65">
      <c r="B184" s="345">
        <v>2</v>
      </c>
      <c r="C184" s="397" t="s">
        <v>243</v>
      </c>
      <c r="D184" s="343">
        <v>179</v>
      </c>
      <c r="E184" s="342"/>
      <c r="F184" s="342"/>
      <c r="G184" s="342"/>
      <c r="H184" s="342"/>
      <c r="I184" s="342"/>
      <c r="J184" s="342"/>
      <c r="K184" s="341"/>
      <c r="L184" s="340"/>
      <c r="M184" s="339"/>
      <c r="N184" s="320"/>
      <c r="O184" s="320"/>
      <c r="P184" s="320"/>
      <c r="Q184" s="320"/>
      <c r="R184" s="320"/>
      <c r="S184" s="320"/>
      <c r="T184" s="334">
        <v>2</v>
      </c>
      <c r="U184" s="395" t="s">
        <v>243</v>
      </c>
      <c r="V184" s="333">
        <v>179</v>
      </c>
      <c r="W184" s="331"/>
      <c r="X184" s="331"/>
      <c r="Y184" s="331"/>
      <c r="Z184" s="331"/>
      <c r="AA184" s="331"/>
      <c r="AB184" s="331"/>
      <c r="AC184" s="330"/>
      <c r="AD184" s="320"/>
      <c r="AE184" s="320"/>
      <c r="AF184" s="320"/>
      <c r="AG184" s="320"/>
      <c r="AH184" s="320"/>
      <c r="AI184" s="320"/>
      <c r="AJ184" s="320"/>
      <c r="AK184" s="320"/>
      <c r="AL184" s="320"/>
      <c r="AM184" s="320"/>
      <c r="AN184" s="320"/>
      <c r="AO184" s="320"/>
      <c r="AP184" s="320"/>
      <c r="AQ184" s="334">
        <v>2</v>
      </c>
      <c r="AR184" s="395" t="s">
        <v>243</v>
      </c>
      <c r="AS184" s="333">
        <v>179</v>
      </c>
      <c r="AT184" s="331"/>
      <c r="AU184" s="331"/>
      <c r="AV184" s="331"/>
      <c r="AW184" s="331"/>
      <c r="AX184" s="331"/>
      <c r="AY184" s="331"/>
      <c r="AZ184" s="332"/>
      <c r="BA184" s="331"/>
      <c r="BB184" s="331"/>
      <c r="BC184" s="330"/>
      <c r="BD184" s="320"/>
      <c r="BE184" s="320"/>
      <c r="BF184" s="320"/>
      <c r="BG184" s="320"/>
      <c r="BH184" s="320"/>
      <c r="BI184" s="320"/>
      <c r="BJ184" s="320"/>
      <c r="BK184" s="320"/>
      <c r="BL184" s="320"/>
      <c r="BM184" s="320"/>
    </row>
    <row r="185" spans="2:65">
      <c r="B185" s="345">
        <v>2</v>
      </c>
      <c r="C185" s="397" t="s">
        <v>244</v>
      </c>
      <c r="D185" s="343">
        <v>180</v>
      </c>
      <c r="E185" s="342"/>
      <c r="F185" s="342"/>
      <c r="G185" s="342"/>
      <c r="H185" s="342"/>
      <c r="I185" s="342"/>
      <c r="J185" s="342"/>
      <c r="K185" s="341"/>
      <c r="L185" s="340"/>
      <c r="M185" s="339"/>
      <c r="N185" s="320"/>
      <c r="O185" s="320"/>
      <c r="P185" s="320"/>
      <c r="Q185" s="320"/>
      <c r="R185" s="320"/>
      <c r="S185" s="320"/>
      <c r="T185" s="334">
        <v>2</v>
      </c>
      <c r="U185" s="395" t="s">
        <v>244</v>
      </c>
      <c r="V185" s="333">
        <v>180</v>
      </c>
      <c r="W185" s="331"/>
      <c r="X185" s="331"/>
      <c r="Y185" s="331"/>
      <c r="Z185" s="331"/>
      <c r="AA185" s="331"/>
      <c r="AB185" s="331"/>
      <c r="AC185" s="330"/>
      <c r="AD185" s="320"/>
      <c r="AE185" s="320"/>
      <c r="AF185" s="320"/>
      <c r="AG185" s="320"/>
      <c r="AH185" s="320"/>
      <c r="AI185" s="320"/>
      <c r="AJ185" s="320"/>
      <c r="AK185" s="320"/>
      <c r="AL185" s="320"/>
      <c r="AM185" s="320"/>
      <c r="AN185" s="320"/>
      <c r="AO185" s="320"/>
      <c r="AP185" s="320"/>
      <c r="AQ185" s="334">
        <v>2</v>
      </c>
      <c r="AR185" s="395" t="s">
        <v>244</v>
      </c>
      <c r="AS185" s="333">
        <v>180</v>
      </c>
      <c r="AT185" s="331"/>
      <c r="AU185" s="331"/>
      <c r="AV185" s="331"/>
      <c r="AW185" s="331"/>
      <c r="AX185" s="331"/>
      <c r="AY185" s="331"/>
      <c r="AZ185" s="332"/>
      <c r="BA185" s="331"/>
      <c r="BB185" s="331"/>
      <c r="BC185" s="330"/>
      <c r="BD185" s="320"/>
      <c r="BE185" s="320"/>
      <c r="BF185" s="320"/>
      <c r="BG185" s="320"/>
      <c r="BH185" s="320"/>
      <c r="BI185" s="320"/>
      <c r="BJ185" s="320"/>
      <c r="BK185" s="320"/>
      <c r="BL185" s="320"/>
      <c r="BM185" s="320"/>
    </row>
    <row r="186" spans="2:65">
      <c r="B186" s="345">
        <v>2</v>
      </c>
      <c r="C186" s="397" t="s">
        <v>245</v>
      </c>
      <c r="D186" s="343">
        <v>181</v>
      </c>
      <c r="E186" s="342"/>
      <c r="F186" s="342"/>
      <c r="G186" s="342"/>
      <c r="H186" s="342"/>
      <c r="I186" s="342"/>
      <c r="J186" s="342"/>
      <c r="K186" s="341"/>
      <c r="L186" s="340"/>
      <c r="M186" s="339"/>
      <c r="N186" s="320"/>
      <c r="O186" s="320"/>
      <c r="P186" s="320"/>
      <c r="Q186" s="320"/>
      <c r="R186" s="320"/>
      <c r="S186" s="320"/>
      <c r="T186" s="334">
        <v>2</v>
      </c>
      <c r="U186" s="395" t="s">
        <v>245</v>
      </c>
      <c r="V186" s="333">
        <v>181</v>
      </c>
      <c r="W186" s="331"/>
      <c r="X186" s="331"/>
      <c r="Y186" s="331"/>
      <c r="Z186" s="331"/>
      <c r="AA186" s="331"/>
      <c r="AB186" s="331"/>
      <c r="AC186" s="330"/>
      <c r="AD186" s="320"/>
      <c r="AE186" s="320"/>
      <c r="AF186" s="320"/>
      <c r="AG186" s="320"/>
      <c r="AH186" s="320"/>
      <c r="AI186" s="320"/>
      <c r="AJ186" s="320"/>
      <c r="AK186" s="320"/>
      <c r="AL186" s="320"/>
      <c r="AM186" s="320"/>
      <c r="AN186" s="320"/>
      <c r="AO186" s="320"/>
      <c r="AP186" s="320"/>
      <c r="AQ186" s="334">
        <v>2</v>
      </c>
      <c r="AR186" s="395" t="s">
        <v>245</v>
      </c>
      <c r="AS186" s="333">
        <v>181</v>
      </c>
      <c r="AT186" s="331"/>
      <c r="AU186" s="331"/>
      <c r="AV186" s="331"/>
      <c r="AW186" s="331"/>
      <c r="AX186" s="331"/>
      <c r="AY186" s="331"/>
      <c r="AZ186" s="332"/>
      <c r="BA186" s="331"/>
      <c r="BB186" s="331"/>
      <c r="BC186" s="330"/>
      <c r="BD186" s="320"/>
      <c r="BE186" s="320"/>
      <c r="BF186" s="320"/>
      <c r="BG186" s="320"/>
      <c r="BH186" s="320"/>
      <c r="BI186" s="320"/>
      <c r="BJ186" s="320"/>
      <c r="BK186" s="320"/>
      <c r="BL186" s="320"/>
      <c r="BM186" s="320"/>
    </row>
    <row r="187" spans="2:65">
      <c r="B187" s="345">
        <v>2</v>
      </c>
      <c r="C187" s="397" t="s">
        <v>246</v>
      </c>
      <c r="D187" s="343">
        <v>182</v>
      </c>
      <c r="E187" s="342"/>
      <c r="F187" s="342"/>
      <c r="G187" s="342"/>
      <c r="H187" s="342"/>
      <c r="I187" s="342"/>
      <c r="J187" s="342"/>
      <c r="K187" s="341"/>
      <c r="L187" s="340"/>
      <c r="M187" s="339"/>
      <c r="N187" s="320"/>
      <c r="O187" s="320"/>
      <c r="P187" s="320"/>
      <c r="Q187" s="320"/>
      <c r="R187" s="320"/>
      <c r="S187" s="320"/>
      <c r="T187" s="334">
        <v>2</v>
      </c>
      <c r="U187" s="395" t="s">
        <v>246</v>
      </c>
      <c r="V187" s="333">
        <v>182</v>
      </c>
      <c r="W187" s="331"/>
      <c r="X187" s="331"/>
      <c r="Y187" s="331"/>
      <c r="Z187" s="331"/>
      <c r="AA187" s="331"/>
      <c r="AB187" s="331"/>
      <c r="AC187" s="330"/>
      <c r="AD187" s="320"/>
      <c r="AE187" s="320"/>
      <c r="AF187" s="320"/>
      <c r="AG187" s="320"/>
      <c r="AH187" s="320"/>
      <c r="AI187" s="320"/>
      <c r="AJ187" s="320"/>
      <c r="AK187" s="320"/>
      <c r="AL187" s="320"/>
      <c r="AM187" s="320"/>
      <c r="AN187" s="320"/>
      <c r="AO187" s="320"/>
      <c r="AP187" s="320"/>
      <c r="AQ187" s="334">
        <v>2</v>
      </c>
      <c r="AR187" s="395" t="s">
        <v>246</v>
      </c>
      <c r="AS187" s="333">
        <v>182</v>
      </c>
      <c r="AT187" s="331"/>
      <c r="AU187" s="331"/>
      <c r="AV187" s="331"/>
      <c r="AW187" s="331"/>
      <c r="AX187" s="331"/>
      <c r="AY187" s="331"/>
      <c r="AZ187" s="332"/>
      <c r="BA187" s="331"/>
      <c r="BB187" s="331"/>
      <c r="BC187" s="330"/>
      <c r="BD187" s="320"/>
      <c r="BE187" s="320"/>
      <c r="BF187" s="320"/>
      <c r="BG187" s="320"/>
      <c r="BH187" s="320"/>
      <c r="BI187" s="320"/>
      <c r="BJ187" s="320"/>
      <c r="BK187" s="320"/>
      <c r="BL187" s="320"/>
      <c r="BM187" s="320"/>
    </row>
    <row r="188" spans="2:65">
      <c r="B188" s="345">
        <v>2</v>
      </c>
      <c r="C188" s="397" t="s">
        <v>247</v>
      </c>
      <c r="D188" s="343">
        <v>183</v>
      </c>
      <c r="E188" s="342"/>
      <c r="F188" s="342"/>
      <c r="G188" s="342"/>
      <c r="H188" s="342"/>
      <c r="I188" s="342"/>
      <c r="J188" s="342"/>
      <c r="K188" s="341"/>
      <c r="L188" s="340"/>
      <c r="M188" s="339"/>
      <c r="N188" s="320"/>
      <c r="O188" s="320"/>
      <c r="P188" s="320"/>
      <c r="Q188" s="320"/>
      <c r="R188" s="320"/>
      <c r="S188" s="320"/>
      <c r="T188" s="334">
        <v>2</v>
      </c>
      <c r="U188" s="395" t="s">
        <v>247</v>
      </c>
      <c r="V188" s="333">
        <v>183</v>
      </c>
      <c r="W188" s="331"/>
      <c r="X188" s="331"/>
      <c r="Y188" s="331"/>
      <c r="Z188" s="331"/>
      <c r="AA188" s="331"/>
      <c r="AB188" s="331"/>
      <c r="AC188" s="330"/>
      <c r="AD188" s="320"/>
      <c r="AE188" s="320"/>
      <c r="AF188" s="320"/>
      <c r="AG188" s="320"/>
      <c r="AH188" s="320"/>
      <c r="AI188" s="320"/>
      <c r="AJ188" s="320"/>
      <c r="AK188" s="320"/>
      <c r="AL188" s="320"/>
      <c r="AM188" s="320"/>
      <c r="AN188" s="320"/>
      <c r="AO188" s="320"/>
      <c r="AP188" s="320"/>
      <c r="AQ188" s="334">
        <v>2</v>
      </c>
      <c r="AR188" s="395" t="s">
        <v>247</v>
      </c>
      <c r="AS188" s="333">
        <v>183</v>
      </c>
      <c r="AT188" s="331"/>
      <c r="AU188" s="331"/>
      <c r="AV188" s="331"/>
      <c r="AW188" s="331"/>
      <c r="AX188" s="331"/>
      <c r="AY188" s="331"/>
      <c r="AZ188" s="332"/>
      <c r="BA188" s="331"/>
      <c r="BB188" s="331"/>
      <c r="BC188" s="330"/>
      <c r="BD188" s="320"/>
      <c r="BE188" s="320"/>
      <c r="BF188" s="320"/>
      <c r="BG188" s="320"/>
      <c r="BH188" s="320"/>
      <c r="BI188" s="320"/>
      <c r="BJ188" s="320"/>
      <c r="BK188" s="320"/>
      <c r="BL188" s="320"/>
      <c r="BM188" s="320"/>
    </row>
    <row r="189" spans="2:65">
      <c r="B189" s="345">
        <v>2</v>
      </c>
      <c r="C189" s="397" t="s">
        <v>248</v>
      </c>
      <c r="D189" s="343">
        <v>184</v>
      </c>
      <c r="E189" s="342"/>
      <c r="F189" s="342"/>
      <c r="G189" s="342"/>
      <c r="H189" s="342"/>
      <c r="I189" s="342"/>
      <c r="J189" s="342"/>
      <c r="K189" s="341"/>
      <c r="L189" s="340"/>
      <c r="M189" s="339"/>
      <c r="N189" s="320"/>
      <c r="O189" s="320"/>
      <c r="P189" s="320"/>
      <c r="Q189" s="320"/>
      <c r="R189" s="320"/>
      <c r="S189" s="320"/>
      <c r="T189" s="334">
        <v>2</v>
      </c>
      <c r="U189" s="395" t="s">
        <v>248</v>
      </c>
      <c r="V189" s="333">
        <v>184</v>
      </c>
      <c r="W189" s="331"/>
      <c r="X189" s="331"/>
      <c r="Y189" s="331"/>
      <c r="Z189" s="331"/>
      <c r="AA189" s="331"/>
      <c r="AB189" s="331"/>
      <c r="AC189" s="330"/>
      <c r="AD189" s="320"/>
      <c r="AE189" s="320"/>
      <c r="AF189" s="320"/>
      <c r="AG189" s="320"/>
      <c r="AH189" s="320"/>
      <c r="AI189" s="320"/>
      <c r="AJ189" s="320"/>
      <c r="AK189" s="320"/>
      <c r="AL189" s="320"/>
      <c r="AM189" s="320"/>
      <c r="AN189" s="320"/>
      <c r="AO189" s="320"/>
      <c r="AP189" s="320"/>
      <c r="AQ189" s="334">
        <v>2</v>
      </c>
      <c r="AR189" s="395" t="s">
        <v>248</v>
      </c>
      <c r="AS189" s="333">
        <v>184</v>
      </c>
      <c r="AT189" s="331"/>
      <c r="AU189" s="331"/>
      <c r="AV189" s="331"/>
      <c r="AW189" s="331"/>
      <c r="AX189" s="331"/>
      <c r="AY189" s="331"/>
      <c r="AZ189" s="332"/>
      <c r="BA189" s="331"/>
      <c r="BB189" s="331"/>
      <c r="BC189" s="330"/>
      <c r="BD189" s="320"/>
      <c r="BE189" s="320"/>
      <c r="BF189" s="320"/>
      <c r="BG189" s="320"/>
      <c r="BH189" s="320"/>
      <c r="BI189" s="320"/>
      <c r="BJ189" s="320"/>
      <c r="BK189" s="320"/>
      <c r="BL189" s="320"/>
      <c r="BM189" s="320"/>
    </row>
    <row r="190" spans="2:65">
      <c r="B190" s="367">
        <v>2</v>
      </c>
      <c r="C190" s="396" t="s">
        <v>249</v>
      </c>
      <c r="D190" s="365">
        <v>185</v>
      </c>
      <c r="E190" s="364"/>
      <c r="F190" s="364"/>
      <c r="G190" s="364"/>
      <c r="H190" s="364"/>
      <c r="I190" s="364"/>
      <c r="J190" s="364"/>
      <c r="K190" s="337"/>
      <c r="L190" s="336"/>
      <c r="M190" s="335"/>
      <c r="N190" s="320"/>
      <c r="O190" s="320"/>
      <c r="P190" s="320"/>
      <c r="Q190" s="320"/>
      <c r="R190" s="320"/>
      <c r="S190" s="320"/>
      <c r="T190" s="334">
        <v>2</v>
      </c>
      <c r="U190" s="395" t="s">
        <v>249</v>
      </c>
      <c r="V190" s="333">
        <v>185</v>
      </c>
      <c r="W190" s="331"/>
      <c r="X190" s="331"/>
      <c r="Y190" s="331"/>
      <c r="Z190" s="331"/>
      <c r="AA190" s="331"/>
      <c r="AB190" s="331"/>
      <c r="AC190" s="330"/>
      <c r="AD190" s="320"/>
      <c r="AE190" s="320"/>
      <c r="AF190" s="320"/>
      <c r="AG190" s="320"/>
      <c r="AH190" s="320"/>
      <c r="AI190" s="320"/>
      <c r="AJ190" s="320"/>
      <c r="AK190" s="320"/>
      <c r="AL190" s="320"/>
      <c r="AM190" s="320"/>
      <c r="AN190" s="320"/>
      <c r="AO190" s="320"/>
      <c r="AP190" s="320"/>
      <c r="AQ190" s="334">
        <v>2</v>
      </c>
      <c r="AR190" s="395" t="s">
        <v>249</v>
      </c>
      <c r="AS190" s="333">
        <v>185</v>
      </c>
      <c r="AT190" s="331"/>
      <c r="AU190" s="331"/>
      <c r="AV190" s="331"/>
      <c r="AW190" s="331"/>
      <c r="AX190" s="331"/>
      <c r="AY190" s="331"/>
      <c r="AZ190" s="332"/>
      <c r="BA190" s="331"/>
      <c r="BB190" s="331"/>
      <c r="BC190" s="330"/>
      <c r="BD190" s="320"/>
      <c r="BE190" s="320"/>
      <c r="BF190" s="320"/>
      <c r="BG190" s="320"/>
      <c r="BH190" s="320"/>
      <c r="BI190" s="320"/>
      <c r="BJ190" s="320"/>
      <c r="BK190" s="320"/>
      <c r="BL190" s="320"/>
      <c r="BM190" s="320"/>
    </row>
    <row r="191" spans="2:65">
      <c r="B191" s="367">
        <v>2</v>
      </c>
      <c r="C191" s="396" t="s">
        <v>250</v>
      </c>
      <c r="D191" s="365">
        <v>186</v>
      </c>
      <c r="E191" s="364"/>
      <c r="F191" s="364"/>
      <c r="G191" s="364"/>
      <c r="H191" s="364"/>
      <c r="I191" s="364"/>
      <c r="J191" s="364"/>
      <c r="K191" s="337"/>
      <c r="L191" s="336"/>
      <c r="M191" s="335"/>
      <c r="N191" s="320"/>
      <c r="O191" s="320"/>
      <c r="P191" s="320"/>
      <c r="Q191" s="320"/>
      <c r="R191" s="320"/>
      <c r="S191" s="320"/>
      <c r="T191" s="334">
        <v>2</v>
      </c>
      <c r="U191" s="395" t="s">
        <v>250</v>
      </c>
      <c r="V191" s="333">
        <v>186</v>
      </c>
      <c r="W191" s="331"/>
      <c r="X191" s="331"/>
      <c r="Y191" s="331"/>
      <c r="Z191" s="331"/>
      <c r="AA191" s="331"/>
      <c r="AB191" s="331"/>
      <c r="AC191" s="330"/>
      <c r="AD191" s="320"/>
      <c r="AE191" s="320"/>
      <c r="AF191" s="320"/>
      <c r="AG191" s="320"/>
      <c r="AH191" s="320"/>
      <c r="AI191" s="320"/>
      <c r="AJ191" s="320"/>
      <c r="AK191" s="320"/>
      <c r="AL191" s="320"/>
      <c r="AM191" s="320"/>
      <c r="AN191" s="320"/>
      <c r="AO191" s="320"/>
      <c r="AP191" s="320"/>
      <c r="AQ191" s="334">
        <v>2</v>
      </c>
      <c r="AR191" s="395" t="s">
        <v>250</v>
      </c>
      <c r="AS191" s="333">
        <v>186</v>
      </c>
      <c r="AT191" s="331"/>
      <c r="AU191" s="331"/>
      <c r="AV191" s="331"/>
      <c r="AW191" s="331"/>
      <c r="AX191" s="331"/>
      <c r="AY191" s="331"/>
      <c r="AZ191" s="332"/>
      <c r="BA191" s="331"/>
      <c r="BB191" s="331"/>
      <c r="BC191" s="330"/>
      <c r="BD191" s="320"/>
      <c r="BE191" s="320"/>
      <c r="BF191" s="320"/>
      <c r="BG191" s="320"/>
      <c r="BH191" s="320"/>
      <c r="BI191" s="320"/>
      <c r="BJ191" s="320"/>
      <c r="BK191" s="320"/>
      <c r="BL191" s="320"/>
      <c r="BM191" s="320"/>
    </row>
    <row r="192" spans="2:65">
      <c r="B192" s="367">
        <v>2</v>
      </c>
      <c r="C192" s="396" t="s">
        <v>251</v>
      </c>
      <c r="D192" s="365">
        <v>187</v>
      </c>
      <c r="E192" s="364"/>
      <c r="F192" s="364"/>
      <c r="G192" s="364"/>
      <c r="H192" s="364"/>
      <c r="I192" s="364"/>
      <c r="J192" s="364"/>
      <c r="K192" s="337"/>
      <c r="L192" s="336"/>
      <c r="M192" s="335"/>
      <c r="N192" s="320"/>
      <c r="O192" s="320"/>
      <c r="P192" s="320"/>
      <c r="Q192" s="320"/>
      <c r="R192" s="320"/>
      <c r="S192" s="320"/>
      <c r="T192" s="334">
        <v>2</v>
      </c>
      <c r="U192" s="395" t="s">
        <v>251</v>
      </c>
      <c r="V192" s="333">
        <v>187</v>
      </c>
      <c r="W192" s="331"/>
      <c r="X192" s="331"/>
      <c r="Y192" s="331"/>
      <c r="Z192" s="331"/>
      <c r="AA192" s="331"/>
      <c r="AB192" s="331"/>
      <c r="AC192" s="330"/>
      <c r="AD192" s="320"/>
      <c r="AE192" s="320"/>
      <c r="AF192" s="320"/>
      <c r="AG192" s="320"/>
      <c r="AH192" s="320"/>
      <c r="AI192" s="320"/>
      <c r="AJ192" s="320"/>
      <c r="AK192" s="320"/>
      <c r="AL192" s="320"/>
      <c r="AM192" s="320"/>
      <c r="AN192" s="320"/>
      <c r="AO192" s="320"/>
      <c r="AP192" s="320"/>
      <c r="AQ192" s="334">
        <v>2</v>
      </c>
      <c r="AR192" s="395" t="s">
        <v>251</v>
      </c>
      <c r="AS192" s="333">
        <v>187</v>
      </c>
      <c r="AT192" s="331"/>
      <c r="AU192" s="331"/>
      <c r="AV192" s="331"/>
      <c r="AW192" s="331"/>
      <c r="AX192" s="331"/>
      <c r="AY192" s="331"/>
      <c r="AZ192" s="332"/>
      <c r="BA192" s="331"/>
      <c r="BB192" s="331"/>
      <c r="BC192" s="330"/>
      <c r="BD192" s="320"/>
      <c r="BE192" s="320"/>
      <c r="BF192" s="320"/>
      <c r="BG192" s="320"/>
      <c r="BH192" s="320"/>
      <c r="BI192" s="320"/>
      <c r="BJ192" s="320"/>
      <c r="BK192" s="320"/>
      <c r="BL192" s="320"/>
      <c r="BM192" s="320"/>
    </row>
    <row r="193" spans="2:65">
      <c r="B193" s="367">
        <v>2</v>
      </c>
      <c r="C193" s="396" t="s">
        <v>252</v>
      </c>
      <c r="D193" s="365">
        <v>188</v>
      </c>
      <c r="E193" s="364"/>
      <c r="F193" s="364"/>
      <c r="G193" s="364"/>
      <c r="H193" s="364"/>
      <c r="I193" s="364"/>
      <c r="J193" s="364"/>
      <c r="K193" s="337"/>
      <c r="L193" s="336"/>
      <c r="M193" s="335"/>
      <c r="N193" s="320"/>
      <c r="O193" s="320"/>
      <c r="P193" s="320"/>
      <c r="Q193" s="320"/>
      <c r="R193" s="320"/>
      <c r="S193" s="320"/>
      <c r="T193" s="334">
        <v>2</v>
      </c>
      <c r="U193" s="395" t="s">
        <v>252</v>
      </c>
      <c r="V193" s="333">
        <v>188</v>
      </c>
      <c r="W193" s="331"/>
      <c r="X193" s="331"/>
      <c r="Y193" s="331"/>
      <c r="Z193" s="331"/>
      <c r="AA193" s="331"/>
      <c r="AB193" s="331"/>
      <c r="AC193" s="330"/>
      <c r="AD193" s="320"/>
      <c r="AE193" s="320"/>
      <c r="AF193" s="320"/>
      <c r="AG193" s="320"/>
      <c r="AH193" s="320"/>
      <c r="AI193" s="320"/>
      <c r="AJ193" s="320"/>
      <c r="AK193" s="320"/>
      <c r="AL193" s="320"/>
      <c r="AM193" s="320"/>
      <c r="AN193" s="320"/>
      <c r="AO193" s="320"/>
      <c r="AP193" s="320"/>
      <c r="AQ193" s="334">
        <v>2</v>
      </c>
      <c r="AR193" s="395" t="s">
        <v>252</v>
      </c>
      <c r="AS193" s="333">
        <v>188</v>
      </c>
      <c r="AT193" s="331"/>
      <c r="AU193" s="331"/>
      <c r="AV193" s="331"/>
      <c r="AW193" s="331"/>
      <c r="AX193" s="331"/>
      <c r="AY193" s="331"/>
      <c r="AZ193" s="332"/>
      <c r="BA193" s="331"/>
      <c r="BB193" s="331"/>
      <c r="BC193" s="330"/>
      <c r="BD193" s="320"/>
      <c r="BE193" s="320"/>
      <c r="BF193" s="320"/>
      <c r="BG193" s="320"/>
      <c r="BH193" s="320"/>
      <c r="BI193" s="320"/>
      <c r="BJ193" s="320"/>
      <c r="BK193" s="320"/>
      <c r="BL193" s="320"/>
      <c r="BM193" s="320"/>
    </row>
    <row r="194" spans="2:65">
      <c r="B194" s="367">
        <v>2</v>
      </c>
      <c r="C194" s="396" t="s">
        <v>253</v>
      </c>
      <c r="D194" s="365">
        <v>189</v>
      </c>
      <c r="E194" s="364"/>
      <c r="F194" s="364"/>
      <c r="G194" s="364"/>
      <c r="H194" s="364"/>
      <c r="I194" s="364"/>
      <c r="J194" s="364"/>
      <c r="K194" s="337"/>
      <c r="L194" s="336"/>
      <c r="M194" s="335"/>
      <c r="N194" s="320"/>
      <c r="O194" s="320"/>
      <c r="P194" s="320"/>
      <c r="Q194" s="320"/>
      <c r="R194" s="320"/>
      <c r="S194" s="320"/>
      <c r="T194" s="334">
        <v>2</v>
      </c>
      <c r="U194" s="395" t="s">
        <v>253</v>
      </c>
      <c r="V194" s="333">
        <v>189</v>
      </c>
      <c r="W194" s="331"/>
      <c r="X194" s="331"/>
      <c r="Y194" s="331"/>
      <c r="Z194" s="331"/>
      <c r="AA194" s="331"/>
      <c r="AB194" s="331"/>
      <c r="AC194" s="330"/>
      <c r="AD194" s="320"/>
      <c r="AE194" s="320"/>
      <c r="AF194" s="320"/>
      <c r="AG194" s="320"/>
      <c r="AH194" s="320"/>
      <c r="AI194" s="320"/>
      <c r="AJ194" s="320"/>
      <c r="AK194" s="320"/>
      <c r="AL194" s="320"/>
      <c r="AM194" s="320"/>
      <c r="AN194" s="320"/>
      <c r="AO194" s="320"/>
      <c r="AP194" s="320"/>
      <c r="AQ194" s="334">
        <v>2</v>
      </c>
      <c r="AR194" s="395" t="s">
        <v>253</v>
      </c>
      <c r="AS194" s="333">
        <v>189</v>
      </c>
      <c r="AT194" s="331"/>
      <c r="AU194" s="331"/>
      <c r="AV194" s="331"/>
      <c r="AW194" s="331"/>
      <c r="AX194" s="331"/>
      <c r="AY194" s="331"/>
      <c r="AZ194" s="332"/>
      <c r="BA194" s="331"/>
      <c r="BB194" s="331"/>
      <c r="BC194" s="330"/>
      <c r="BD194" s="320"/>
      <c r="BE194" s="320"/>
      <c r="BF194" s="320"/>
      <c r="BG194" s="320"/>
      <c r="BH194" s="320"/>
      <c r="BI194" s="320"/>
      <c r="BJ194" s="320"/>
      <c r="BK194" s="320"/>
      <c r="BL194" s="320"/>
      <c r="BM194" s="320"/>
    </row>
    <row r="195" spans="2:65">
      <c r="B195" s="367">
        <v>2</v>
      </c>
      <c r="C195" s="396" t="s">
        <v>254</v>
      </c>
      <c r="D195" s="365">
        <v>190</v>
      </c>
      <c r="E195" s="364"/>
      <c r="F195" s="364"/>
      <c r="G195" s="364"/>
      <c r="H195" s="364"/>
      <c r="I195" s="364"/>
      <c r="J195" s="364"/>
      <c r="K195" s="337"/>
      <c r="L195" s="336"/>
      <c r="M195" s="335"/>
      <c r="N195" s="320"/>
      <c r="O195" s="320"/>
      <c r="P195" s="320"/>
      <c r="Q195" s="320"/>
      <c r="R195" s="320"/>
      <c r="S195" s="320"/>
      <c r="T195" s="334">
        <v>2</v>
      </c>
      <c r="U195" s="395" t="s">
        <v>254</v>
      </c>
      <c r="V195" s="333">
        <v>190</v>
      </c>
      <c r="W195" s="331"/>
      <c r="X195" s="331"/>
      <c r="Y195" s="331"/>
      <c r="Z195" s="331"/>
      <c r="AA195" s="331"/>
      <c r="AB195" s="331"/>
      <c r="AC195" s="330"/>
      <c r="AD195" s="320"/>
      <c r="AE195" s="320"/>
      <c r="AF195" s="320"/>
      <c r="AG195" s="320"/>
      <c r="AH195" s="320"/>
      <c r="AI195" s="320"/>
      <c r="AJ195" s="320"/>
      <c r="AK195" s="320"/>
      <c r="AL195" s="320"/>
      <c r="AM195" s="320"/>
      <c r="AN195" s="320"/>
      <c r="AO195" s="320"/>
      <c r="AP195" s="320"/>
      <c r="AQ195" s="334">
        <v>2</v>
      </c>
      <c r="AR195" s="395" t="s">
        <v>254</v>
      </c>
      <c r="AS195" s="333">
        <v>190</v>
      </c>
      <c r="AT195" s="331"/>
      <c r="AU195" s="331"/>
      <c r="AV195" s="331"/>
      <c r="AW195" s="331"/>
      <c r="AX195" s="331"/>
      <c r="AY195" s="331"/>
      <c r="AZ195" s="332"/>
      <c r="BA195" s="331"/>
      <c r="BB195" s="331"/>
      <c r="BC195" s="330"/>
      <c r="BD195" s="320"/>
      <c r="BE195" s="320"/>
      <c r="BF195" s="320"/>
      <c r="BG195" s="320"/>
      <c r="BH195" s="320"/>
      <c r="BI195" s="320"/>
      <c r="BJ195" s="320"/>
      <c r="BK195" s="320"/>
      <c r="BL195" s="320"/>
      <c r="BM195" s="320"/>
    </row>
    <row r="196" spans="2:65">
      <c r="B196" s="367">
        <v>2</v>
      </c>
      <c r="C196" s="396" t="s">
        <v>255</v>
      </c>
      <c r="D196" s="365">
        <v>191</v>
      </c>
      <c r="E196" s="364"/>
      <c r="F196" s="364"/>
      <c r="G196" s="364"/>
      <c r="H196" s="364"/>
      <c r="I196" s="364"/>
      <c r="J196" s="364"/>
      <c r="K196" s="337"/>
      <c r="L196" s="336"/>
      <c r="M196" s="335"/>
      <c r="N196" s="320"/>
      <c r="O196" s="320"/>
      <c r="P196" s="320"/>
      <c r="Q196" s="320"/>
      <c r="R196" s="320"/>
      <c r="S196" s="320"/>
      <c r="T196" s="334">
        <v>2</v>
      </c>
      <c r="U196" s="395" t="s">
        <v>255</v>
      </c>
      <c r="V196" s="333">
        <v>191</v>
      </c>
      <c r="W196" s="331"/>
      <c r="X196" s="331"/>
      <c r="Y196" s="331"/>
      <c r="Z196" s="331"/>
      <c r="AA196" s="331"/>
      <c r="AB196" s="331"/>
      <c r="AC196" s="330"/>
      <c r="AD196" s="320"/>
      <c r="AE196" s="320"/>
      <c r="AF196" s="320"/>
      <c r="AG196" s="320"/>
      <c r="AH196" s="320"/>
      <c r="AI196" s="320"/>
      <c r="AJ196" s="320"/>
      <c r="AK196" s="320"/>
      <c r="AL196" s="320"/>
      <c r="AM196" s="320"/>
      <c r="AN196" s="320"/>
      <c r="AO196" s="320"/>
      <c r="AP196" s="320"/>
      <c r="AQ196" s="334">
        <v>2</v>
      </c>
      <c r="AR196" s="395" t="s">
        <v>255</v>
      </c>
      <c r="AS196" s="333">
        <v>191</v>
      </c>
      <c r="AT196" s="331"/>
      <c r="AU196" s="331"/>
      <c r="AV196" s="331"/>
      <c r="AW196" s="331"/>
      <c r="AX196" s="331"/>
      <c r="AY196" s="331"/>
      <c r="AZ196" s="332"/>
      <c r="BA196" s="331"/>
      <c r="BB196" s="331"/>
      <c r="BC196" s="330"/>
      <c r="BD196" s="320"/>
      <c r="BE196" s="320"/>
      <c r="BF196" s="320"/>
      <c r="BG196" s="320"/>
      <c r="BH196" s="320"/>
      <c r="BI196" s="320"/>
      <c r="BJ196" s="320"/>
      <c r="BK196" s="320"/>
      <c r="BL196" s="320"/>
      <c r="BM196" s="320"/>
    </row>
    <row r="197" spans="2:65" ht="15.75" thickBot="1">
      <c r="B197" s="394">
        <v>2</v>
      </c>
      <c r="C197" s="393" t="s">
        <v>256</v>
      </c>
      <c r="D197" s="392">
        <v>192</v>
      </c>
      <c r="E197" s="391"/>
      <c r="F197" s="391"/>
      <c r="G197" s="391"/>
      <c r="H197" s="391"/>
      <c r="I197" s="391"/>
      <c r="J197" s="391"/>
      <c r="K197" s="385"/>
      <c r="L197" s="384"/>
      <c r="M197" s="383"/>
      <c r="N197" s="320"/>
      <c r="O197" s="320"/>
      <c r="P197" s="320"/>
      <c r="Q197" s="320"/>
      <c r="R197" s="320"/>
      <c r="S197" s="320"/>
      <c r="T197" s="382">
        <v>2</v>
      </c>
      <c r="U197" s="390" t="s">
        <v>256</v>
      </c>
      <c r="V197" s="381">
        <v>192</v>
      </c>
      <c r="W197" s="379"/>
      <c r="X197" s="379"/>
      <c r="Y197" s="379"/>
      <c r="Z197" s="379"/>
      <c r="AA197" s="379"/>
      <c r="AB197" s="379"/>
      <c r="AC197" s="378"/>
      <c r="AD197" s="320"/>
      <c r="AE197" s="320"/>
      <c r="AF197" s="320"/>
      <c r="AG197" s="320"/>
      <c r="AH197" s="320"/>
      <c r="AI197" s="320"/>
      <c r="AJ197" s="320"/>
      <c r="AK197" s="320"/>
      <c r="AL197" s="320"/>
      <c r="AM197" s="320"/>
      <c r="AN197" s="320"/>
      <c r="AO197" s="320"/>
      <c r="AP197" s="320"/>
      <c r="AQ197" s="382">
        <v>2</v>
      </c>
      <c r="AR197" s="390" t="s">
        <v>256</v>
      </c>
      <c r="AS197" s="381">
        <v>192</v>
      </c>
      <c r="AT197" s="379"/>
      <c r="AU197" s="379"/>
      <c r="AV197" s="379"/>
      <c r="AW197" s="379"/>
      <c r="AX197" s="379"/>
      <c r="AY197" s="379"/>
      <c r="AZ197" s="380"/>
      <c r="BA197" s="379"/>
      <c r="BB197" s="379"/>
      <c r="BC197" s="378"/>
      <c r="BD197" s="320"/>
      <c r="BE197" s="320"/>
      <c r="BF197" s="320"/>
      <c r="BG197" s="320"/>
      <c r="BH197" s="320"/>
      <c r="BI197" s="320"/>
      <c r="BJ197" s="320"/>
      <c r="BK197" s="320"/>
      <c r="BL197" s="320"/>
      <c r="BM197" s="320"/>
    </row>
    <row r="198" spans="2:65">
      <c r="B198" s="377">
        <v>3</v>
      </c>
      <c r="C198" s="372" t="s">
        <v>736</v>
      </c>
      <c r="D198" s="371">
        <v>193</v>
      </c>
      <c r="E198" s="374"/>
      <c r="F198" s="374"/>
      <c r="G198" s="374"/>
      <c r="H198" s="374"/>
      <c r="I198" s="374"/>
      <c r="J198" s="374"/>
      <c r="K198" s="376"/>
      <c r="L198" s="375"/>
      <c r="M198" s="373"/>
      <c r="N198" s="320"/>
      <c r="O198" s="320"/>
      <c r="P198" s="320"/>
      <c r="Q198" s="320"/>
      <c r="R198" s="320"/>
      <c r="S198" s="320"/>
      <c r="T198" s="372">
        <v>3</v>
      </c>
      <c r="U198" s="372" t="s">
        <v>736</v>
      </c>
      <c r="V198" s="371">
        <v>193</v>
      </c>
      <c r="W198" s="374"/>
      <c r="X198" s="374"/>
      <c r="Y198" s="374"/>
      <c r="Z198" s="374"/>
      <c r="AA198" s="374"/>
      <c r="AB198" s="374">
        <f>AH14</f>
        <v>0</v>
      </c>
      <c r="AC198" s="373"/>
      <c r="AD198" s="320"/>
      <c r="AE198" s="320"/>
      <c r="AF198" s="320"/>
      <c r="AG198" s="320"/>
      <c r="AH198" s="320"/>
      <c r="AI198" s="320"/>
      <c r="AJ198" s="320"/>
      <c r="AK198" s="320"/>
      <c r="AL198" s="320"/>
      <c r="AM198" s="320"/>
      <c r="AN198" s="320"/>
      <c r="AO198" s="320"/>
      <c r="AP198" s="320"/>
      <c r="AQ198" s="372">
        <v>3</v>
      </c>
      <c r="AR198" s="372" t="s">
        <v>736</v>
      </c>
      <c r="AS198" s="371">
        <v>193</v>
      </c>
      <c r="AT198" s="369"/>
      <c r="AU198" s="369"/>
      <c r="AV198" s="369"/>
      <c r="AW198" s="369"/>
      <c r="AX198" s="369"/>
      <c r="AY198" s="369">
        <f>BH14</f>
        <v>0</v>
      </c>
      <c r="AZ198" s="370"/>
      <c r="BA198" s="369"/>
      <c r="BB198" s="369"/>
      <c r="BC198" s="368"/>
      <c r="BD198" s="320"/>
      <c r="BE198" s="320"/>
      <c r="BF198" s="320"/>
      <c r="BG198" s="320"/>
      <c r="BH198" s="320"/>
      <c r="BI198" s="320"/>
      <c r="BJ198" s="320"/>
      <c r="BK198" s="320"/>
      <c r="BL198" s="320"/>
      <c r="BM198" s="320"/>
    </row>
    <row r="199" spans="2:65">
      <c r="B199" s="345">
        <v>3</v>
      </c>
      <c r="C199" s="344" t="s">
        <v>737</v>
      </c>
      <c r="D199" s="343">
        <v>194</v>
      </c>
      <c r="E199" s="342"/>
      <c r="F199" s="342"/>
      <c r="G199" s="342"/>
      <c r="H199" s="342"/>
      <c r="I199" s="342"/>
      <c r="J199" s="342"/>
      <c r="K199" s="341"/>
      <c r="L199" s="340"/>
      <c r="M199" s="339"/>
      <c r="N199" s="320"/>
      <c r="O199" s="320"/>
      <c r="P199" s="320"/>
      <c r="Q199" s="320"/>
      <c r="R199" s="320"/>
      <c r="S199" s="320"/>
      <c r="T199" s="344">
        <v>3</v>
      </c>
      <c r="U199" s="344" t="s">
        <v>737</v>
      </c>
      <c r="V199" s="343">
        <v>194</v>
      </c>
      <c r="W199" s="342"/>
      <c r="X199" s="342"/>
      <c r="Y199" s="342"/>
      <c r="Z199" s="342"/>
      <c r="AA199" s="342"/>
      <c r="AB199" s="342"/>
      <c r="AC199" s="339"/>
      <c r="AD199" s="320"/>
      <c r="AE199" s="320"/>
      <c r="AF199" s="320"/>
      <c r="AG199" s="320"/>
      <c r="AH199" s="320"/>
      <c r="AI199" s="320"/>
      <c r="AJ199" s="320"/>
      <c r="AK199" s="320"/>
      <c r="AL199" s="320"/>
      <c r="AM199" s="320"/>
      <c r="AN199" s="320"/>
      <c r="AO199" s="320"/>
      <c r="AP199" s="320"/>
      <c r="AQ199" s="344">
        <v>3</v>
      </c>
      <c r="AR199" s="344" t="s">
        <v>737</v>
      </c>
      <c r="AS199" s="343">
        <v>194</v>
      </c>
      <c r="AT199" s="342"/>
      <c r="AU199" s="342"/>
      <c r="AV199" s="342"/>
      <c r="AW199" s="342"/>
      <c r="AX199" s="342"/>
      <c r="AY199" s="342"/>
      <c r="AZ199" s="363"/>
      <c r="BA199" s="342"/>
      <c r="BB199" s="342"/>
      <c r="BC199" s="339"/>
      <c r="BD199" s="320"/>
      <c r="BE199" s="320"/>
      <c r="BF199" s="320"/>
      <c r="BG199" s="320"/>
      <c r="BH199" s="320"/>
      <c r="BI199" s="320"/>
      <c r="BJ199" s="320"/>
      <c r="BK199" s="320"/>
      <c r="BL199" s="320"/>
      <c r="BM199" s="320"/>
    </row>
    <row r="200" spans="2:65">
      <c r="B200" s="345">
        <v>3</v>
      </c>
      <c r="C200" s="344" t="s">
        <v>738</v>
      </c>
      <c r="D200" s="343">
        <v>195</v>
      </c>
      <c r="E200" s="342"/>
      <c r="F200" s="342"/>
      <c r="G200" s="342"/>
      <c r="H200" s="342"/>
      <c r="I200" s="342"/>
      <c r="J200" s="342"/>
      <c r="K200" s="341"/>
      <c r="L200" s="340"/>
      <c r="M200" s="339"/>
      <c r="N200" s="320"/>
      <c r="O200" s="320"/>
      <c r="P200" s="320"/>
      <c r="Q200" s="320"/>
      <c r="R200" s="320"/>
      <c r="S200" s="320"/>
      <c r="T200" s="344">
        <v>3</v>
      </c>
      <c r="U200" s="344" t="s">
        <v>738</v>
      </c>
      <c r="V200" s="343">
        <v>195</v>
      </c>
      <c r="W200" s="342"/>
      <c r="X200" s="342"/>
      <c r="Y200" s="342"/>
      <c r="Z200" s="342"/>
      <c r="AA200" s="342"/>
      <c r="AB200" s="342"/>
      <c r="AC200" s="339"/>
      <c r="AD200" s="320"/>
      <c r="AE200" s="320"/>
      <c r="AF200" s="320"/>
      <c r="AG200" s="320"/>
      <c r="AH200" s="320"/>
      <c r="AI200" s="320"/>
      <c r="AJ200" s="320"/>
      <c r="AK200" s="320"/>
      <c r="AL200" s="320"/>
      <c r="AM200" s="320"/>
      <c r="AN200" s="320"/>
      <c r="AO200" s="320"/>
      <c r="AP200" s="320"/>
      <c r="AQ200" s="344">
        <v>3</v>
      </c>
      <c r="AR200" s="344" t="s">
        <v>738</v>
      </c>
      <c r="AS200" s="343">
        <v>195</v>
      </c>
      <c r="AT200" s="342"/>
      <c r="AU200" s="342"/>
      <c r="AV200" s="342"/>
      <c r="AW200" s="342"/>
      <c r="AX200" s="342"/>
      <c r="AY200" s="342"/>
      <c r="AZ200" s="363"/>
      <c r="BA200" s="342"/>
      <c r="BB200" s="342"/>
      <c r="BC200" s="339"/>
      <c r="BD200" s="320"/>
      <c r="BE200" s="320"/>
      <c r="BF200" s="320"/>
      <c r="BG200" s="320"/>
      <c r="BH200" s="320"/>
      <c r="BI200" s="320"/>
      <c r="BJ200" s="320"/>
      <c r="BK200" s="320"/>
      <c r="BL200" s="320"/>
      <c r="BM200" s="320"/>
    </row>
    <row r="201" spans="2:65">
      <c r="B201" s="345">
        <v>3</v>
      </c>
      <c r="C201" s="344" t="s">
        <v>739</v>
      </c>
      <c r="D201" s="343">
        <v>196</v>
      </c>
      <c r="E201" s="342"/>
      <c r="F201" s="342"/>
      <c r="G201" s="342"/>
      <c r="H201" s="342"/>
      <c r="I201" s="342"/>
      <c r="J201" s="342"/>
      <c r="K201" s="341"/>
      <c r="L201" s="340"/>
      <c r="M201" s="339"/>
      <c r="N201" s="320"/>
      <c r="O201" s="320"/>
      <c r="P201" s="320"/>
      <c r="Q201" s="320"/>
      <c r="R201" s="320"/>
      <c r="S201" s="320"/>
      <c r="T201" s="344">
        <v>3</v>
      </c>
      <c r="U201" s="344" t="s">
        <v>739</v>
      </c>
      <c r="V201" s="343">
        <v>196</v>
      </c>
      <c r="W201" s="342"/>
      <c r="X201" s="342"/>
      <c r="Y201" s="342"/>
      <c r="Z201" s="342"/>
      <c r="AA201" s="342"/>
      <c r="AB201" s="342"/>
      <c r="AC201" s="339"/>
      <c r="AD201" s="320"/>
      <c r="AE201" s="320"/>
      <c r="AF201" s="320"/>
      <c r="AG201" s="320"/>
      <c r="AH201" s="320"/>
      <c r="AI201" s="320"/>
      <c r="AJ201" s="320"/>
      <c r="AK201" s="320"/>
      <c r="AL201" s="320"/>
      <c r="AM201" s="320"/>
      <c r="AN201" s="320"/>
      <c r="AO201" s="320"/>
      <c r="AP201" s="320"/>
      <c r="AQ201" s="344">
        <v>3</v>
      </c>
      <c r="AR201" s="344" t="s">
        <v>739</v>
      </c>
      <c r="AS201" s="343">
        <v>196</v>
      </c>
      <c r="AT201" s="342"/>
      <c r="AU201" s="342"/>
      <c r="AV201" s="342"/>
      <c r="AW201" s="342"/>
      <c r="AX201" s="342"/>
      <c r="AY201" s="342"/>
      <c r="AZ201" s="363"/>
      <c r="BA201" s="342"/>
      <c r="BB201" s="342"/>
      <c r="BC201" s="339"/>
      <c r="BD201" s="320"/>
      <c r="BE201" s="320"/>
      <c r="BF201" s="320"/>
      <c r="BG201" s="320"/>
      <c r="BH201" s="320"/>
      <c r="BI201" s="320"/>
      <c r="BJ201" s="320"/>
      <c r="BK201" s="320"/>
      <c r="BL201" s="320"/>
      <c r="BM201" s="320"/>
    </row>
    <row r="202" spans="2:65">
      <c r="B202" s="345">
        <v>3</v>
      </c>
      <c r="C202" s="344" t="s">
        <v>740</v>
      </c>
      <c r="D202" s="343">
        <v>197</v>
      </c>
      <c r="E202" s="342"/>
      <c r="F202" s="342"/>
      <c r="G202" s="342"/>
      <c r="H202" s="342"/>
      <c r="I202" s="342"/>
      <c r="J202" s="342"/>
      <c r="K202" s="341"/>
      <c r="L202" s="340"/>
      <c r="M202" s="339"/>
      <c r="N202" s="320"/>
      <c r="O202" s="320"/>
      <c r="P202" s="320"/>
      <c r="Q202" s="320"/>
      <c r="R202" s="320"/>
      <c r="S202" s="320"/>
      <c r="T202" s="344">
        <v>3</v>
      </c>
      <c r="U202" s="344" t="s">
        <v>740</v>
      </c>
      <c r="V202" s="343">
        <v>197</v>
      </c>
      <c r="W202" s="342"/>
      <c r="X202" s="342"/>
      <c r="Y202" s="342"/>
      <c r="Z202" s="342"/>
      <c r="AA202" s="342"/>
      <c r="AB202" s="342"/>
      <c r="AC202" s="339"/>
      <c r="AD202" s="320"/>
      <c r="AE202" s="320"/>
      <c r="AF202" s="320"/>
      <c r="AG202" s="320"/>
      <c r="AH202" s="320"/>
      <c r="AI202" s="320"/>
      <c r="AJ202" s="320"/>
      <c r="AK202" s="320"/>
      <c r="AL202" s="320"/>
      <c r="AM202" s="320"/>
      <c r="AN202" s="320"/>
      <c r="AO202" s="320"/>
      <c r="AP202" s="320"/>
      <c r="AQ202" s="344">
        <v>3</v>
      </c>
      <c r="AR202" s="344" t="s">
        <v>740</v>
      </c>
      <c r="AS202" s="343">
        <v>197</v>
      </c>
      <c r="AT202" s="342"/>
      <c r="AU202" s="342"/>
      <c r="AV202" s="342"/>
      <c r="AW202" s="342"/>
      <c r="AX202" s="342"/>
      <c r="AY202" s="342"/>
      <c r="AZ202" s="363"/>
      <c r="BA202" s="342"/>
      <c r="BB202" s="342"/>
      <c r="BC202" s="339"/>
      <c r="BD202" s="320"/>
      <c r="BE202" s="320"/>
      <c r="BF202" s="320"/>
      <c r="BG202" s="320"/>
      <c r="BH202" s="320"/>
      <c r="BI202" s="320"/>
      <c r="BJ202" s="320"/>
      <c r="BK202" s="320"/>
      <c r="BL202" s="320"/>
      <c r="BM202" s="320"/>
    </row>
    <row r="203" spans="2:65">
      <c r="B203" s="345">
        <v>3</v>
      </c>
      <c r="C203" s="344" t="s">
        <v>741</v>
      </c>
      <c r="D203" s="343">
        <v>198</v>
      </c>
      <c r="E203" s="342"/>
      <c r="F203" s="342"/>
      <c r="G203" s="342"/>
      <c r="H203" s="342"/>
      <c r="I203" s="342"/>
      <c r="J203" s="342"/>
      <c r="K203" s="341"/>
      <c r="L203" s="340"/>
      <c r="M203" s="339"/>
      <c r="N203" s="320"/>
      <c r="O203" s="320"/>
      <c r="P203" s="320"/>
      <c r="Q203" s="320"/>
      <c r="R203" s="320"/>
      <c r="S203" s="320"/>
      <c r="T203" s="344">
        <v>3</v>
      </c>
      <c r="U203" s="344" t="s">
        <v>741</v>
      </c>
      <c r="V203" s="343">
        <v>198</v>
      </c>
      <c r="W203" s="342"/>
      <c r="X203" s="342"/>
      <c r="Y203" s="342"/>
      <c r="Z203" s="342"/>
      <c r="AA203" s="342"/>
      <c r="AB203" s="342"/>
      <c r="AC203" s="339"/>
      <c r="AD203" s="320"/>
      <c r="AE203" s="320"/>
      <c r="AF203" s="320"/>
      <c r="AG203" s="320"/>
      <c r="AH203" s="320"/>
      <c r="AI203" s="320"/>
      <c r="AJ203" s="320"/>
      <c r="AK203" s="320"/>
      <c r="AL203" s="320"/>
      <c r="AM203" s="320"/>
      <c r="AN203" s="320"/>
      <c r="AO203" s="320"/>
      <c r="AP203" s="320"/>
      <c r="AQ203" s="344">
        <v>3</v>
      </c>
      <c r="AR203" s="344" t="s">
        <v>741</v>
      </c>
      <c r="AS203" s="343">
        <v>198</v>
      </c>
      <c r="AT203" s="342"/>
      <c r="AU203" s="342"/>
      <c r="AV203" s="342"/>
      <c r="AW203" s="342"/>
      <c r="AX203" s="342"/>
      <c r="AY203" s="342"/>
      <c r="AZ203" s="363"/>
      <c r="BA203" s="342"/>
      <c r="BB203" s="342"/>
      <c r="BC203" s="339"/>
      <c r="BD203" s="320"/>
      <c r="BE203" s="320"/>
      <c r="BF203" s="320"/>
      <c r="BG203" s="320"/>
      <c r="BH203" s="320"/>
      <c r="BI203" s="320"/>
      <c r="BJ203" s="320"/>
      <c r="BK203" s="320"/>
      <c r="BL203" s="320"/>
      <c r="BM203" s="320"/>
    </row>
    <row r="204" spans="2:65">
      <c r="B204" s="345">
        <v>3</v>
      </c>
      <c r="C204" s="344" t="s">
        <v>742</v>
      </c>
      <c r="D204" s="343">
        <v>199</v>
      </c>
      <c r="E204" s="342"/>
      <c r="F204" s="342"/>
      <c r="G204" s="342"/>
      <c r="H204" s="342"/>
      <c r="I204" s="342"/>
      <c r="J204" s="342"/>
      <c r="K204" s="341"/>
      <c r="L204" s="340"/>
      <c r="M204" s="339"/>
      <c r="N204" s="320"/>
      <c r="O204" s="320"/>
      <c r="P204" s="320"/>
      <c r="Q204" s="320"/>
      <c r="R204" s="320"/>
      <c r="S204" s="320"/>
      <c r="T204" s="344">
        <v>3</v>
      </c>
      <c r="U204" s="344" t="s">
        <v>742</v>
      </c>
      <c r="V204" s="343">
        <v>199</v>
      </c>
      <c r="W204" s="342"/>
      <c r="X204" s="342"/>
      <c r="Y204" s="342"/>
      <c r="Z204" s="342"/>
      <c r="AA204" s="342"/>
      <c r="AB204" s="342"/>
      <c r="AC204" s="339"/>
      <c r="AD204" s="320"/>
      <c r="AE204" s="320"/>
      <c r="AF204" s="320"/>
      <c r="AG204" s="320"/>
      <c r="AH204" s="320"/>
      <c r="AI204" s="320"/>
      <c r="AJ204" s="320"/>
      <c r="AK204" s="320"/>
      <c r="AL204" s="320"/>
      <c r="AM204" s="320"/>
      <c r="AN204" s="320"/>
      <c r="AO204" s="320"/>
      <c r="AP204" s="320"/>
      <c r="AQ204" s="344">
        <v>3</v>
      </c>
      <c r="AR204" s="344" t="s">
        <v>742</v>
      </c>
      <c r="AS204" s="343">
        <v>199</v>
      </c>
      <c r="AT204" s="342"/>
      <c r="AU204" s="342"/>
      <c r="AV204" s="342"/>
      <c r="AW204" s="342"/>
      <c r="AX204" s="342"/>
      <c r="AY204" s="342"/>
      <c r="AZ204" s="363"/>
      <c r="BA204" s="342"/>
      <c r="BB204" s="342"/>
      <c r="BC204" s="339"/>
      <c r="BD204" s="320"/>
      <c r="BE204" s="320"/>
      <c r="BF204" s="320"/>
      <c r="BG204" s="320"/>
      <c r="BH204" s="320"/>
      <c r="BI204" s="320"/>
      <c r="BJ204" s="320"/>
      <c r="BK204" s="320"/>
      <c r="BL204" s="320"/>
      <c r="BM204" s="320"/>
    </row>
    <row r="205" spans="2:65">
      <c r="B205" s="345">
        <v>3</v>
      </c>
      <c r="C205" s="344" t="s">
        <v>743</v>
      </c>
      <c r="D205" s="343">
        <v>200</v>
      </c>
      <c r="E205" s="342"/>
      <c r="F205" s="342"/>
      <c r="G205" s="342"/>
      <c r="H205" s="342"/>
      <c r="I205" s="342"/>
      <c r="J205" s="342"/>
      <c r="K205" s="341"/>
      <c r="L205" s="340"/>
      <c r="M205" s="339"/>
      <c r="N205" s="320"/>
      <c r="O205" s="320"/>
      <c r="P205" s="320"/>
      <c r="Q205" s="320"/>
      <c r="R205" s="320"/>
      <c r="S205" s="320"/>
      <c r="T205" s="344">
        <v>3</v>
      </c>
      <c r="U205" s="344" t="s">
        <v>743</v>
      </c>
      <c r="V205" s="343">
        <v>200</v>
      </c>
      <c r="W205" s="342"/>
      <c r="X205" s="342"/>
      <c r="Y205" s="342"/>
      <c r="Z205" s="342"/>
      <c r="AA205" s="342"/>
      <c r="AB205" s="342"/>
      <c r="AC205" s="339"/>
      <c r="AD205" s="320"/>
      <c r="AE205" s="320"/>
      <c r="AF205" s="320"/>
      <c r="AG205" s="320"/>
      <c r="AH205" s="320"/>
      <c r="AI205" s="320"/>
      <c r="AJ205" s="320"/>
      <c r="AK205" s="320"/>
      <c r="AL205" s="320"/>
      <c r="AM205" s="320"/>
      <c r="AN205" s="320"/>
      <c r="AO205" s="320"/>
      <c r="AP205" s="320"/>
      <c r="AQ205" s="344">
        <v>3</v>
      </c>
      <c r="AR205" s="344" t="s">
        <v>743</v>
      </c>
      <c r="AS205" s="343">
        <v>200</v>
      </c>
      <c r="AT205" s="342"/>
      <c r="AU205" s="342"/>
      <c r="AV205" s="342"/>
      <c r="AW205" s="342"/>
      <c r="AX205" s="342"/>
      <c r="AY205" s="342"/>
      <c r="AZ205" s="363"/>
      <c r="BA205" s="342"/>
      <c r="BB205" s="342"/>
      <c r="BC205" s="339"/>
      <c r="BD205" s="320"/>
      <c r="BE205" s="320"/>
      <c r="BF205" s="320"/>
      <c r="BG205" s="320"/>
      <c r="BH205" s="320"/>
      <c r="BI205" s="320"/>
      <c r="BJ205" s="320"/>
      <c r="BK205" s="320"/>
      <c r="BL205" s="320"/>
      <c r="BM205" s="320"/>
    </row>
    <row r="206" spans="2:65">
      <c r="B206" s="367">
        <v>3</v>
      </c>
      <c r="C206" s="366" t="s">
        <v>744</v>
      </c>
      <c r="D206" s="365">
        <v>201</v>
      </c>
      <c r="E206" s="364"/>
      <c r="F206" s="364"/>
      <c r="G206" s="364"/>
      <c r="H206" s="364"/>
      <c r="I206" s="364"/>
      <c r="J206" s="364"/>
      <c r="K206" s="337"/>
      <c r="L206" s="336"/>
      <c r="M206" s="335"/>
      <c r="N206" s="320"/>
      <c r="O206" s="320"/>
      <c r="P206" s="320"/>
      <c r="Q206" s="320"/>
      <c r="R206" s="320"/>
      <c r="S206" s="320"/>
      <c r="T206" s="344">
        <v>3</v>
      </c>
      <c r="U206" s="344" t="s">
        <v>744</v>
      </c>
      <c r="V206" s="343">
        <v>201</v>
      </c>
      <c r="W206" s="342"/>
      <c r="X206" s="342"/>
      <c r="Y206" s="342"/>
      <c r="Z206" s="342"/>
      <c r="AA206" s="342"/>
      <c r="AB206" s="342"/>
      <c r="AC206" s="339"/>
      <c r="AD206" s="320"/>
      <c r="AE206" s="320"/>
      <c r="AF206" s="320"/>
      <c r="AG206" s="320"/>
      <c r="AH206" s="320"/>
      <c r="AI206" s="320"/>
      <c r="AJ206" s="320"/>
      <c r="AK206" s="320"/>
      <c r="AL206" s="320"/>
      <c r="AM206" s="320"/>
      <c r="AN206" s="320"/>
      <c r="AO206" s="320"/>
      <c r="AP206" s="320"/>
      <c r="AQ206" s="344">
        <v>3</v>
      </c>
      <c r="AR206" s="344" t="s">
        <v>744</v>
      </c>
      <c r="AS206" s="343">
        <v>201</v>
      </c>
      <c r="AT206" s="342"/>
      <c r="AU206" s="342"/>
      <c r="AV206" s="342"/>
      <c r="AW206" s="342"/>
      <c r="AX206" s="342"/>
      <c r="AY206" s="342"/>
      <c r="AZ206" s="363"/>
      <c r="BA206" s="342"/>
      <c r="BB206" s="342"/>
      <c r="BC206" s="339"/>
      <c r="BD206" s="320"/>
      <c r="BE206" s="320"/>
      <c r="BF206" s="320"/>
      <c r="BG206" s="320"/>
      <c r="BH206" s="320"/>
      <c r="BI206" s="320"/>
      <c r="BJ206" s="320"/>
      <c r="BK206" s="320"/>
      <c r="BL206" s="320"/>
      <c r="BM206" s="320"/>
    </row>
    <row r="207" spans="2:65">
      <c r="B207" s="367">
        <v>3</v>
      </c>
      <c r="C207" s="366" t="s">
        <v>745</v>
      </c>
      <c r="D207" s="365">
        <v>202</v>
      </c>
      <c r="E207" s="364"/>
      <c r="F207" s="364"/>
      <c r="G207" s="364"/>
      <c r="H207" s="364"/>
      <c r="I207" s="364"/>
      <c r="J207" s="364"/>
      <c r="K207" s="337"/>
      <c r="L207" s="336"/>
      <c r="M207" s="335"/>
      <c r="N207" s="320"/>
      <c r="O207" s="320"/>
      <c r="P207" s="320"/>
      <c r="Q207" s="320"/>
      <c r="R207" s="320"/>
      <c r="S207" s="320"/>
      <c r="T207" s="344">
        <v>3</v>
      </c>
      <c r="U207" s="344" t="s">
        <v>745</v>
      </c>
      <c r="V207" s="343">
        <v>202</v>
      </c>
      <c r="W207" s="342"/>
      <c r="X207" s="342"/>
      <c r="Y207" s="342"/>
      <c r="Z207" s="342"/>
      <c r="AA207" s="342"/>
      <c r="AB207" s="342"/>
      <c r="AC207" s="339"/>
      <c r="AD207" s="320"/>
      <c r="AE207" s="320"/>
      <c r="AF207" s="320"/>
      <c r="AG207" s="320"/>
      <c r="AH207" s="320"/>
      <c r="AI207" s="320"/>
      <c r="AJ207" s="320"/>
      <c r="AK207" s="320"/>
      <c r="AL207" s="320"/>
      <c r="AM207" s="320"/>
      <c r="AN207" s="320"/>
      <c r="AO207" s="320"/>
      <c r="AP207" s="320"/>
      <c r="AQ207" s="344">
        <v>3</v>
      </c>
      <c r="AR207" s="344" t="s">
        <v>745</v>
      </c>
      <c r="AS207" s="343">
        <v>202</v>
      </c>
      <c r="AT207" s="342"/>
      <c r="AU207" s="342"/>
      <c r="AV207" s="342"/>
      <c r="AW207" s="342"/>
      <c r="AX207" s="342"/>
      <c r="AY207" s="342"/>
      <c r="AZ207" s="363"/>
      <c r="BA207" s="342"/>
      <c r="BB207" s="342"/>
      <c r="BC207" s="339"/>
      <c r="BD207" s="320"/>
      <c r="BE207" s="320"/>
      <c r="BF207" s="320"/>
      <c r="BG207" s="320"/>
      <c r="BH207" s="320"/>
      <c r="BI207" s="320"/>
      <c r="BJ207" s="320"/>
      <c r="BK207" s="320"/>
      <c r="BL207" s="320"/>
      <c r="BM207" s="320"/>
    </row>
    <row r="208" spans="2:65">
      <c r="B208" s="367">
        <v>3</v>
      </c>
      <c r="C208" s="366" t="s">
        <v>746</v>
      </c>
      <c r="D208" s="365">
        <v>203</v>
      </c>
      <c r="E208" s="364"/>
      <c r="F208" s="364"/>
      <c r="G208" s="364"/>
      <c r="H208" s="364"/>
      <c r="I208" s="364"/>
      <c r="J208" s="364"/>
      <c r="K208" s="337"/>
      <c r="L208" s="336"/>
      <c r="M208" s="335"/>
      <c r="N208" s="320"/>
      <c r="O208" s="320"/>
      <c r="P208" s="320"/>
      <c r="Q208" s="320"/>
      <c r="R208" s="320"/>
      <c r="S208" s="320"/>
      <c r="T208" s="344">
        <v>3</v>
      </c>
      <c r="U208" s="344" t="s">
        <v>746</v>
      </c>
      <c r="V208" s="343">
        <v>203</v>
      </c>
      <c r="W208" s="342"/>
      <c r="X208" s="342"/>
      <c r="Y208" s="342"/>
      <c r="Z208" s="342"/>
      <c r="AA208" s="342"/>
      <c r="AB208" s="342"/>
      <c r="AC208" s="339"/>
      <c r="AD208" s="320"/>
      <c r="AE208" s="320"/>
      <c r="AF208" s="320"/>
      <c r="AG208" s="320"/>
      <c r="AH208" s="320"/>
      <c r="AI208" s="320"/>
      <c r="AJ208" s="320"/>
      <c r="AK208" s="320"/>
      <c r="AL208" s="320"/>
      <c r="AM208" s="320"/>
      <c r="AN208" s="320"/>
      <c r="AO208" s="320"/>
      <c r="AP208" s="320"/>
      <c r="AQ208" s="344">
        <v>3</v>
      </c>
      <c r="AR208" s="344" t="s">
        <v>746</v>
      </c>
      <c r="AS208" s="343">
        <v>203</v>
      </c>
      <c r="AT208" s="342"/>
      <c r="AU208" s="342"/>
      <c r="AV208" s="342"/>
      <c r="AW208" s="342"/>
      <c r="AX208" s="342"/>
      <c r="AY208" s="342"/>
      <c r="AZ208" s="363"/>
      <c r="BA208" s="342"/>
      <c r="BB208" s="342"/>
      <c r="BC208" s="339"/>
      <c r="BD208" s="320"/>
      <c r="BE208" s="320"/>
      <c r="BF208" s="320"/>
      <c r="BG208" s="320"/>
      <c r="BH208" s="320"/>
      <c r="BI208" s="320"/>
      <c r="BJ208" s="320"/>
      <c r="BK208" s="320"/>
      <c r="BL208" s="320"/>
      <c r="BM208" s="320"/>
    </row>
    <row r="209" spans="2:65">
      <c r="B209" s="367">
        <v>3</v>
      </c>
      <c r="C209" s="366" t="s">
        <v>747</v>
      </c>
      <c r="D209" s="365">
        <v>204</v>
      </c>
      <c r="E209" s="364"/>
      <c r="F209" s="364"/>
      <c r="G209" s="364"/>
      <c r="H209" s="364"/>
      <c r="I209" s="364"/>
      <c r="J209" s="364"/>
      <c r="K209" s="337"/>
      <c r="L209" s="336"/>
      <c r="M209" s="335"/>
      <c r="N209" s="320"/>
      <c r="O209" s="320"/>
      <c r="P209" s="320"/>
      <c r="Q209" s="320"/>
      <c r="R209" s="320"/>
      <c r="S209" s="320"/>
      <c r="T209" s="344">
        <v>3</v>
      </c>
      <c r="U209" s="344" t="s">
        <v>747</v>
      </c>
      <c r="V209" s="343">
        <v>204</v>
      </c>
      <c r="W209" s="342"/>
      <c r="X209" s="342"/>
      <c r="Y209" s="342"/>
      <c r="Z209" s="342"/>
      <c r="AA209" s="342"/>
      <c r="AB209" s="342"/>
      <c r="AC209" s="339"/>
      <c r="AD209" s="320"/>
      <c r="AE209" s="320"/>
      <c r="AF209" s="320"/>
      <c r="AG209" s="320"/>
      <c r="AH209" s="320"/>
      <c r="AI209" s="320"/>
      <c r="AJ209" s="320"/>
      <c r="AK209" s="320"/>
      <c r="AL209" s="320"/>
      <c r="AM209" s="320"/>
      <c r="AN209" s="320"/>
      <c r="AO209" s="320"/>
      <c r="AP209" s="320"/>
      <c r="AQ209" s="344">
        <v>3</v>
      </c>
      <c r="AR209" s="344" t="s">
        <v>747</v>
      </c>
      <c r="AS209" s="343">
        <v>204</v>
      </c>
      <c r="AT209" s="342"/>
      <c r="AU209" s="342"/>
      <c r="AV209" s="342"/>
      <c r="AW209" s="342"/>
      <c r="AX209" s="342"/>
      <c r="AY209" s="342"/>
      <c r="AZ209" s="363"/>
      <c r="BA209" s="342"/>
      <c r="BB209" s="342"/>
      <c r="BC209" s="339"/>
      <c r="BD209" s="320"/>
      <c r="BE209" s="320"/>
      <c r="BF209" s="320"/>
      <c r="BG209" s="320"/>
      <c r="BH209" s="320"/>
      <c r="BI209" s="320"/>
      <c r="BJ209" s="320"/>
      <c r="BK209" s="320"/>
      <c r="BL209" s="320"/>
      <c r="BM209" s="320"/>
    </row>
    <row r="210" spans="2:65">
      <c r="B210" s="367">
        <v>3</v>
      </c>
      <c r="C210" s="366" t="s">
        <v>748</v>
      </c>
      <c r="D210" s="365">
        <v>205</v>
      </c>
      <c r="E210" s="364"/>
      <c r="F210" s="364"/>
      <c r="G210" s="364"/>
      <c r="H210" s="364"/>
      <c r="I210" s="364"/>
      <c r="J210" s="364"/>
      <c r="K210" s="337"/>
      <c r="L210" s="336"/>
      <c r="M210" s="335"/>
      <c r="N210" s="320"/>
      <c r="O210" s="320"/>
      <c r="P210" s="320"/>
      <c r="Q210" s="320"/>
      <c r="R210" s="320"/>
      <c r="S210" s="320"/>
      <c r="T210" s="344">
        <v>3</v>
      </c>
      <c r="U210" s="344" t="s">
        <v>748</v>
      </c>
      <c r="V210" s="343">
        <v>205</v>
      </c>
      <c r="W210" s="342"/>
      <c r="X210" s="342"/>
      <c r="Y210" s="342"/>
      <c r="Z210" s="342"/>
      <c r="AA210" s="342"/>
      <c r="AB210" s="342"/>
      <c r="AC210" s="339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O210" s="320"/>
      <c r="AP210" s="320"/>
      <c r="AQ210" s="344">
        <v>3</v>
      </c>
      <c r="AR210" s="344" t="s">
        <v>748</v>
      </c>
      <c r="AS210" s="343">
        <v>205</v>
      </c>
      <c r="AT210" s="342"/>
      <c r="AU210" s="342"/>
      <c r="AV210" s="342"/>
      <c r="AW210" s="342"/>
      <c r="AX210" s="342"/>
      <c r="AY210" s="342"/>
      <c r="AZ210" s="363"/>
      <c r="BA210" s="342"/>
      <c r="BB210" s="342"/>
      <c r="BC210" s="339"/>
      <c r="BD210" s="320"/>
      <c r="BE210" s="320"/>
      <c r="BF210" s="320"/>
      <c r="BG210" s="320"/>
      <c r="BH210" s="320"/>
      <c r="BI210" s="320"/>
      <c r="BJ210" s="320"/>
      <c r="BK210" s="320"/>
      <c r="BL210" s="320"/>
      <c r="BM210" s="320"/>
    </row>
    <row r="211" spans="2:65">
      <c r="B211" s="367">
        <v>3</v>
      </c>
      <c r="C211" s="366" t="s">
        <v>749</v>
      </c>
      <c r="D211" s="365">
        <v>206</v>
      </c>
      <c r="E211" s="364"/>
      <c r="F211" s="364"/>
      <c r="G211" s="364"/>
      <c r="H211" s="364"/>
      <c r="I211" s="364"/>
      <c r="J211" s="364"/>
      <c r="K211" s="337"/>
      <c r="L211" s="336"/>
      <c r="M211" s="335"/>
      <c r="N211" s="320"/>
      <c r="O211" s="320"/>
      <c r="P211" s="320"/>
      <c r="Q211" s="320"/>
      <c r="R211" s="320"/>
      <c r="S211" s="320"/>
      <c r="T211" s="344">
        <v>3</v>
      </c>
      <c r="U211" s="344" t="s">
        <v>749</v>
      </c>
      <c r="V211" s="343">
        <v>206</v>
      </c>
      <c r="W211" s="342"/>
      <c r="X211" s="342"/>
      <c r="Y211" s="342"/>
      <c r="Z211" s="342"/>
      <c r="AA211" s="342"/>
      <c r="AB211" s="342"/>
      <c r="AC211" s="339"/>
      <c r="AD211" s="320"/>
      <c r="AE211" s="320"/>
      <c r="AF211" s="320"/>
      <c r="AG211" s="320"/>
      <c r="AH211" s="320"/>
      <c r="AI211" s="320"/>
      <c r="AJ211" s="320"/>
      <c r="AK211" s="320"/>
      <c r="AL211" s="320"/>
      <c r="AM211" s="320"/>
      <c r="AN211" s="320"/>
      <c r="AO211" s="320"/>
      <c r="AP211" s="320"/>
      <c r="AQ211" s="344">
        <v>3</v>
      </c>
      <c r="AR211" s="344" t="s">
        <v>749</v>
      </c>
      <c r="AS211" s="343">
        <v>206</v>
      </c>
      <c r="AT211" s="342"/>
      <c r="AU211" s="342"/>
      <c r="AV211" s="342"/>
      <c r="AW211" s="342"/>
      <c r="AX211" s="342"/>
      <c r="AY211" s="342"/>
      <c r="AZ211" s="363"/>
      <c r="BA211" s="342"/>
      <c r="BB211" s="342"/>
      <c r="BC211" s="339"/>
      <c r="BD211" s="320"/>
      <c r="BE211" s="320"/>
      <c r="BF211" s="320"/>
      <c r="BG211" s="320"/>
      <c r="BH211" s="320"/>
      <c r="BI211" s="320"/>
      <c r="BJ211" s="320"/>
      <c r="BK211" s="320"/>
      <c r="BL211" s="320"/>
      <c r="BM211" s="320"/>
    </row>
    <row r="212" spans="2:65">
      <c r="B212" s="367">
        <v>3</v>
      </c>
      <c r="C212" s="366" t="s">
        <v>750</v>
      </c>
      <c r="D212" s="365">
        <v>207</v>
      </c>
      <c r="E212" s="364"/>
      <c r="F212" s="364"/>
      <c r="G212" s="364"/>
      <c r="H212" s="364"/>
      <c r="I212" s="364"/>
      <c r="J212" s="364"/>
      <c r="K212" s="337"/>
      <c r="L212" s="336"/>
      <c r="M212" s="335"/>
      <c r="N212" s="320"/>
      <c r="O212" s="320"/>
      <c r="P212" s="320"/>
      <c r="Q212" s="320"/>
      <c r="R212" s="320"/>
      <c r="S212" s="320"/>
      <c r="T212" s="344">
        <v>3</v>
      </c>
      <c r="U212" s="344" t="s">
        <v>750</v>
      </c>
      <c r="V212" s="343">
        <v>207</v>
      </c>
      <c r="W212" s="342"/>
      <c r="X212" s="342"/>
      <c r="Y212" s="342"/>
      <c r="Z212" s="342"/>
      <c r="AA212" s="342"/>
      <c r="AB212" s="342"/>
      <c r="AC212" s="339"/>
      <c r="AD212" s="320"/>
      <c r="AE212" s="320"/>
      <c r="AF212" s="320"/>
      <c r="AG212" s="320"/>
      <c r="AH212" s="320"/>
      <c r="AI212" s="320"/>
      <c r="AJ212" s="320"/>
      <c r="AK212" s="320"/>
      <c r="AL212" s="320"/>
      <c r="AM212" s="320"/>
      <c r="AN212" s="320"/>
      <c r="AO212" s="320"/>
      <c r="AP212" s="320"/>
      <c r="AQ212" s="344">
        <v>3</v>
      </c>
      <c r="AR212" s="344" t="s">
        <v>750</v>
      </c>
      <c r="AS212" s="343">
        <v>207</v>
      </c>
      <c r="AT212" s="342"/>
      <c r="AU212" s="342"/>
      <c r="AV212" s="342"/>
      <c r="AW212" s="342"/>
      <c r="AX212" s="342"/>
      <c r="AY212" s="342"/>
      <c r="AZ212" s="363"/>
      <c r="BA212" s="342"/>
      <c r="BB212" s="342"/>
      <c r="BC212" s="339"/>
      <c r="BD212" s="320"/>
      <c r="BE212" s="320"/>
      <c r="BF212" s="320"/>
      <c r="BG212" s="320"/>
      <c r="BH212" s="320"/>
      <c r="BI212" s="320"/>
      <c r="BJ212" s="320"/>
      <c r="BK212" s="320"/>
      <c r="BL212" s="320"/>
      <c r="BM212" s="320"/>
    </row>
    <row r="213" spans="2:65">
      <c r="B213" s="367">
        <v>3</v>
      </c>
      <c r="C213" s="366" t="s">
        <v>751</v>
      </c>
      <c r="D213" s="365">
        <v>208</v>
      </c>
      <c r="E213" s="364"/>
      <c r="F213" s="364"/>
      <c r="G213" s="364"/>
      <c r="H213" s="364"/>
      <c r="I213" s="364"/>
      <c r="J213" s="364"/>
      <c r="K213" s="337"/>
      <c r="L213" s="336"/>
      <c r="M213" s="335"/>
      <c r="N213" s="320"/>
      <c r="O213" s="320"/>
      <c r="P213" s="320"/>
      <c r="Q213" s="320"/>
      <c r="R213" s="320"/>
      <c r="S213" s="320"/>
      <c r="T213" s="344">
        <v>3</v>
      </c>
      <c r="U213" s="344" t="s">
        <v>751</v>
      </c>
      <c r="V213" s="343">
        <v>208</v>
      </c>
      <c r="W213" s="342"/>
      <c r="X213" s="342"/>
      <c r="Y213" s="342"/>
      <c r="Z213" s="342"/>
      <c r="AA213" s="342"/>
      <c r="AB213" s="342"/>
      <c r="AC213" s="339"/>
      <c r="AD213" s="320"/>
      <c r="AE213" s="320"/>
      <c r="AF213" s="320"/>
      <c r="AG213" s="320"/>
      <c r="AH213" s="320"/>
      <c r="AI213" s="320"/>
      <c r="AJ213" s="320"/>
      <c r="AK213" s="320"/>
      <c r="AL213" s="320"/>
      <c r="AM213" s="320"/>
      <c r="AN213" s="320"/>
      <c r="AO213" s="320"/>
      <c r="AP213" s="320"/>
      <c r="AQ213" s="344">
        <v>3</v>
      </c>
      <c r="AR213" s="344" t="s">
        <v>751</v>
      </c>
      <c r="AS213" s="343">
        <v>208</v>
      </c>
      <c r="AT213" s="342"/>
      <c r="AU213" s="342"/>
      <c r="AV213" s="342"/>
      <c r="AW213" s="342"/>
      <c r="AX213" s="342"/>
      <c r="AY213" s="342"/>
      <c r="AZ213" s="363"/>
      <c r="BA213" s="342"/>
      <c r="BB213" s="342"/>
      <c r="BC213" s="339"/>
      <c r="BD213" s="320"/>
      <c r="BE213" s="320"/>
      <c r="BF213" s="320"/>
      <c r="BG213" s="320"/>
      <c r="BH213" s="320"/>
      <c r="BI213" s="320"/>
      <c r="BJ213" s="320"/>
      <c r="BK213" s="320"/>
      <c r="BL213" s="320"/>
      <c r="BM213" s="320"/>
    </row>
    <row r="214" spans="2:65">
      <c r="B214" s="345">
        <v>3</v>
      </c>
      <c r="C214" s="344" t="s">
        <v>752</v>
      </c>
      <c r="D214" s="343">
        <v>209</v>
      </c>
      <c r="E214" s="342"/>
      <c r="F214" s="342"/>
      <c r="G214" s="342"/>
      <c r="H214" s="342"/>
      <c r="I214" s="342"/>
      <c r="J214" s="342"/>
      <c r="K214" s="341"/>
      <c r="L214" s="340"/>
      <c r="M214" s="339"/>
      <c r="N214" s="320"/>
      <c r="O214" s="320"/>
      <c r="P214" s="320"/>
      <c r="Q214" s="320"/>
      <c r="R214" s="320"/>
      <c r="S214" s="320"/>
      <c r="T214" s="344">
        <v>3</v>
      </c>
      <c r="U214" s="344" t="s">
        <v>752</v>
      </c>
      <c r="V214" s="343">
        <v>209</v>
      </c>
      <c r="W214" s="342"/>
      <c r="X214" s="342"/>
      <c r="Y214" s="342"/>
      <c r="Z214" s="342"/>
      <c r="AA214" s="342"/>
      <c r="AB214" s="342"/>
      <c r="AC214" s="339"/>
      <c r="AD214" s="320"/>
      <c r="AE214" s="320"/>
      <c r="AF214" s="320"/>
      <c r="AG214" s="320"/>
      <c r="AH214" s="320"/>
      <c r="AI214" s="320"/>
      <c r="AJ214" s="320"/>
      <c r="AK214" s="320"/>
      <c r="AL214" s="320"/>
      <c r="AM214" s="320"/>
      <c r="AN214" s="320"/>
      <c r="AO214" s="320"/>
      <c r="AP214" s="320"/>
      <c r="AQ214" s="344">
        <v>3</v>
      </c>
      <c r="AR214" s="344" t="s">
        <v>752</v>
      </c>
      <c r="AS214" s="343">
        <v>209</v>
      </c>
      <c r="AT214" s="342"/>
      <c r="AU214" s="342"/>
      <c r="AV214" s="342"/>
      <c r="AW214" s="342"/>
      <c r="AX214" s="342"/>
      <c r="AY214" s="342"/>
      <c r="AZ214" s="363"/>
      <c r="BA214" s="342"/>
      <c r="BB214" s="342"/>
      <c r="BC214" s="339"/>
      <c r="BD214" s="320"/>
      <c r="BE214" s="320"/>
      <c r="BF214" s="320"/>
      <c r="BG214" s="320"/>
      <c r="BH214" s="320"/>
      <c r="BI214" s="320"/>
      <c r="BJ214" s="320"/>
      <c r="BK214" s="320"/>
      <c r="BL214" s="320"/>
      <c r="BM214" s="320"/>
    </row>
    <row r="215" spans="2:65">
      <c r="B215" s="345">
        <v>3</v>
      </c>
      <c r="C215" s="344" t="s">
        <v>753</v>
      </c>
      <c r="D215" s="343">
        <v>210</v>
      </c>
      <c r="E215" s="342"/>
      <c r="F215" s="342"/>
      <c r="G215" s="342"/>
      <c r="H215" s="342"/>
      <c r="I215" s="342"/>
      <c r="J215" s="342"/>
      <c r="K215" s="341"/>
      <c r="L215" s="340"/>
      <c r="M215" s="339"/>
      <c r="N215" s="320"/>
      <c r="O215" s="320"/>
      <c r="P215" s="320"/>
      <c r="Q215" s="320"/>
      <c r="R215" s="320"/>
      <c r="S215" s="320"/>
      <c r="T215" s="344">
        <v>3</v>
      </c>
      <c r="U215" s="344" t="s">
        <v>753</v>
      </c>
      <c r="V215" s="343">
        <v>210</v>
      </c>
      <c r="W215" s="342"/>
      <c r="X215" s="342"/>
      <c r="Y215" s="342"/>
      <c r="Z215" s="342"/>
      <c r="AA215" s="342"/>
      <c r="AB215" s="342"/>
      <c r="AC215" s="339"/>
      <c r="AD215" s="320"/>
      <c r="AE215" s="320"/>
      <c r="AF215" s="320"/>
      <c r="AG215" s="320"/>
      <c r="AH215" s="320"/>
      <c r="AI215" s="320"/>
      <c r="AJ215" s="320"/>
      <c r="AK215" s="320"/>
      <c r="AL215" s="320"/>
      <c r="AM215" s="320"/>
      <c r="AN215" s="320"/>
      <c r="AO215" s="320"/>
      <c r="AP215" s="320"/>
      <c r="AQ215" s="344">
        <v>3</v>
      </c>
      <c r="AR215" s="344" t="s">
        <v>753</v>
      </c>
      <c r="AS215" s="343">
        <v>210</v>
      </c>
      <c r="AT215" s="342"/>
      <c r="AU215" s="342"/>
      <c r="AV215" s="342"/>
      <c r="AW215" s="342"/>
      <c r="AX215" s="342"/>
      <c r="AY215" s="342"/>
      <c r="AZ215" s="363"/>
      <c r="BA215" s="342"/>
      <c r="BB215" s="342"/>
      <c r="BC215" s="339"/>
      <c r="BD215" s="320"/>
      <c r="BE215" s="320"/>
      <c r="BF215" s="320"/>
      <c r="BG215" s="320"/>
      <c r="BH215" s="320"/>
      <c r="BI215" s="320"/>
      <c r="BJ215" s="320"/>
      <c r="BK215" s="320"/>
      <c r="BL215" s="320"/>
      <c r="BM215" s="320"/>
    </row>
    <row r="216" spans="2:65">
      <c r="B216" s="345">
        <v>3</v>
      </c>
      <c r="C216" s="344" t="s">
        <v>754</v>
      </c>
      <c r="D216" s="343">
        <v>211</v>
      </c>
      <c r="E216" s="342"/>
      <c r="F216" s="342"/>
      <c r="G216" s="342"/>
      <c r="H216" s="342"/>
      <c r="I216" s="342"/>
      <c r="J216" s="342"/>
      <c r="K216" s="341"/>
      <c r="L216" s="340"/>
      <c r="M216" s="339"/>
      <c r="N216" s="320"/>
      <c r="O216" s="320"/>
      <c r="P216" s="320"/>
      <c r="Q216" s="320"/>
      <c r="R216" s="320"/>
      <c r="S216" s="320"/>
      <c r="T216" s="344">
        <v>3</v>
      </c>
      <c r="U216" s="344" t="s">
        <v>754</v>
      </c>
      <c r="V216" s="343">
        <v>211</v>
      </c>
      <c r="W216" s="342"/>
      <c r="X216" s="342"/>
      <c r="Y216" s="342"/>
      <c r="Z216" s="342"/>
      <c r="AA216" s="342"/>
      <c r="AB216" s="342"/>
      <c r="AC216" s="339"/>
      <c r="AD216" s="320"/>
      <c r="AE216" s="320"/>
      <c r="AF216" s="320"/>
      <c r="AG216" s="320"/>
      <c r="AH216" s="320"/>
      <c r="AI216" s="320"/>
      <c r="AJ216" s="320"/>
      <c r="AK216" s="320"/>
      <c r="AL216" s="320"/>
      <c r="AM216" s="320"/>
      <c r="AN216" s="320"/>
      <c r="AO216" s="320"/>
      <c r="AP216" s="320"/>
      <c r="AQ216" s="344">
        <v>3</v>
      </c>
      <c r="AR216" s="344" t="s">
        <v>754</v>
      </c>
      <c r="AS216" s="343">
        <v>211</v>
      </c>
      <c r="AT216" s="342"/>
      <c r="AU216" s="342"/>
      <c r="AV216" s="342"/>
      <c r="AW216" s="342"/>
      <c r="AX216" s="342"/>
      <c r="AY216" s="342"/>
      <c r="AZ216" s="363"/>
      <c r="BA216" s="342"/>
      <c r="BB216" s="342"/>
      <c r="BC216" s="339"/>
      <c r="BD216" s="320"/>
      <c r="BE216" s="320"/>
      <c r="BF216" s="320"/>
      <c r="BG216" s="320"/>
      <c r="BH216" s="320"/>
      <c r="BI216" s="320"/>
      <c r="BJ216" s="320"/>
      <c r="BK216" s="320"/>
      <c r="BL216" s="320"/>
      <c r="BM216" s="320"/>
    </row>
    <row r="217" spans="2:65">
      <c r="B217" s="345">
        <v>3</v>
      </c>
      <c r="C217" s="344" t="s">
        <v>755</v>
      </c>
      <c r="D217" s="343">
        <v>212</v>
      </c>
      <c r="E217" s="342"/>
      <c r="F217" s="342"/>
      <c r="G217" s="342"/>
      <c r="H217" s="342"/>
      <c r="I217" s="342"/>
      <c r="J217" s="342"/>
      <c r="K217" s="341"/>
      <c r="L217" s="340"/>
      <c r="M217" s="339"/>
      <c r="N217" s="320"/>
      <c r="O217" s="320"/>
      <c r="P217" s="320"/>
      <c r="Q217" s="320"/>
      <c r="R217" s="320"/>
      <c r="S217" s="320"/>
      <c r="T217" s="344">
        <v>3</v>
      </c>
      <c r="U217" s="344" t="s">
        <v>755</v>
      </c>
      <c r="V217" s="343">
        <v>212</v>
      </c>
      <c r="W217" s="342"/>
      <c r="X217" s="342"/>
      <c r="Y217" s="342"/>
      <c r="Z217" s="342"/>
      <c r="AA217" s="342"/>
      <c r="AB217" s="342"/>
      <c r="AC217" s="339"/>
      <c r="AD217" s="320"/>
      <c r="AE217" s="320"/>
      <c r="AF217" s="320"/>
      <c r="AG217" s="320"/>
      <c r="AH217" s="320"/>
      <c r="AI217" s="320"/>
      <c r="AJ217" s="320"/>
      <c r="AK217" s="320"/>
      <c r="AL217" s="320"/>
      <c r="AM217" s="320"/>
      <c r="AN217" s="320"/>
      <c r="AO217" s="320"/>
      <c r="AP217" s="320"/>
      <c r="AQ217" s="344">
        <v>3</v>
      </c>
      <c r="AR217" s="344" t="s">
        <v>755</v>
      </c>
      <c r="AS217" s="343">
        <v>212</v>
      </c>
      <c r="AT217" s="342"/>
      <c r="AU217" s="342"/>
      <c r="AV217" s="342"/>
      <c r="AW217" s="342"/>
      <c r="AX217" s="342"/>
      <c r="AY217" s="342"/>
      <c r="AZ217" s="363"/>
      <c r="BA217" s="342"/>
      <c r="BB217" s="342"/>
      <c r="BC217" s="339"/>
      <c r="BD217" s="320"/>
      <c r="BE217" s="320"/>
      <c r="BF217" s="320"/>
      <c r="BG217" s="320"/>
      <c r="BH217" s="320"/>
      <c r="BI217" s="320"/>
      <c r="BJ217" s="320"/>
      <c r="BK217" s="320"/>
      <c r="BL217" s="320"/>
      <c r="BM217" s="320"/>
    </row>
    <row r="218" spans="2:65">
      <c r="B218" s="345">
        <v>3</v>
      </c>
      <c r="C218" s="344" t="s">
        <v>756</v>
      </c>
      <c r="D218" s="343">
        <v>213</v>
      </c>
      <c r="E218" s="342"/>
      <c r="F218" s="342"/>
      <c r="G218" s="342"/>
      <c r="H218" s="342"/>
      <c r="I218" s="342"/>
      <c r="J218" s="342"/>
      <c r="K218" s="341"/>
      <c r="L218" s="340"/>
      <c r="M218" s="339"/>
      <c r="N218" s="320"/>
      <c r="O218" s="320"/>
      <c r="P218" s="320"/>
      <c r="Q218" s="320"/>
      <c r="R218" s="320"/>
      <c r="S218" s="320"/>
      <c r="T218" s="344">
        <v>3</v>
      </c>
      <c r="U218" s="344" t="s">
        <v>756</v>
      </c>
      <c r="V218" s="343">
        <v>213</v>
      </c>
      <c r="W218" s="342"/>
      <c r="X218" s="342"/>
      <c r="Y218" s="342"/>
      <c r="Z218" s="342"/>
      <c r="AA218" s="342"/>
      <c r="AB218" s="342"/>
      <c r="AC218" s="339"/>
      <c r="AD218" s="320"/>
      <c r="AE218" s="320"/>
      <c r="AF218" s="320"/>
      <c r="AG218" s="320"/>
      <c r="AH218" s="320"/>
      <c r="AI218" s="320"/>
      <c r="AJ218" s="320"/>
      <c r="AK218" s="320"/>
      <c r="AL218" s="320"/>
      <c r="AM218" s="320"/>
      <c r="AN218" s="320"/>
      <c r="AO218" s="320"/>
      <c r="AP218" s="320"/>
      <c r="AQ218" s="344">
        <v>3</v>
      </c>
      <c r="AR218" s="344" t="s">
        <v>756</v>
      </c>
      <c r="AS218" s="343">
        <v>213</v>
      </c>
      <c r="AT218" s="342"/>
      <c r="AU218" s="342"/>
      <c r="AV218" s="342"/>
      <c r="AW218" s="342"/>
      <c r="AX218" s="342"/>
      <c r="AY218" s="342"/>
      <c r="AZ218" s="363"/>
      <c r="BA218" s="342"/>
      <c r="BB218" s="342"/>
      <c r="BC218" s="339"/>
      <c r="BD218" s="320"/>
      <c r="BE218" s="320"/>
      <c r="BF218" s="320"/>
      <c r="BG218" s="320"/>
      <c r="BH218" s="320"/>
      <c r="BI218" s="320"/>
      <c r="BJ218" s="320"/>
      <c r="BK218" s="320"/>
      <c r="BL218" s="320"/>
      <c r="BM218" s="320"/>
    </row>
    <row r="219" spans="2:65">
      <c r="B219" s="345">
        <v>3</v>
      </c>
      <c r="C219" s="344" t="s">
        <v>757</v>
      </c>
      <c r="D219" s="343">
        <v>214</v>
      </c>
      <c r="E219" s="342"/>
      <c r="F219" s="342"/>
      <c r="G219" s="342"/>
      <c r="H219" s="342"/>
      <c r="I219" s="342"/>
      <c r="J219" s="342"/>
      <c r="K219" s="341"/>
      <c r="L219" s="340"/>
      <c r="M219" s="339"/>
      <c r="N219" s="320"/>
      <c r="O219" s="320"/>
      <c r="P219" s="320"/>
      <c r="Q219" s="320"/>
      <c r="R219" s="320"/>
      <c r="S219" s="320"/>
      <c r="T219" s="344">
        <v>3</v>
      </c>
      <c r="U219" s="344" t="s">
        <v>757</v>
      </c>
      <c r="V219" s="343">
        <v>214</v>
      </c>
      <c r="W219" s="342"/>
      <c r="X219" s="342"/>
      <c r="Y219" s="342"/>
      <c r="Z219" s="342"/>
      <c r="AA219" s="342"/>
      <c r="AB219" s="342"/>
      <c r="AC219" s="339"/>
      <c r="AD219" s="320"/>
      <c r="AE219" s="320"/>
      <c r="AF219" s="320"/>
      <c r="AG219" s="320"/>
      <c r="AH219" s="320"/>
      <c r="AI219" s="320"/>
      <c r="AJ219" s="320"/>
      <c r="AK219" s="320"/>
      <c r="AL219" s="320"/>
      <c r="AM219" s="320"/>
      <c r="AN219" s="320"/>
      <c r="AO219" s="320"/>
      <c r="AP219" s="320"/>
      <c r="AQ219" s="344">
        <v>3</v>
      </c>
      <c r="AR219" s="344" t="s">
        <v>757</v>
      </c>
      <c r="AS219" s="343">
        <v>214</v>
      </c>
      <c r="AT219" s="342"/>
      <c r="AU219" s="342"/>
      <c r="AV219" s="342"/>
      <c r="AW219" s="342"/>
      <c r="AX219" s="342"/>
      <c r="AY219" s="342"/>
      <c r="AZ219" s="363"/>
      <c r="BA219" s="342"/>
      <c r="BB219" s="342"/>
      <c r="BC219" s="339"/>
      <c r="BD219" s="320"/>
      <c r="BE219" s="320"/>
      <c r="BF219" s="320"/>
      <c r="BG219" s="320"/>
      <c r="BH219" s="320"/>
      <c r="BI219" s="320"/>
      <c r="BJ219" s="320"/>
      <c r="BK219" s="320"/>
      <c r="BL219" s="320"/>
      <c r="BM219" s="320"/>
    </row>
    <row r="220" spans="2:65">
      <c r="B220" s="345">
        <v>3</v>
      </c>
      <c r="C220" s="344" t="s">
        <v>758</v>
      </c>
      <c r="D220" s="343">
        <v>215</v>
      </c>
      <c r="E220" s="342"/>
      <c r="F220" s="342"/>
      <c r="G220" s="342"/>
      <c r="H220" s="342"/>
      <c r="I220" s="342"/>
      <c r="J220" s="342"/>
      <c r="K220" s="341"/>
      <c r="L220" s="340"/>
      <c r="M220" s="339"/>
      <c r="N220" s="320"/>
      <c r="O220" s="320"/>
      <c r="P220" s="320"/>
      <c r="Q220" s="320"/>
      <c r="R220" s="320"/>
      <c r="S220" s="320"/>
      <c r="T220" s="344">
        <v>3</v>
      </c>
      <c r="U220" s="344" t="s">
        <v>758</v>
      </c>
      <c r="V220" s="343">
        <v>215</v>
      </c>
      <c r="W220" s="342"/>
      <c r="X220" s="342"/>
      <c r="Y220" s="342"/>
      <c r="Z220" s="342"/>
      <c r="AA220" s="342"/>
      <c r="AB220" s="342"/>
      <c r="AC220" s="339"/>
      <c r="AD220" s="320"/>
      <c r="AE220" s="320"/>
      <c r="AF220" s="320"/>
      <c r="AG220" s="320"/>
      <c r="AH220" s="320"/>
      <c r="AI220" s="320"/>
      <c r="AJ220" s="320"/>
      <c r="AK220" s="320"/>
      <c r="AL220" s="320"/>
      <c r="AM220" s="320"/>
      <c r="AN220" s="320"/>
      <c r="AO220" s="320"/>
      <c r="AP220" s="320"/>
      <c r="AQ220" s="344">
        <v>3</v>
      </c>
      <c r="AR220" s="344" t="s">
        <v>758</v>
      </c>
      <c r="AS220" s="343">
        <v>215</v>
      </c>
      <c r="AT220" s="342"/>
      <c r="AU220" s="342"/>
      <c r="AV220" s="342"/>
      <c r="AW220" s="342"/>
      <c r="AX220" s="342"/>
      <c r="AY220" s="342"/>
      <c r="AZ220" s="363"/>
      <c r="BA220" s="342"/>
      <c r="BB220" s="342"/>
      <c r="BC220" s="339"/>
      <c r="BD220" s="320"/>
      <c r="BE220" s="320"/>
      <c r="BF220" s="320"/>
      <c r="BG220" s="320"/>
      <c r="BH220" s="320"/>
      <c r="BI220" s="320"/>
      <c r="BJ220" s="320"/>
      <c r="BK220" s="320"/>
      <c r="BL220" s="320"/>
      <c r="BM220" s="320"/>
    </row>
    <row r="221" spans="2:65" ht="15.75" thickBot="1">
      <c r="B221" s="362">
        <v>3</v>
      </c>
      <c r="C221" s="359" t="s">
        <v>759</v>
      </c>
      <c r="D221" s="358">
        <v>216</v>
      </c>
      <c r="E221" s="356"/>
      <c r="F221" s="356"/>
      <c r="G221" s="356"/>
      <c r="H221" s="356"/>
      <c r="I221" s="356"/>
      <c r="J221" s="356"/>
      <c r="K221" s="361"/>
      <c r="L221" s="360"/>
      <c r="M221" s="355"/>
      <c r="N221" s="320"/>
      <c r="O221" s="320"/>
      <c r="P221" s="320"/>
      <c r="Q221" s="320"/>
      <c r="R221" s="320"/>
      <c r="S221" s="320"/>
      <c r="T221" s="359">
        <v>3</v>
      </c>
      <c r="U221" s="359" t="s">
        <v>759</v>
      </c>
      <c r="V221" s="358">
        <v>216</v>
      </c>
      <c r="W221" s="356"/>
      <c r="X221" s="356"/>
      <c r="Y221" s="356"/>
      <c r="Z221" s="356"/>
      <c r="AA221" s="356"/>
      <c r="AB221" s="356"/>
      <c r="AC221" s="355"/>
      <c r="AD221" s="320"/>
      <c r="AE221" s="320"/>
      <c r="AF221" s="320"/>
      <c r="AG221" s="320"/>
      <c r="AH221" s="320"/>
      <c r="AI221" s="320"/>
      <c r="AJ221" s="320"/>
      <c r="AK221" s="320"/>
      <c r="AL221" s="320"/>
      <c r="AM221" s="320"/>
      <c r="AN221" s="320"/>
      <c r="AO221" s="320"/>
      <c r="AP221" s="320"/>
      <c r="AQ221" s="359">
        <v>3</v>
      </c>
      <c r="AR221" s="359" t="s">
        <v>759</v>
      </c>
      <c r="AS221" s="358">
        <v>216</v>
      </c>
      <c r="AT221" s="356"/>
      <c r="AU221" s="356"/>
      <c r="AV221" s="356"/>
      <c r="AW221" s="356"/>
      <c r="AX221" s="356"/>
      <c r="AY221" s="356"/>
      <c r="AZ221" s="357"/>
      <c r="BA221" s="356"/>
      <c r="BB221" s="356"/>
      <c r="BC221" s="355"/>
      <c r="BD221" s="320"/>
      <c r="BE221" s="320"/>
      <c r="BF221" s="320"/>
      <c r="BG221" s="320"/>
      <c r="BH221" s="320"/>
      <c r="BI221" s="320"/>
      <c r="BJ221" s="320"/>
      <c r="BK221" s="320"/>
      <c r="BL221" s="320"/>
      <c r="BM221" s="320"/>
    </row>
    <row r="222" spans="2:65">
      <c r="B222" s="354">
        <v>3</v>
      </c>
      <c r="C222" s="350" t="s">
        <v>760</v>
      </c>
      <c r="D222" s="349">
        <v>217</v>
      </c>
      <c r="E222" s="347"/>
      <c r="F222" s="347"/>
      <c r="G222" s="347"/>
      <c r="H222" s="347"/>
      <c r="I222" s="347"/>
      <c r="J222" s="347"/>
      <c r="K222" s="353"/>
      <c r="L222" s="352"/>
      <c r="M222" s="351"/>
      <c r="N222" s="320"/>
      <c r="O222" s="320"/>
      <c r="P222" s="320"/>
      <c r="Q222" s="320"/>
      <c r="R222" s="320"/>
      <c r="S222" s="320"/>
      <c r="T222" s="350">
        <v>3</v>
      </c>
      <c r="U222" s="350" t="s">
        <v>760</v>
      </c>
      <c r="V222" s="349">
        <v>217</v>
      </c>
      <c r="W222" s="347"/>
      <c r="X222" s="347"/>
      <c r="Y222" s="347"/>
      <c r="Z222" s="347"/>
      <c r="AA222" s="347"/>
      <c r="AB222" s="347">
        <f>AH15</f>
        <v>0</v>
      </c>
      <c r="AC222" s="346"/>
      <c r="AD222" s="320"/>
      <c r="AE222" s="320"/>
      <c r="AF222" s="320"/>
      <c r="AG222" s="320"/>
      <c r="AH222" s="320"/>
      <c r="AI222" s="320"/>
      <c r="AJ222" s="320"/>
      <c r="AK222" s="320"/>
      <c r="AL222" s="320"/>
      <c r="AM222" s="320"/>
      <c r="AN222" s="320"/>
      <c r="AO222" s="320"/>
      <c r="AP222" s="320"/>
      <c r="AQ222" s="350">
        <v>3</v>
      </c>
      <c r="AR222" s="350" t="s">
        <v>760</v>
      </c>
      <c r="AS222" s="349">
        <v>217</v>
      </c>
      <c r="AT222" s="388"/>
      <c r="AU222" s="388"/>
      <c r="AV222" s="388"/>
      <c r="AW222" s="388"/>
      <c r="AX222" s="388"/>
      <c r="AY222" s="388">
        <f>BH15</f>
        <v>0</v>
      </c>
      <c r="AZ222" s="389"/>
      <c r="BA222" s="388"/>
      <c r="BB222" s="388"/>
      <c r="BC222" s="387"/>
      <c r="BD222" s="320"/>
      <c r="BE222" s="320"/>
      <c r="BF222" s="320"/>
      <c r="BG222" s="320"/>
      <c r="BH222" s="320"/>
      <c r="BI222" s="320"/>
      <c r="BJ222" s="320"/>
      <c r="BK222" s="320"/>
      <c r="BL222" s="320"/>
      <c r="BM222" s="320"/>
    </row>
    <row r="223" spans="2:65">
      <c r="B223" s="338">
        <v>3</v>
      </c>
      <c r="C223" s="334" t="s">
        <v>761</v>
      </c>
      <c r="D223" s="333">
        <v>218</v>
      </c>
      <c r="E223" s="331"/>
      <c r="F223" s="331"/>
      <c r="G223" s="331"/>
      <c r="H223" s="331"/>
      <c r="I223" s="331"/>
      <c r="J223" s="331"/>
      <c r="K223" s="337"/>
      <c r="L223" s="336"/>
      <c r="M223" s="335"/>
      <c r="N223" s="320"/>
      <c r="O223" s="320"/>
      <c r="P223" s="320"/>
      <c r="Q223" s="320"/>
      <c r="R223" s="320"/>
      <c r="S223" s="320"/>
      <c r="T223" s="334">
        <v>3</v>
      </c>
      <c r="U223" s="334" t="s">
        <v>761</v>
      </c>
      <c r="V223" s="333">
        <v>218</v>
      </c>
      <c r="W223" s="331"/>
      <c r="X223" s="331"/>
      <c r="Y223" s="331"/>
      <c r="Z223" s="331"/>
      <c r="AA223" s="331"/>
      <c r="AB223" s="331"/>
      <c r="AC223" s="330"/>
      <c r="AD223" s="320"/>
      <c r="AE223" s="320"/>
      <c r="AF223" s="320"/>
      <c r="AG223" s="320"/>
      <c r="AH223" s="320"/>
      <c r="AI223" s="320"/>
      <c r="AJ223" s="320"/>
      <c r="AK223" s="320"/>
      <c r="AL223" s="320"/>
      <c r="AM223" s="320"/>
      <c r="AN223" s="320"/>
      <c r="AO223" s="320"/>
      <c r="AP223" s="320"/>
      <c r="AQ223" s="334">
        <v>3</v>
      </c>
      <c r="AR223" s="334" t="s">
        <v>761</v>
      </c>
      <c r="AS223" s="333">
        <v>218</v>
      </c>
      <c r="AT223" s="331"/>
      <c r="AU223" s="331"/>
      <c r="AV223" s="331"/>
      <c r="AW223" s="331"/>
      <c r="AX223" s="331"/>
      <c r="AY223" s="331"/>
      <c r="AZ223" s="332"/>
      <c r="BA223" s="331"/>
      <c r="BB223" s="331"/>
      <c r="BC223" s="330"/>
      <c r="BD223" s="320"/>
      <c r="BE223" s="320"/>
      <c r="BF223" s="320"/>
      <c r="BG223" s="320"/>
      <c r="BH223" s="320"/>
      <c r="BI223" s="320"/>
      <c r="BJ223" s="320"/>
      <c r="BK223" s="320"/>
      <c r="BL223" s="320"/>
      <c r="BM223" s="320"/>
    </row>
    <row r="224" spans="2:65">
      <c r="B224" s="338">
        <v>3</v>
      </c>
      <c r="C224" s="334" t="s">
        <v>762</v>
      </c>
      <c r="D224" s="333">
        <v>219</v>
      </c>
      <c r="E224" s="331"/>
      <c r="F224" s="331"/>
      <c r="G224" s="331"/>
      <c r="H224" s="331"/>
      <c r="I224" s="331"/>
      <c r="J224" s="331"/>
      <c r="K224" s="337"/>
      <c r="L224" s="336"/>
      <c r="M224" s="335"/>
      <c r="N224" s="320"/>
      <c r="O224" s="320"/>
      <c r="P224" s="320"/>
      <c r="Q224" s="320"/>
      <c r="R224" s="320"/>
      <c r="S224" s="320"/>
      <c r="T224" s="334">
        <v>3</v>
      </c>
      <c r="U224" s="334" t="s">
        <v>762</v>
      </c>
      <c r="V224" s="333">
        <v>219</v>
      </c>
      <c r="W224" s="331"/>
      <c r="X224" s="331"/>
      <c r="Y224" s="331"/>
      <c r="Z224" s="331"/>
      <c r="AA224" s="331"/>
      <c r="AB224" s="331"/>
      <c r="AC224" s="330"/>
      <c r="AD224" s="320"/>
      <c r="AE224" s="320"/>
      <c r="AF224" s="320"/>
      <c r="AG224" s="320"/>
      <c r="AH224" s="320"/>
      <c r="AI224" s="320"/>
      <c r="AJ224" s="320"/>
      <c r="AK224" s="320"/>
      <c r="AL224" s="320"/>
      <c r="AM224" s="320"/>
      <c r="AN224" s="320"/>
      <c r="AO224" s="320"/>
      <c r="AP224" s="320"/>
      <c r="AQ224" s="334">
        <v>3</v>
      </c>
      <c r="AR224" s="334" t="s">
        <v>762</v>
      </c>
      <c r="AS224" s="333">
        <v>219</v>
      </c>
      <c r="AT224" s="331"/>
      <c r="AU224" s="331"/>
      <c r="AV224" s="331"/>
      <c r="AW224" s="331"/>
      <c r="AX224" s="331"/>
      <c r="AY224" s="331"/>
      <c r="AZ224" s="332"/>
      <c r="BA224" s="331"/>
      <c r="BB224" s="331"/>
      <c r="BC224" s="330"/>
      <c r="BD224" s="320"/>
      <c r="BE224" s="320"/>
      <c r="BF224" s="320"/>
      <c r="BG224" s="320"/>
      <c r="BH224" s="320"/>
      <c r="BI224" s="320"/>
      <c r="BJ224" s="320"/>
      <c r="BK224" s="320"/>
      <c r="BL224" s="320"/>
      <c r="BM224" s="320"/>
    </row>
    <row r="225" spans="2:65">
      <c r="B225" s="338">
        <v>3</v>
      </c>
      <c r="C225" s="334" t="s">
        <v>763</v>
      </c>
      <c r="D225" s="333">
        <v>220</v>
      </c>
      <c r="E225" s="331"/>
      <c r="F225" s="331"/>
      <c r="G225" s="331"/>
      <c r="H225" s="331"/>
      <c r="I225" s="331"/>
      <c r="J225" s="331"/>
      <c r="K225" s="337"/>
      <c r="L225" s="336"/>
      <c r="M225" s="335"/>
      <c r="N225" s="320"/>
      <c r="O225" s="320"/>
      <c r="P225" s="320"/>
      <c r="Q225" s="320"/>
      <c r="R225" s="320"/>
      <c r="S225" s="320"/>
      <c r="T225" s="334">
        <v>3</v>
      </c>
      <c r="U225" s="334" t="s">
        <v>763</v>
      </c>
      <c r="V225" s="333">
        <v>220</v>
      </c>
      <c r="W225" s="331"/>
      <c r="X225" s="331"/>
      <c r="Y225" s="331"/>
      <c r="Z225" s="331"/>
      <c r="AA225" s="331"/>
      <c r="AB225" s="331"/>
      <c r="AC225" s="330"/>
      <c r="AD225" s="320"/>
      <c r="AE225" s="320"/>
      <c r="AF225" s="320"/>
      <c r="AG225" s="320"/>
      <c r="AH225" s="320"/>
      <c r="AI225" s="320"/>
      <c r="AJ225" s="320"/>
      <c r="AK225" s="320"/>
      <c r="AL225" s="320"/>
      <c r="AM225" s="320"/>
      <c r="AN225" s="320"/>
      <c r="AO225" s="320"/>
      <c r="AP225" s="320"/>
      <c r="AQ225" s="334">
        <v>3</v>
      </c>
      <c r="AR225" s="334" t="s">
        <v>763</v>
      </c>
      <c r="AS225" s="333">
        <v>220</v>
      </c>
      <c r="AT225" s="331"/>
      <c r="AU225" s="331"/>
      <c r="AV225" s="331"/>
      <c r="AW225" s="331"/>
      <c r="AX225" s="331"/>
      <c r="AY225" s="331"/>
      <c r="AZ225" s="332"/>
      <c r="BA225" s="331"/>
      <c r="BB225" s="331"/>
      <c r="BC225" s="330"/>
      <c r="BD225" s="320"/>
      <c r="BE225" s="320"/>
      <c r="BF225" s="320"/>
      <c r="BG225" s="320"/>
      <c r="BH225" s="320"/>
      <c r="BI225" s="320"/>
      <c r="BJ225" s="320"/>
      <c r="BK225" s="320"/>
      <c r="BL225" s="320"/>
      <c r="BM225" s="320"/>
    </row>
    <row r="226" spans="2:65">
      <c r="B226" s="338">
        <v>3</v>
      </c>
      <c r="C226" s="334" t="s">
        <v>764</v>
      </c>
      <c r="D226" s="333">
        <v>221</v>
      </c>
      <c r="E226" s="331"/>
      <c r="F226" s="331"/>
      <c r="G226" s="331"/>
      <c r="H226" s="331"/>
      <c r="I226" s="331"/>
      <c r="J226" s="331"/>
      <c r="K226" s="337"/>
      <c r="L226" s="336"/>
      <c r="M226" s="335"/>
      <c r="N226" s="320"/>
      <c r="O226" s="320"/>
      <c r="P226" s="320"/>
      <c r="Q226" s="320"/>
      <c r="R226" s="320"/>
      <c r="S226" s="320"/>
      <c r="T226" s="334">
        <v>3</v>
      </c>
      <c r="U226" s="334" t="s">
        <v>764</v>
      </c>
      <c r="V226" s="333">
        <v>221</v>
      </c>
      <c r="W226" s="331"/>
      <c r="X226" s="331"/>
      <c r="Y226" s="331"/>
      <c r="Z226" s="331"/>
      <c r="AA226" s="331"/>
      <c r="AB226" s="331"/>
      <c r="AC226" s="330"/>
      <c r="AD226" s="320"/>
      <c r="AE226" s="320"/>
      <c r="AF226" s="320"/>
      <c r="AG226" s="320"/>
      <c r="AH226" s="320"/>
      <c r="AI226" s="320"/>
      <c r="AJ226" s="320"/>
      <c r="AK226" s="320"/>
      <c r="AL226" s="320"/>
      <c r="AM226" s="320"/>
      <c r="AN226" s="320"/>
      <c r="AO226" s="320"/>
      <c r="AP226" s="320"/>
      <c r="AQ226" s="334">
        <v>3</v>
      </c>
      <c r="AR226" s="334" t="s">
        <v>764</v>
      </c>
      <c r="AS226" s="333">
        <v>221</v>
      </c>
      <c r="AT226" s="331"/>
      <c r="AU226" s="331"/>
      <c r="AV226" s="331"/>
      <c r="AW226" s="331"/>
      <c r="AX226" s="331"/>
      <c r="AY226" s="331"/>
      <c r="AZ226" s="332"/>
      <c r="BA226" s="331"/>
      <c r="BB226" s="331"/>
      <c r="BC226" s="330"/>
      <c r="BD226" s="320"/>
      <c r="BE226" s="320"/>
      <c r="BF226" s="320"/>
      <c r="BG226" s="320"/>
      <c r="BH226" s="320"/>
      <c r="BI226" s="320"/>
      <c r="BJ226" s="320"/>
      <c r="BK226" s="320"/>
      <c r="BL226" s="320"/>
      <c r="BM226" s="320"/>
    </row>
    <row r="227" spans="2:65">
      <c r="B227" s="338">
        <v>3</v>
      </c>
      <c r="C227" s="334" t="s">
        <v>765</v>
      </c>
      <c r="D227" s="333">
        <v>222</v>
      </c>
      <c r="E227" s="331"/>
      <c r="F227" s="331"/>
      <c r="G227" s="331"/>
      <c r="H227" s="331"/>
      <c r="I227" s="331"/>
      <c r="J227" s="331"/>
      <c r="K227" s="337"/>
      <c r="L227" s="336"/>
      <c r="M227" s="335"/>
      <c r="N227" s="320"/>
      <c r="O227" s="320"/>
      <c r="P227" s="320"/>
      <c r="Q227" s="320"/>
      <c r="R227" s="320"/>
      <c r="S227" s="320"/>
      <c r="T227" s="334">
        <v>3</v>
      </c>
      <c r="U227" s="334" t="s">
        <v>765</v>
      </c>
      <c r="V227" s="333">
        <v>222</v>
      </c>
      <c r="W227" s="331"/>
      <c r="X227" s="331"/>
      <c r="Y227" s="331"/>
      <c r="Z227" s="331"/>
      <c r="AA227" s="331"/>
      <c r="AB227" s="331"/>
      <c r="AC227" s="330"/>
      <c r="AD227" s="320"/>
      <c r="AE227" s="320"/>
      <c r="AF227" s="320"/>
      <c r="AG227" s="320"/>
      <c r="AH227" s="320"/>
      <c r="AI227" s="320"/>
      <c r="AJ227" s="320"/>
      <c r="AK227" s="320"/>
      <c r="AL227" s="320"/>
      <c r="AM227" s="320"/>
      <c r="AN227" s="320"/>
      <c r="AO227" s="320"/>
      <c r="AP227" s="320"/>
      <c r="AQ227" s="334">
        <v>3</v>
      </c>
      <c r="AR227" s="334" t="s">
        <v>765</v>
      </c>
      <c r="AS227" s="333">
        <v>222</v>
      </c>
      <c r="AT227" s="331"/>
      <c r="AU227" s="331"/>
      <c r="AV227" s="331"/>
      <c r="AW227" s="331"/>
      <c r="AX227" s="331"/>
      <c r="AY227" s="331"/>
      <c r="AZ227" s="332"/>
      <c r="BA227" s="331"/>
      <c r="BB227" s="331"/>
      <c r="BC227" s="330"/>
      <c r="BD227" s="320"/>
      <c r="BE227" s="320"/>
      <c r="BF227" s="320"/>
      <c r="BG227" s="320"/>
      <c r="BH227" s="320"/>
      <c r="BI227" s="320"/>
      <c r="BJ227" s="320"/>
      <c r="BK227" s="320"/>
      <c r="BL227" s="320"/>
      <c r="BM227" s="320"/>
    </row>
    <row r="228" spans="2:65">
      <c r="B228" s="338">
        <v>3</v>
      </c>
      <c r="C228" s="334" t="s">
        <v>766</v>
      </c>
      <c r="D228" s="333">
        <v>223</v>
      </c>
      <c r="E228" s="331"/>
      <c r="F228" s="331"/>
      <c r="G228" s="331"/>
      <c r="H228" s="331"/>
      <c r="I228" s="331"/>
      <c r="J228" s="331"/>
      <c r="K228" s="337"/>
      <c r="L228" s="336"/>
      <c r="M228" s="335"/>
      <c r="N228" s="320"/>
      <c r="O228" s="320"/>
      <c r="P228" s="320"/>
      <c r="Q228" s="320"/>
      <c r="R228" s="320"/>
      <c r="S228" s="320"/>
      <c r="T228" s="334">
        <v>3</v>
      </c>
      <c r="U228" s="334" t="s">
        <v>766</v>
      </c>
      <c r="V228" s="333">
        <v>223</v>
      </c>
      <c r="W228" s="331"/>
      <c r="X228" s="331"/>
      <c r="Y228" s="331"/>
      <c r="Z228" s="331"/>
      <c r="AA228" s="331"/>
      <c r="AB228" s="331"/>
      <c r="AC228" s="330"/>
      <c r="AD228" s="320"/>
      <c r="AE228" s="320"/>
      <c r="AF228" s="320"/>
      <c r="AG228" s="320"/>
      <c r="AH228" s="320"/>
      <c r="AI228" s="320"/>
      <c r="AJ228" s="320"/>
      <c r="AK228" s="320"/>
      <c r="AL228" s="320"/>
      <c r="AM228" s="320"/>
      <c r="AN228" s="320"/>
      <c r="AO228" s="320"/>
      <c r="AP228" s="320"/>
      <c r="AQ228" s="334">
        <v>3</v>
      </c>
      <c r="AR228" s="334" t="s">
        <v>766</v>
      </c>
      <c r="AS228" s="333">
        <v>223</v>
      </c>
      <c r="AT228" s="331"/>
      <c r="AU228" s="331"/>
      <c r="AV228" s="331"/>
      <c r="AW228" s="331"/>
      <c r="AX228" s="331"/>
      <c r="AY228" s="331"/>
      <c r="AZ228" s="332"/>
      <c r="BA228" s="331"/>
      <c r="BB228" s="331"/>
      <c r="BC228" s="330"/>
      <c r="BD228" s="320"/>
      <c r="BE228" s="320"/>
      <c r="BF228" s="320"/>
      <c r="BG228" s="320"/>
      <c r="BH228" s="320"/>
      <c r="BI228" s="320"/>
      <c r="BJ228" s="320"/>
      <c r="BK228" s="320"/>
      <c r="BL228" s="320"/>
      <c r="BM228" s="320"/>
    </row>
    <row r="229" spans="2:65">
      <c r="B229" s="338">
        <v>3</v>
      </c>
      <c r="C229" s="334" t="s">
        <v>767</v>
      </c>
      <c r="D229" s="333">
        <v>224</v>
      </c>
      <c r="E229" s="331"/>
      <c r="F229" s="331"/>
      <c r="G229" s="331"/>
      <c r="H229" s="331"/>
      <c r="I229" s="331"/>
      <c r="J229" s="331"/>
      <c r="K229" s="337"/>
      <c r="L229" s="336"/>
      <c r="M229" s="335"/>
      <c r="N229" s="320"/>
      <c r="O229" s="320"/>
      <c r="P229" s="320"/>
      <c r="Q229" s="320"/>
      <c r="R229" s="320"/>
      <c r="S229" s="320"/>
      <c r="T229" s="334">
        <v>3</v>
      </c>
      <c r="U229" s="334" t="s">
        <v>767</v>
      </c>
      <c r="V229" s="333">
        <v>224</v>
      </c>
      <c r="W229" s="331"/>
      <c r="X229" s="331"/>
      <c r="Y229" s="331"/>
      <c r="Z229" s="331"/>
      <c r="AA229" s="331"/>
      <c r="AB229" s="331"/>
      <c r="AC229" s="330"/>
      <c r="AD229" s="320"/>
      <c r="AE229" s="320"/>
      <c r="AF229" s="320"/>
      <c r="AG229" s="320"/>
      <c r="AH229" s="320"/>
      <c r="AI229" s="320"/>
      <c r="AJ229" s="320"/>
      <c r="AK229" s="320"/>
      <c r="AL229" s="320"/>
      <c r="AM229" s="320"/>
      <c r="AN229" s="320"/>
      <c r="AO229" s="320"/>
      <c r="AP229" s="320"/>
      <c r="AQ229" s="334">
        <v>3</v>
      </c>
      <c r="AR229" s="334" t="s">
        <v>767</v>
      </c>
      <c r="AS229" s="333">
        <v>224</v>
      </c>
      <c r="AT229" s="331"/>
      <c r="AU229" s="331"/>
      <c r="AV229" s="331"/>
      <c r="AW229" s="331"/>
      <c r="AX229" s="331"/>
      <c r="AY229" s="331"/>
      <c r="AZ229" s="332"/>
      <c r="BA229" s="331"/>
      <c r="BB229" s="331"/>
      <c r="BC229" s="330"/>
      <c r="BD229" s="320"/>
      <c r="BE229" s="320"/>
      <c r="BF229" s="320"/>
      <c r="BG229" s="320"/>
      <c r="BH229" s="320"/>
      <c r="BI229" s="320"/>
      <c r="BJ229" s="320"/>
      <c r="BK229" s="320"/>
      <c r="BL229" s="320"/>
      <c r="BM229" s="320"/>
    </row>
    <row r="230" spans="2:65">
      <c r="B230" s="345">
        <v>3</v>
      </c>
      <c r="C230" s="344" t="s">
        <v>768</v>
      </c>
      <c r="D230" s="343">
        <v>225</v>
      </c>
      <c r="E230" s="342"/>
      <c r="F230" s="342"/>
      <c r="G230" s="342"/>
      <c r="H230" s="342"/>
      <c r="I230" s="342"/>
      <c r="J230" s="342"/>
      <c r="K230" s="341"/>
      <c r="L230" s="340"/>
      <c r="M230" s="339"/>
      <c r="N230" s="320"/>
      <c r="O230" s="320"/>
      <c r="P230" s="320"/>
      <c r="Q230" s="320"/>
      <c r="R230" s="320"/>
      <c r="S230" s="320"/>
      <c r="T230" s="334">
        <v>3</v>
      </c>
      <c r="U230" s="334" t="s">
        <v>768</v>
      </c>
      <c r="V230" s="333">
        <v>225</v>
      </c>
      <c r="W230" s="331"/>
      <c r="X230" s="331"/>
      <c r="Y230" s="331"/>
      <c r="Z230" s="331"/>
      <c r="AA230" s="331"/>
      <c r="AB230" s="331"/>
      <c r="AC230" s="330"/>
      <c r="AD230" s="320"/>
      <c r="AE230" s="320"/>
      <c r="AF230" s="320"/>
      <c r="AG230" s="320"/>
      <c r="AH230" s="320"/>
      <c r="AI230" s="320"/>
      <c r="AJ230" s="320"/>
      <c r="AK230" s="320"/>
      <c r="AL230" s="320"/>
      <c r="AM230" s="320"/>
      <c r="AN230" s="320"/>
      <c r="AO230" s="320"/>
      <c r="AP230" s="320"/>
      <c r="AQ230" s="334">
        <v>3</v>
      </c>
      <c r="AR230" s="334" t="s">
        <v>768</v>
      </c>
      <c r="AS230" s="333">
        <v>225</v>
      </c>
      <c r="AT230" s="331"/>
      <c r="AU230" s="331"/>
      <c r="AV230" s="331"/>
      <c r="AW230" s="331"/>
      <c r="AX230" s="331"/>
      <c r="AY230" s="331"/>
      <c r="AZ230" s="332"/>
      <c r="BA230" s="331"/>
      <c r="BB230" s="331"/>
      <c r="BC230" s="330"/>
      <c r="BD230" s="320"/>
      <c r="BE230" s="320"/>
      <c r="BF230" s="320"/>
      <c r="BG230" s="320"/>
      <c r="BH230" s="320"/>
      <c r="BI230" s="320"/>
      <c r="BJ230" s="320"/>
      <c r="BK230" s="320"/>
      <c r="BL230" s="320"/>
      <c r="BM230" s="320"/>
    </row>
    <row r="231" spans="2:65">
      <c r="B231" s="345">
        <v>3</v>
      </c>
      <c r="C231" s="344" t="s">
        <v>769</v>
      </c>
      <c r="D231" s="343">
        <v>226</v>
      </c>
      <c r="E231" s="342"/>
      <c r="F231" s="342"/>
      <c r="G231" s="342"/>
      <c r="H231" s="342"/>
      <c r="I231" s="342"/>
      <c r="J231" s="342"/>
      <c r="K231" s="341"/>
      <c r="L231" s="340"/>
      <c r="M231" s="339"/>
      <c r="N231" s="320"/>
      <c r="O231" s="320"/>
      <c r="P231" s="320"/>
      <c r="Q231" s="320"/>
      <c r="R231" s="320"/>
      <c r="S231" s="320"/>
      <c r="T231" s="334">
        <v>3</v>
      </c>
      <c r="U231" s="334" t="s">
        <v>769</v>
      </c>
      <c r="V231" s="333">
        <v>226</v>
      </c>
      <c r="W231" s="331"/>
      <c r="X231" s="331"/>
      <c r="Y231" s="331"/>
      <c r="Z231" s="331"/>
      <c r="AA231" s="331"/>
      <c r="AB231" s="331"/>
      <c r="AC231" s="330"/>
      <c r="AD231" s="320"/>
      <c r="AE231" s="320"/>
      <c r="AF231" s="320"/>
      <c r="AG231" s="320"/>
      <c r="AH231" s="320"/>
      <c r="AI231" s="320"/>
      <c r="AJ231" s="320"/>
      <c r="AK231" s="320"/>
      <c r="AL231" s="320"/>
      <c r="AM231" s="320"/>
      <c r="AN231" s="320"/>
      <c r="AO231" s="320"/>
      <c r="AP231" s="320"/>
      <c r="AQ231" s="334">
        <v>3</v>
      </c>
      <c r="AR231" s="334" t="s">
        <v>769</v>
      </c>
      <c r="AS231" s="333">
        <v>226</v>
      </c>
      <c r="AT231" s="331"/>
      <c r="AU231" s="331"/>
      <c r="AV231" s="331"/>
      <c r="AW231" s="331"/>
      <c r="AX231" s="331"/>
      <c r="AY231" s="331"/>
      <c r="AZ231" s="332"/>
      <c r="BA231" s="331"/>
      <c r="BB231" s="331"/>
      <c r="BC231" s="330"/>
      <c r="BD231" s="320"/>
      <c r="BE231" s="320"/>
      <c r="BF231" s="320"/>
      <c r="BG231" s="320"/>
      <c r="BH231" s="320"/>
      <c r="BI231" s="320"/>
      <c r="BJ231" s="320"/>
      <c r="BK231" s="320"/>
      <c r="BL231" s="320"/>
      <c r="BM231" s="320"/>
    </row>
    <row r="232" spans="2:65">
      <c r="B232" s="345">
        <v>3</v>
      </c>
      <c r="C232" s="344" t="s">
        <v>770</v>
      </c>
      <c r="D232" s="343">
        <v>227</v>
      </c>
      <c r="E232" s="342"/>
      <c r="F232" s="342"/>
      <c r="G232" s="342"/>
      <c r="H232" s="342"/>
      <c r="I232" s="342"/>
      <c r="J232" s="342"/>
      <c r="K232" s="341"/>
      <c r="L232" s="340"/>
      <c r="M232" s="339"/>
      <c r="N232" s="320"/>
      <c r="O232" s="320"/>
      <c r="P232" s="320"/>
      <c r="Q232" s="320"/>
      <c r="R232" s="320"/>
      <c r="S232" s="320"/>
      <c r="T232" s="334">
        <v>3</v>
      </c>
      <c r="U232" s="334" t="s">
        <v>770</v>
      </c>
      <c r="V232" s="333">
        <v>227</v>
      </c>
      <c r="W232" s="331"/>
      <c r="X232" s="331"/>
      <c r="Y232" s="331"/>
      <c r="Z232" s="331"/>
      <c r="AA232" s="331"/>
      <c r="AB232" s="331"/>
      <c r="AC232" s="330"/>
      <c r="AD232" s="320"/>
      <c r="AE232" s="320"/>
      <c r="AF232" s="320"/>
      <c r="AG232" s="320"/>
      <c r="AH232" s="320"/>
      <c r="AI232" s="320"/>
      <c r="AJ232" s="320"/>
      <c r="AK232" s="320"/>
      <c r="AL232" s="320"/>
      <c r="AM232" s="320"/>
      <c r="AN232" s="320"/>
      <c r="AO232" s="320"/>
      <c r="AP232" s="320"/>
      <c r="AQ232" s="334">
        <v>3</v>
      </c>
      <c r="AR232" s="334" t="s">
        <v>770</v>
      </c>
      <c r="AS232" s="333">
        <v>227</v>
      </c>
      <c r="AT232" s="331"/>
      <c r="AU232" s="331"/>
      <c r="AV232" s="331"/>
      <c r="AW232" s="331"/>
      <c r="AX232" s="331"/>
      <c r="AY232" s="331"/>
      <c r="AZ232" s="332"/>
      <c r="BA232" s="331"/>
      <c r="BB232" s="331"/>
      <c r="BC232" s="330"/>
      <c r="BD232" s="320"/>
      <c r="BE232" s="320"/>
      <c r="BF232" s="320"/>
      <c r="BG232" s="320"/>
      <c r="BH232" s="320"/>
      <c r="BI232" s="320"/>
      <c r="BJ232" s="320"/>
      <c r="BK232" s="320"/>
      <c r="BL232" s="320"/>
      <c r="BM232" s="320"/>
    </row>
    <row r="233" spans="2:65">
      <c r="B233" s="345">
        <v>3</v>
      </c>
      <c r="C233" s="344" t="s">
        <v>771</v>
      </c>
      <c r="D233" s="343">
        <v>228</v>
      </c>
      <c r="E233" s="342"/>
      <c r="F233" s="342"/>
      <c r="G233" s="342"/>
      <c r="H233" s="342"/>
      <c r="I233" s="342"/>
      <c r="J233" s="342"/>
      <c r="K233" s="341"/>
      <c r="L233" s="340"/>
      <c r="M233" s="339"/>
      <c r="N233" s="320"/>
      <c r="O233" s="320"/>
      <c r="P233" s="320"/>
      <c r="Q233" s="320"/>
      <c r="R233" s="320"/>
      <c r="S233" s="320"/>
      <c r="T233" s="334">
        <v>3</v>
      </c>
      <c r="U233" s="334" t="s">
        <v>771</v>
      </c>
      <c r="V233" s="333">
        <v>228</v>
      </c>
      <c r="W233" s="331"/>
      <c r="X233" s="331"/>
      <c r="Y233" s="331"/>
      <c r="Z233" s="331"/>
      <c r="AA233" s="331"/>
      <c r="AB233" s="331"/>
      <c r="AC233" s="330"/>
      <c r="AD233" s="320"/>
      <c r="AE233" s="320"/>
      <c r="AF233" s="320"/>
      <c r="AG233" s="320"/>
      <c r="AH233" s="320"/>
      <c r="AI233" s="320"/>
      <c r="AJ233" s="320"/>
      <c r="AK233" s="320"/>
      <c r="AL233" s="320"/>
      <c r="AM233" s="320"/>
      <c r="AN233" s="320"/>
      <c r="AO233" s="320"/>
      <c r="AP233" s="320"/>
      <c r="AQ233" s="334">
        <v>3</v>
      </c>
      <c r="AR233" s="334" t="s">
        <v>771</v>
      </c>
      <c r="AS233" s="333">
        <v>228</v>
      </c>
      <c r="AT233" s="331"/>
      <c r="AU233" s="331"/>
      <c r="AV233" s="331"/>
      <c r="AW233" s="331"/>
      <c r="AX233" s="331"/>
      <c r="AY233" s="331"/>
      <c r="AZ233" s="332"/>
      <c r="BA233" s="331"/>
      <c r="BB233" s="331"/>
      <c r="BC233" s="330"/>
      <c r="BD233" s="320"/>
      <c r="BE233" s="320"/>
      <c r="BF233" s="320"/>
      <c r="BG233" s="320"/>
      <c r="BH233" s="320"/>
      <c r="BI233" s="320"/>
      <c r="BJ233" s="320"/>
      <c r="BK233" s="320"/>
      <c r="BL233" s="320"/>
      <c r="BM233" s="320"/>
    </row>
    <row r="234" spans="2:65">
      <c r="B234" s="345">
        <v>3</v>
      </c>
      <c r="C234" s="344" t="s">
        <v>772</v>
      </c>
      <c r="D234" s="343">
        <v>229</v>
      </c>
      <c r="E234" s="342"/>
      <c r="F234" s="342"/>
      <c r="G234" s="342"/>
      <c r="H234" s="342"/>
      <c r="I234" s="342"/>
      <c r="J234" s="342"/>
      <c r="K234" s="341"/>
      <c r="L234" s="340"/>
      <c r="M234" s="339"/>
      <c r="N234" s="320"/>
      <c r="O234" s="320"/>
      <c r="P234" s="320"/>
      <c r="Q234" s="320"/>
      <c r="R234" s="320"/>
      <c r="S234" s="320"/>
      <c r="T234" s="334">
        <v>3</v>
      </c>
      <c r="U234" s="334" t="s">
        <v>772</v>
      </c>
      <c r="V234" s="333">
        <v>229</v>
      </c>
      <c r="W234" s="331"/>
      <c r="X234" s="331"/>
      <c r="Y234" s="331"/>
      <c r="Z234" s="331"/>
      <c r="AA234" s="331"/>
      <c r="AB234" s="331"/>
      <c r="AC234" s="330"/>
      <c r="AD234" s="320"/>
      <c r="AE234" s="320"/>
      <c r="AF234" s="320"/>
      <c r="AG234" s="320"/>
      <c r="AH234" s="320"/>
      <c r="AI234" s="320"/>
      <c r="AJ234" s="320"/>
      <c r="AK234" s="320"/>
      <c r="AL234" s="320"/>
      <c r="AM234" s="320"/>
      <c r="AN234" s="320"/>
      <c r="AO234" s="320"/>
      <c r="AP234" s="320"/>
      <c r="AQ234" s="334">
        <v>3</v>
      </c>
      <c r="AR234" s="334" t="s">
        <v>772</v>
      </c>
      <c r="AS234" s="333">
        <v>229</v>
      </c>
      <c r="AT234" s="331"/>
      <c r="AU234" s="331"/>
      <c r="AV234" s="331"/>
      <c r="AW234" s="331"/>
      <c r="AX234" s="331"/>
      <c r="AY234" s="331"/>
      <c r="AZ234" s="332"/>
      <c r="BA234" s="331"/>
      <c r="BB234" s="331"/>
      <c r="BC234" s="330"/>
      <c r="BD234" s="320"/>
      <c r="BE234" s="320"/>
      <c r="BF234" s="320"/>
      <c r="BG234" s="320"/>
      <c r="BH234" s="320"/>
      <c r="BI234" s="320"/>
      <c r="BJ234" s="320"/>
      <c r="BK234" s="320"/>
      <c r="BL234" s="320"/>
      <c r="BM234" s="320"/>
    </row>
    <row r="235" spans="2:65">
      <c r="B235" s="345">
        <v>3</v>
      </c>
      <c r="C235" s="344" t="s">
        <v>773</v>
      </c>
      <c r="D235" s="343">
        <v>230</v>
      </c>
      <c r="E235" s="342"/>
      <c r="F235" s="342"/>
      <c r="G235" s="342"/>
      <c r="H235" s="342"/>
      <c r="I235" s="342"/>
      <c r="J235" s="342"/>
      <c r="K235" s="341"/>
      <c r="L235" s="340"/>
      <c r="M235" s="339"/>
      <c r="N235" s="320"/>
      <c r="O235" s="320"/>
      <c r="P235" s="320"/>
      <c r="Q235" s="320"/>
      <c r="R235" s="320"/>
      <c r="S235" s="320"/>
      <c r="T235" s="334">
        <v>3</v>
      </c>
      <c r="U235" s="334" t="s">
        <v>773</v>
      </c>
      <c r="V235" s="333">
        <v>230</v>
      </c>
      <c r="W235" s="331"/>
      <c r="X235" s="331"/>
      <c r="Y235" s="331"/>
      <c r="Z235" s="331"/>
      <c r="AA235" s="331"/>
      <c r="AB235" s="331"/>
      <c r="AC235" s="330"/>
      <c r="AD235" s="320"/>
      <c r="AE235" s="320"/>
      <c r="AF235" s="320"/>
      <c r="AG235" s="320"/>
      <c r="AH235" s="320"/>
      <c r="AI235" s="320"/>
      <c r="AJ235" s="320"/>
      <c r="AK235" s="320"/>
      <c r="AL235" s="320"/>
      <c r="AM235" s="320"/>
      <c r="AN235" s="320"/>
      <c r="AO235" s="320"/>
      <c r="AP235" s="320"/>
      <c r="AQ235" s="334">
        <v>3</v>
      </c>
      <c r="AR235" s="334" t="s">
        <v>773</v>
      </c>
      <c r="AS235" s="333">
        <v>230</v>
      </c>
      <c r="AT235" s="331"/>
      <c r="AU235" s="331"/>
      <c r="AV235" s="331"/>
      <c r="AW235" s="331"/>
      <c r="AX235" s="331"/>
      <c r="AY235" s="331"/>
      <c r="AZ235" s="332"/>
      <c r="BA235" s="331"/>
      <c r="BB235" s="331"/>
      <c r="BC235" s="330"/>
      <c r="BD235" s="320"/>
      <c r="BE235" s="320"/>
      <c r="BF235" s="320"/>
      <c r="BG235" s="320"/>
      <c r="BH235" s="320"/>
      <c r="BI235" s="320"/>
      <c r="BJ235" s="320"/>
      <c r="BK235" s="320"/>
      <c r="BL235" s="320"/>
      <c r="BM235" s="320"/>
    </row>
    <row r="236" spans="2:65">
      <c r="B236" s="345">
        <v>3</v>
      </c>
      <c r="C236" s="344" t="s">
        <v>774</v>
      </c>
      <c r="D236" s="343">
        <v>231</v>
      </c>
      <c r="E236" s="342"/>
      <c r="F236" s="342"/>
      <c r="G236" s="342"/>
      <c r="H236" s="342"/>
      <c r="I236" s="342"/>
      <c r="J236" s="342"/>
      <c r="K236" s="341"/>
      <c r="L236" s="340"/>
      <c r="M236" s="339"/>
      <c r="N236" s="320"/>
      <c r="O236" s="320"/>
      <c r="P236" s="320"/>
      <c r="Q236" s="320"/>
      <c r="R236" s="320"/>
      <c r="S236" s="320"/>
      <c r="T236" s="334">
        <v>3</v>
      </c>
      <c r="U236" s="334" t="s">
        <v>774</v>
      </c>
      <c r="V236" s="333">
        <v>231</v>
      </c>
      <c r="W236" s="331"/>
      <c r="X236" s="331"/>
      <c r="Y236" s="331"/>
      <c r="Z236" s="331"/>
      <c r="AA236" s="331"/>
      <c r="AB236" s="331"/>
      <c r="AC236" s="330"/>
      <c r="AD236" s="320"/>
      <c r="AE236" s="320"/>
      <c r="AF236" s="320"/>
      <c r="AG236" s="320"/>
      <c r="AH236" s="320"/>
      <c r="AI236" s="320"/>
      <c r="AJ236" s="320"/>
      <c r="AK236" s="320"/>
      <c r="AL236" s="320"/>
      <c r="AM236" s="320"/>
      <c r="AN236" s="320"/>
      <c r="AO236" s="320"/>
      <c r="AP236" s="320"/>
      <c r="AQ236" s="334">
        <v>3</v>
      </c>
      <c r="AR236" s="334" t="s">
        <v>774</v>
      </c>
      <c r="AS236" s="333">
        <v>231</v>
      </c>
      <c r="AT236" s="331"/>
      <c r="AU236" s="331"/>
      <c r="AV236" s="331"/>
      <c r="AW236" s="331"/>
      <c r="AX236" s="331"/>
      <c r="AY236" s="331"/>
      <c r="AZ236" s="332"/>
      <c r="BA236" s="331"/>
      <c r="BB236" s="331"/>
      <c r="BC236" s="330"/>
      <c r="BD236" s="320"/>
      <c r="BE236" s="320"/>
      <c r="BF236" s="320"/>
      <c r="BG236" s="320"/>
      <c r="BH236" s="320"/>
      <c r="BI236" s="320"/>
      <c r="BJ236" s="320"/>
      <c r="BK236" s="320"/>
      <c r="BL236" s="320"/>
      <c r="BM236" s="320"/>
    </row>
    <row r="237" spans="2:65">
      <c r="B237" s="345">
        <v>3</v>
      </c>
      <c r="C237" s="344" t="s">
        <v>775</v>
      </c>
      <c r="D237" s="343">
        <v>232</v>
      </c>
      <c r="E237" s="342"/>
      <c r="F237" s="342"/>
      <c r="G237" s="342"/>
      <c r="H237" s="342"/>
      <c r="I237" s="342"/>
      <c r="J237" s="342"/>
      <c r="K237" s="341"/>
      <c r="L237" s="340"/>
      <c r="M237" s="339"/>
      <c r="N237" s="320"/>
      <c r="O237" s="320"/>
      <c r="P237" s="320"/>
      <c r="Q237" s="320"/>
      <c r="R237" s="320"/>
      <c r="S237" s="320"/>
      <c r="T237" s="334">
        <v>3</v>
      </c>
      <c r="U237" s="334" t="s">
        <v>775</v>
      </c>
      <c r="V237" s="333">
        <v>232</v>
      </c>
      <c r="W237" s="331"/>
      <c r="X237" s="331"/>
      <c r="Y237" s="331"/>
      <c r="Z237" s="331"/>
      <c r="AA237" s="331"/>
      <c r="AB237" s="331"/>
      <c r="AC237" s="330"/>
      <c r="AD237" s="320"/>
      <c r="AE237" s="320"/>
      <c r="AF237" s="320"/>
      <c r="AG237" s="320"/>
      <c r="AH237" s="320"/>
      <c r="AI237" s="320"/>
      <c r="AJ237" s="320"/>
      <c r="AK237" s="320"/>
      <c r="AL237" s="320"/>
      <c r="AM237" s="320"/>
      <c r="AN237" s="320"/>
      <c r="AO237" s="320"/>
      <c r="AP237" s="320"/>
      <c r="AQ237" s="334">
        <v>3</v>
      </c>
      <c r="AR237" s="334" t="s">
        <v>775</v>
      </c>
      <c r="AS237" s="333">
        <v>232</v>
      </c>
      <c r="AT237" s="331"/>
      <c r="AU237" s="331"/>
      <c r="AV237" s="331"/>
      <c r="AW237" s="331"/>
      <c r="AX237" s="331"/>
      <c r="AY237" s="331"/>
      <c r="AZ237" s="332"/>
      <c r="BA237" s="331"/>
      <c r="BB237" s="331"/>
      <c r="BC237" s="330"/>
      <c r="BD237" s="320"/>
      <c r="BE237" s="320"/>
      <c r="BF237" s="320"/>
      <c r="BG237" s="320"/>
      <c r="BH237" s="320"/>
      <c r="BI237" s="320"/>
      <c r="BJ237" s="320"/>
      <c r="BK237" s="320"/>
      <c r="BL237" s="320"/>
      <c r="BM237" s="320"/>
    </row>
    <row r="238" spans="2:65">
      <c r="B238" s="338">
        <v>3</v>
      </c>
      <c r="C238" s="334" t="s">
        <v>776</v>
      </c>
      <c r="D238" s="333">
        <v>233</v>
      </c>
      <c r="E238" s="331"/>
      <c r="F238" s="331"/>
      <c r="G238" s="331"/>
      <c r="H238" s="331"/>
      <c r="I238" s="331"/>
      <c r="J238" s="331"/>
      <c r="K238" s="337"/>
      <c r="L238" s="336"/>
      <c r="M238" s="335"/>
      <c r="N238" s="320"/>
      <c r="O238" s="320"/>
      <c r="P238" s="320"/>
      <c r="Q238" s="320"/>
      <c r="R238" s="320"/>
      <c r="S238" s="320"/>
      <c r="T238" s="334">
        <v>3</v>
      </c>
      <c r="U238" s="334" t="s">
        <v>776</v>
      </c>
      <c r="V238" s="333">
        <v>233</v>
      </c>
      <c r="W238" s="331"/>
      <c r="X238" s="331"/>
      <c r="Y238" s="331"/>
      <c r="Z238" s="331"/>
      <c r="AA238" s="331"/>
      <c r="AB238" s="331"/>
      <c r="AC238" s="330"/>
      <c r="AD238" s="320"/>
      <c r="AE238" s="320"/>
      <c r="AF238" s="320"/>
      <c r="AG238" s="320"/>
      <c r="AH238" s="320"/>
      <c r="AI238" s="320"/>
      <c r="AJ238" s="320"/>
      <c r="AK238" s="320"/>
      <c r="AL238" s="320"/>
      <c r="AM238" s="320"/>
      <c r="AN238" s="320"/>
      <c r="AO238" s="320"/>
      <c r="AP238" s="320"/>
      <c r="AQ238" s="334">
        <v>3</v>
      </c>
      <c r="AR238" s="334" t="s">
        <v>776</v>
      </c>
      <c r="AS238" s="333">
        <v>233</v>
      </c>
      <c r="AT238" s="331"/>
      <c r="AU238" s="331"/>
      <c r="AV238" s="331"/>
      <c r="AW238" s="331"/>
      <c r="AX238" s="331"/>
      <c r="AY238" s="331"/>
      <c r="AZ238" s="332"/>
      <c r="BA238" s="331"/>
      <c r="BB238" s="331"/>
      <c r="BC238" s="330"/>
      <c r="BD238" s="320"/>
      <c r="BE238" s="320"/>
      <c r="BF238" s="320"/>
      <c r="BG238" s="320"/>
      <c r="BH238" s="320"/>
      <c r="BI238" s="320"/>
      <c r="BJ238" s="320"/>
      <c r="BK238" s="320"/>
      <c r="BL238" s="320"/>
      <c r="BM238" s="320"/>
    </row>
    <row r="239" spans="2:65">
      <c r="B239" s="338">
        <v>3</v>
      </c>
      <c r="C239" s="334" t="s">
        <v>777</v>
      </c>
      <c r="D239" s="333">
        <v>234</v>
      </c>
      <c r="E239" s="331"/>
      <c r="F239" s="331"/>
      <c r="G239" s="331"/>
      <c r="H239" s="331"/>
      <c r="I239" s="331"/>
      <c r="J239" s="331"/>
      <c r="K239" s="337"/>
      <c r="L239" s="336"/>
      <c r="M239" s="335"/>
      <c r="N239" s="320"/>
      <c r="O239" s="320"/>
      <c r="P239" s="320"/>
      <c r="Q239" s="320"/>
      <c r="R239" s="320"/>
      <c r="S239" s="320"/>
      <c r="T239" s="334">
        <v>3</v>
      </c>
      <c r="U239" s="334" t="s">
        <v>777</v>
      </c>
      <c r="V239" s="333">
        <v>234</v>
      </c>
      <c r="W239" s="331"/>
      <c r="X239" s="331"/>
      <c r="Y239" s="331"/>
      <c r="Z239" s="331"/>
      <c r="AA239" s="331"/>
      <c r="AB239" s="331"/>
      <c r="AC239" s="330"/>
      <c r="AD239" s="320"/>
      <c r="AE239" s="320"/>
      <c r="AF239" s="320"/>
      <c r="AG239" s="320"/>
      <c r="AH239" s="320"/>
      <c r="AI239" s="320"/>
      <c r="AJ239" s="320"/>
      <c r="AK239" s="320"/>
      <c r="AL239" s="320"/>
      <c r="AM239" s="320"/>
      <c r="AN239" s="320"/>
      <c r="AO239" s="320"/>
      <c r="AP239" s="320"/>
      <c r="AQ239" s="334">
        <v>3</v>
      </c>
      <c r="AR239" s="334" t="s">
        <v>777</v>
      </c>
      <c r="AS239" s="333">
        <v>234</v>
      </c>
      <c r="AT239" s="331"/>
      <c r="AU239" s="331"/>
      <c r="AV239" s="331"/>
      <c r="AW239" s="331"/>
      <c r="AX239" s="331"/>
      <c r="AY239" s="331"/>
      <c r="AZ239" s="332"/>
      <c r="BA239" s="331"/>
      <c r="BB239" s="331"/>
      <c r="BC239" s="330"/>
      <c r="BD239" s="320"/>
      <c r="BE239" s="320"/>
      <c r="BF239" s="320"/>
      <c r="BG239" s="320"/>
      <c r="BH239" s="320"/>
      <c r="BI239" s="320"/>
      <c r="BJ239" s="320"/>
      <c r="BK239" s="320"/>
      <c r="BL239" s="320"/>
      <c r="BM239" s="320"/>
    </row>
    <row r="240" spans="2:65">
      <c r="B240" s="338">
        <v>3</v>
      </c>
      <c r="C240" s="334" t="s">
        <v>778</v>
      </c>
      <c r="D240" s="333">
        <v>235</v>
      </c>
      <c r="E240" s="331"/>
      <c r="F240" s="331"/>
      <c r="G240" s="331"/>
      <c r="H240" s="331"/>
      <c r="I240" s="331"/>
      <c r="J240" s="331"/>
      <c r="K240" s="337"/>
      <c r="L240" s="336"/>
      <c r="M240" s="335"/>
      <c r="N240" s="320"/>
      <c r="O240" s="320"/>
      <c r="P240" s="320"/>
      <c r="Q240" s="320"/>
      <c r="R240" s="320"/>
      <c r="S240" s="320"/>
      <c r="T240" s="334">
        <v>3</v>
      </c>
      <c r="U240" s="334" t="s">
        <v>778</v>
      </c>
      <c r="V240" s="333">
        <v>235</v>
      </c>
      <c r="W240" s="331"/>
      <c r="X240" s="331"/>
      <c r="Y240" s="331"/>
      <c r="Z240" s="331"/>
      <c r="AA240" s="331"/>
      <c r="AB240" s="331"/>
      <c r="AC240" s="330"/>
      <c r="AD240" s="320"/>
      <c r="AE240" s="320"/>
      <c r="AF240" s="320"/>
      <c r="AG240" s="320"/>
      <c r="AH240" s="320"/>
      <c r="AI240" s="320"/>
      <c r="AJ240" s="320"/>
      <c r="AK240" s="320"/>
      <c r="AL240" s="320"/>
      <c r="AM240" s="320"/>
      <c r="AN240" s="320"/>
      <c r="AO240" s="320"/>
      <c r="AP240" s="320"/>
      <c r="AQ240" s="334">
        <v>3</v>
      </c>
      <c r="AR240" s="334" t="s">
        <v>778</v>
      </c>
      <c r="AS240" s="333">
        <v>235</v>
      </c>
      <c r="AT240" s="331"/>
      <c r="AU240" s="331"/>
      <c r="AV240" s="331"/>
      <c r="AW240" s="331"/>
      <c r="AX240" s="331"/>
      <c r="AY240" s="331"/>
      <c r="AZ240" s="332"/>
      <c r="BA240" s="331"/>
      <c r="BB240" s="331"/>
      <c r="BC240" s="330"/>
      <c r="BD240" s="320"/>
      <c r="BE240" s="320"/>
      <c r="BF240" s="320"/>
      <c r="BG240" s="320"/>
      <c r="BH240" s="320"/>
      <c r="BI240" s="320"/>
      <c r="BJ240" s="320"/>
      <c r="BK240" s="320"/>
      <c r="BL240" s="320"/>
      <c r="BM240" s="320"/>
    </row>
    <row r="241" spans="2:65">
      <c r="B241" s="338">
        <v>3</v>
      </c>
      <c r="C241" s="334" t="s">
        <v>779</v>
      </c>
      <c r="D241" s="333">
        <v>236</v>
      </c>
      <c r="E241" s="331"/>
      <c r="F241" s="331"/>
      <c r="G241" s="331"/>
      <c r="H241" s="331"/>
      <c r="I241" s="331"/>
      <c r="J241" s="331"/>
      <c r="K241" s="337"/>
      <c r="L241" s="336"/>
      <c r="M241" s="335"/>
      <c r="N241" s="320"/>
      <c r="O241" s="320"/>
      <c r="P241" s="320"/>
      <c r="Q241" s="320"/>
      <c r="R241" s="320"/>
      <c r="S241" s="320"/>
      <c r="T241" s="334">
        <v>3</v>
      </c>
      <c r="U241" s="334" t="s">
        <v>779</v>
      </c>
      <c r="V241" s="333">
        <v>236</v>
      </c>
      <c r="W241" s="331"/>
      <c r="X241" s="331"/>
      <c r="Y241" s="331"/>
      <c r="Z241" s="331"/>
      <c r="AA241" s="331"/>
      <c r="AB241" s="331"/>
      <c r="AC241" s="330"/>
      <c r="AD241" s="320"/>
      <c r="AE241" s="320"/>
      <c r="AF241" s="320"/>
      <c r="AG241" s="320"/>
      <c r="AH241" s="320"/>
      <c r="AI241" s="320"/>
      <c r="AJ241" s="320"/>
      <c r="AK241" s="320"/>
      <c r="AL241" s="320"/>
      <c r="AM241" s="320"/>
      <c r="AN241" s="320"/>
      <c r="AO241" s="320"/>
      <c r="AP241" s="320"/>
      <c r="AQ241" s="334">
        <v>3</v>
      </c>
      <c r="AR241" s="334" t="s">
        <v>779</v>
      </c>
      <c r="AS241" s="333">
        <v>236</v>
      </c>
      <c r="AT241" s="331"/>
      <c r="AU241" s="331"/>
      <c r="AV241" s="331"/>
      <c r="AW241" s="331"/>
      <c r="AX241" s="331"/>
      <c r="AY241" s="331"/>
      <c r="AZ241" s="332"/>
      <c r="BA241" s="331"/>
      <c r="BB241" s="331"/>
      <c r="BC241" s="330"/>
      <c r="BD241" s="320"/>
      <c r="BE241" s="320"/>
      <c r="BF241" s="320"/>
      <c r="BG241" s="320"/>
      <c r="BH241" s="320"/>
      <c r="BI241" s="320"/>
      <c r="BJ241" s="320"/>
      <c r="BK241" s="320"/>
      <c r="BL241" s="320"/>
      <c r="BM241" s="320"/>
    </row>
    <row r="242" spans="2:65">
      <c r="B242" s="338">
        <v>3</v>
      </c>
      <c r="C242" s="334" t="s">
        <v>780</v>
      </c>
      <c r="D242" s="333">
        <v>237</v>
      </c>
      <c r="E242" s="331"/>
      <c r="F242" s="331"/>
      <c r="G242" s="331"/>
      <c r="H242" s="331"/>
      <c r="I242" s="331"/>
      <c r="J242" s="331"/>
      <c r="K242" s="337"/>
      <c r="L242" s="336"/>
      <c r="M242" s="335"/>
      <c r="N242" s="320"/>
      <c r="O242" s="320"/>
      <c r="P242" s="320"/>
      <c r="Q242" s="320"/>
      <c r="R242" s="320"/>
      <c r="S242" s="320"/>
      <c r="T242" s="334">
        <v>3</v>
      </c>
      <c r="U242" s="334" t="s">
        <v>780</v>
      </c>
      <c r="V242" s="333">
        <v>237</v>
      </c>
      <c r="W242" s="331"/>
      <c r="X242" s="331"/>
      <c r="Y242" s="331"/>
      <c r="Z242" s="331"/>
      <c r="AA242" s="331"/>
      <c r="AB242" s="331"/>
      <c r="AC242" s="330"/>
      <c r="AD242" s="320"/>
      <c r="AE242" s="320"/>
      <c r="AF242" s="320"/>
      <c r="AG242" s="320"/>
      <c r="AH242" s="320"/>
      <c r="AI242" s="320"/>
      <c r="AJ242" s="320"/>
      <c r="AK242" s="320"/>
      <c r="AL242" s="320"/>
      <c r="AM242" s="320"/>
      <c r="AN242" s="320"/>
      <c r="AO242" s="320"/>
      <c r="AP242" s="320"/>
      <c r="AQ242" s="334">
        <v>3</v>
      </c>
      <c r="AR242" s="334" t="s">
        <v>780</v>
      </c>
      <c r="AS242" s="333">
        <v>237</v>
      </c>
      <c r="AT242" s="331"/>
      <c r="AU242" s="331"/>
      <c r="AV242" s="331"/>
      <c r="AW242" s="331"/>
      <c r="AX242" s="331"/>
      <c r="AY242" s="331"/>
      <c r="AZ242" s="332"/>
      <c r="BA242" s="331"/>
      <c r="BB242" s="331"/>
      <c r="BC242" s="330"/>
      <c r="BD242" s="320"/>
      <c r="BE242" s="320"/>
      <c r="BF242" s="320"/>
      <c r="BG242" s="320"/>
      <c r="BH242" s="320"/>
      <c r="BI242" s="320"/>
      <c r="BJ242" s="320"/>
      <c r="BK242" s="320"/>
      <c r="BL242" s="320"/>
      <c r="BM242" s="320"/>
    </row>
    <row r="243" spans="2:65">
      <c r="B243" s="338">
        <v>3</v>
      </c>
      <c r="C243" s="334" t="s">
        <v>781</v>
      </c>
      <c r="D243" s="333">
        <v>238</v>
      </c>
      <c r="E243" s="331"/>
      <c r="F243" s="331"/>
      <c r="G243" s="331"/>
      <c r="H243" s="331"/>
      <c r="I243" s="331"/>
      <c r="J243" s="331"/>
      <c r="K243" s="337"/>
      <c r="L243" s="336"/>
      <c r="M243" s="335"/>
      <c r="N243" s="320"/>
      <c r="O243" s="320"/>
      <c r="P243" s="320"/>
      <c r="Q243" s="320"/>
      <c r="R243" s="320"/>
      <c r="S243" s="320"/>
      <c r="T243" s="334">
        <v>3</v>
      </c>
      <c r="U243" s="334" t="s">
        <v>781</v>
      </c>
      <c r="V243" s="333">
        <v>238</v>
      </c>
      <c r="W243" s="331"/>
      <c r="X243" s="331"/>
      <c r="Y243" s="331"/>
      <c r="Z243" s="331"/>
      <c r="AA243" s="331"/>
      <c r="AB243" s="331"/>
      <c r="AC243" s="330"/>
      <c r="AD243" s="320"/>
      <c r="AE243" s="320"/>
      <c r="AF243" s="320"/>
      <c r="AG243" s="320"/>
      <c r="AH243" s="320"/>
      <c r="AI243" s="320"/>
      <c r="AJ243" s="320"/>
      <c r="AK243" s="320"/>
      <c r="AL243" s="320"/>
      <c r="AM243" s="320"/>
      <c r="AN243" s="320"/>
      <c r="AO243" s="320"/>
      <c r="AP243" s="320"/>
      <c r="AQ243" s="334">
        <v>3</v>
      </c>
      <c r="AR243" s="334" t="s">
        <v>781</v>
      </c>
      <c r="AS243" s="333">
        <v>238</v>
      </c>
      <c r="AT243" s="331"/>
      <c r="AU243" s="331"/>
      <c r="AV243" s="331"/>
      <c r="AW243" s="331"/>
      <c r="AX243" s="331"/>
      <c r="AY243" s="331"/>
      <c r="AZ243" s="332"/>
      <c r="BA243" s="331"/>
      <c r="BB243" s="331"/>
      <c r="BC243" s="330"/>
      <c r="BD243" s="320"/>
      <c r="BE243" s="320"/>
      <c r="BF243" s="320"/>
      <c r="BG243" s="320"/>
      <c r="BH243" s="320"/>
      <c r="BI243" s="320"/>
      <c r="BJ243" s="320"/>
      <c r="BK243" s="320"/>
      <c r="BL243" s="320"/>
      <c r="BM243" s="320"/>
    </row>
    <row r="244" spans="2:65">
      <c r="B244" s="338">
        <v>3</v>
      </c>
      <c r="C244" s="334" t="s">
        <v>782</v>
      </c>
      <c r="D244" s="333">
        <v>239</v>
      </c>
      <c r="E244" s="331"/>
      <c r="F244" s="331"/>
      <c r="G244" s="331"/>
      <c r="H244" s="331"/>
      <c r="I244" s="331"/>
      <c r="J244" s="331"/>
      <c r="K244" s="337"/>
      <c r="L244" s="336"/>
      <c r="M244" s="335"/>
      <c r="N244" s="320"/>
      <c r="O244" s="320"/>
      <c r="P244" s="320"/>
      <c r="Q244" s="320"/>
      <c r="R244" s="320"/>
      <c r="S244" s="320"/>
      <c r="T244" s="334">
        <v>3</v>
      </c>
      <c r="U244" s="334" t="s">
        <v>782</v>
      </c>
      <c r="V244" s="333">
        <v>239</v>
      </c>
      <c r="W244" s="331"/>
      <c r="X244" s="331"/>
      <c r="Y244" s="331"/>
      <c r="Z244" s="331"/>
      <c r="AA244" s="331"/>
      <c r="AB244" s="331"/>
      <c r="AC244" s="330"/>
      <c r="AD244" s="320"/>
      <c r="AE244" s="320"/>
      <c r="AF244" s="320"/>
      <c r="AG244" s="320"/>
      <c r="AH244" s="320"/>
      <c r="AI244" s="320"/>
      <c r="AJ244" s="320"/>
      <c r="AK244" s="320"/>
      <c r="AL244" s="320"/>
      <c r="AM244" s="320"/>
      <c r="AN244" s="320"/>
      <c r="AO244" s="320"/>
      <c r="AP244" s="320"/>
      <c r="AQ244" s="334">
        <v>3</v>
      </c>
      <c r="AR244" s="334" t="s">
        <v>782</v>
      </c>
      <c r="AS244" s="333">
        <v>239</v>
      </c>
      <c r="AT244" s="331"/>
      <c r="AU244" s="331"/>
      <c r="AV244" s="331"/>
      <c r="AW244" s="331"/>
      <c r="AX244" s="331"/>
      <c r="AY244" s="331"/>
      <c r="AZ244" s="332"/>
      <c r="BA244" s="331"/>
      <c r="BB244" s="331"/>
      <c r="BC244" s="330"/>
      <c r="BD244" s="320"/>
      <c r="BE244" s="320"/>
      <c r="BF244" s="320"/>
      <c r="BG244" s="320"/>
      <c r="BH244" s="320"/>
      <c r="BI244" s="320"/>
      <c r="BJ244" s="320"/>
      <c r="BK244" s="320"/>
      <c r="BL244" s="320"/>
      <c r="BM244" s="320"/>
    </row>
    <row r="245" spans="2:65" ht="15.75" thickBot="1">
      <c r="B245" s="386">
        <v>3</v>
      </c>
      <c r="C245" s="382" t="s">
        <v>783</v>
      </c>
      <c r="D245" s="381">
        <v>240</v>
      </c>
      <c r="E245" s="379"/>
      <c r="F245" s="379"/>
      <c r="G245" s="379"/>
      <c r="H245" s="379"/>
      <c r="I245" s="379"/>
      <c r="J245" s="379"/>
      <c r="K245" s="385"/>
      <c r="L245" s="384"/>
      <c r="M245" s="383"/>
      <c r="N245" s="320"/>
      <c r="O245" s="320"/>
      <c r="P245" s="320"/>
      <c r="Q245" s="320"/>
      <c r="R245" s="320"/>
      <c r="S245" s="320"/>
      <c r="T245" s="382">
        <v>3</v>
      </c>
      <c r="U245" s="382" t="s">
        <v>783</v>
      </c>
      <c r="V245" s="381">
        <v>240</v>
      </c>
      <c r="W245" s="379"/>
      <c r="X245" s="379"/>
      <c r="Y245" s="379"/>
      <c r="Z245" s="379"/>
      <c r="AA245" s="379"/>
      <c r="AB245" s="379"/>
      <c r="AC245" s="378"/>
      <c r="AD245" s="320"/>
      <c r="AE245" s="320"/>
      <c r="AF245" s="320"/>
      <c r="AG245" s="320"/>
      <c r="AH245" s="320"/>
      <c r="AI245" s="320"/>
      <c r="AJ245" s="320"/>
      <c r="AK245" s="320"/>
      <c r="AL245" s="320"/>
      <c r="AM245" s="320"/>
      <c r="AN245" s="320"/>
      <c r="AO245" s="320"/>
      <c r="AP245" s="320"/>
      <c r="AQ245" s="382">
        <v>3</v>
      </c>
      <c r="AR245" s="382" t="s">
        <v>783</v>
      </c>
      <c r="AS245" s="381">
        <v>240</v>
      </c>
      <c r="AT245" s="379"/>
      <c r="AU245" s="379"/>
      <c r="AV245" s="379"/>
      <c r="AW245" s="379"/>
      <c r="AX245" s="379"/>
      <c r="AY245" s="379"/>
      <c r="AZ245" s="380"/>
      <c r="BA245" s="379"/>
      <c r="BB245" s="379"/>
      <c r="BC245" s="378"/>
      <c r="BD245" s="320"/>
      <c r="BE245" s="320"/>
      <c r="BF245" s="320"/>
      <c r="BG245" s="320"/>
      <c r="BH245" s="320"/>
      <c r="BI245" s="320"/>
      <c r="BJ245" s="320"/>
      <c r="BK245" s="320"/>
      <c r="BL245" s="320"/>
      <c r="BM245" s="320"/>
    </row>
    <row r="246" spans="2:65">
      <c r="B246" s="377">
        <v>3</v>
      </c>
      <c r="C246" s="372" t="s">
        <v>784</v>
      </c>
      <c r="D246" s="371">
        <v>241</v>
      </c>
      <c r="E246" s="374"/>
      <c r="F246" s="374"/>
      <c r="G246" s="374"/>
      <c r="H246" s="374"/>
      <c r="I246" s="374"/>
      <c r="J246" s="374"/>
      <c r="K246" s="376"/>
      <c r="L246" s="375"/>
      <c r="M246" s="373"/>
      <c r="N246" s="320"/>
      <c r="O246" s="320"/>
      <c r="P246" s="320"/>
      <c r="Q246" s="320"/>
      <c r="R246" s="320"/>
      <c r="S246" s="320"/>
      <c r="T246" s="372">
        <v>3</v>
      </c>
      <c r="U246" s="372" t="s">
        <v>784</v>
      </c>
      <c r="V246" s="371">
        <v>241</v>
      </c>
      <c r="W246" s="374"/>
      <c r="X246" s="374"/>
      <c r="Y246" s="374"/>
      <c r="Z246" s="374"/>
      <c r="AA246" s="374"/>
      <c r="AB246" s="374">
        <f>AH16</f>
        <v>0</v>
      </c>
      <c r="AC246" s="373"/>
      <c r="AD246" s="320"/>
      <c r="AE246" s="320"/>
      <c r="AF246" s="320"/>
      <c r="AG246" s="320"/>
      <c r="AH246" s="320"/>
      <c r="AI246" s="320"/>
      <c r="AJ246" s="320"/>
      <c r="AK246" s="320"/>
      <c r="AL246" s="320"/>
      <c r="AM246" s="320"/>
      <c r="AN246" s="320"/>
      <c r="AO246" s="320"/>
      <c r="AP246" s="320"/>
      <c r="AQ246" s="372">
        <v>3</v>
      </c>
      <c r="AR246" s="372" t="s">
        <v>784</v>
      </c>
      <c r="AS246" s="371">
        <v>241</v>
      </c>
      <c r="AT246" s="369"/>
      <c r="AU246" s="369"/>
      <c r="AV246" s="369"/>
      <c r="AW246" s="369"/>
      <c r="AX246" s="369"/>
      <c r="AY246" s="369">
        <f>BH16</f>
        <v>0</v>
      </c>
      <c r="AZ246" s="370"/>
      <c r="BA246" s="369"/>
      <c r="BB246" s="369"/>
      <c r="BC246" s="368"/>
      <c r="BD246" s="320"/>
      <c r="BE246" s="320"/>
      <c r="BF246" s="320"/>
      <c r="BG246" s="320"/>
      <c r="BH246" s="320"/>
      <c r="BI246" s="320"/>
      <c r="BJ246" s="320"/>
      <c r="BK246" s="320"/>
      <c r="BL246" s="320"/>
      <c r="BM246" s="320"/>
    </row>
    <row r="247" spans="2:65">
      <c r="B247" s="345">
        <v>3</v>
      </c>
      <c r="C247" s="344" t="s">
        <v>785</v>
      </c>
      <c r="D247" s="343">
        <v>242</v>
      </c>
      <c r="E247" s="342"/>
      <c r="F247" s="342"/>
      <c r="G247" s="342"/>
      <c r="H247" s="342"/>
      <c r="I247" s="342"/>
      <c r="J247" s="342"/>
      <c r="K247" s="341"/>
      <c r="L247" s="340"/>
      <c r="M247" s="339"/>
      <c r="N247" s="320"/>
      <c r="O247" s="320"/>
      <c r="P247" s="320"/>
      <c r="Q247" s="320"/>
      <c r="R247" s="320"/>
      <c r="S247" s="320"/>
      <c r="T247" s="344">
        <v>3</v>
      </c>
      <c r="U247" s="344" t="s">
        <v>785</v>
      </c>
      <c r="V247" s="343">
        <v>242</v>
      </c>
      <c r="W247" s="342"/>
      <c r="X247" s="342"/>
      <c r="Y247" s="342"/>
      <c r="Z247" s="342"/>
      <c r="AA247" s="342"/>
      <c r="AB247" s="342"/>
      <c r="AC247" s="339"/>
      <c r="AD247" s="320"/>
      <c r="AE247" s="320"/>
      <c r="AF247" s="320"/>
      <c r="AG247" s="320"/>
      <c r="AH247" s="320"/>
      <c r="AI247" s="320"/>
      <c r="AJ247" s="320"/>
      <c r="AK247" s="320"/>
      <c r="AL247" s="320"/>
      <c r="AM247" s="320"/>
      <c r="AN247" s="320"/>
      <c r="AO247" s="320"/>
      <c r="AP247" s="320"/>
      <c r="AQ247" s="344">
        <v>3</v>
      </c>
      <c r="AR247" s="344" t="s">
        <v>785</v>
      </c>
      <c r="AS247" s="343">
        <v>242</v>
      </c>
      <c r="AT247" s="342"/>
      <c r="AU247" s="342"/>
      <c r="AV247" s="342"/>
      <c r="AW247" s="342"/>
      <c r="AX247" s="342"/>
      <c r="AY247" s="342"/>
      <c r="AZ247" s="363"/>
      <c r="BA247" s="342"/>
      <c r="BB247" s="342"/>
      <c r="BC247" s="339"/>
      <c r="BD247" s="320"/>
      <c r="BE247" s="320"/>
      <c r="BF247" s="320"/>
      <c r="BG247" s="320"/>
      <c r="BH247" s="320"/>
      <c r="BI247" s="320"/>
      <c r="BJ247" s="320"/>
      <c r="BK247" s="320"/>
      <c r="BL247" s="320"/>
      <c r="BM247" s="320"/>
    </row>
    <row r="248" spans="2:65">
      <c r="B248" s="345">
        <v>3</v>
      </c>
      <c r="C248" s="344" t="s">
        <v>786</v>
      </c>
      <c r="D248" s="343">
        <v>243</v>
      </c>
      <c r="E248" s="342"/>
      <c r="F248" s="342"/>
      <c r="G248" s="342"/>
      <c r="H248" s="342"/>
      <c r="I248" s="342"/>
      <c r="J248" s="342"/>
      <c r="K248" s="341"/>
      <c r="L248" s="340"/>
      <c r="M248" s="339"/>
      <c r="N248" s="320"/>
      <c r="O248" s="320"/>
      <c r="P248" s="320"/>
      <c r="Q248" s="320"/>
      <c r="R248" s="320"/>
      <c r="S248" s="320"/>
      <c r="T248" s="344">
        <v>3</v>
      </c>
      <c r="U248" s="344" t="s">
        <v>786</v>
      </c>
      <c r="V248" s="343">
        <v>243</v>
      </c>
      <c r="W248" s="342"/>
      <c r="X248" s="342"/>
      <c r="Y248" s="342"/>
      <c r="Z248" s="342"/>
      <c r="AA248" s="342"/>
      <c r="AB248" s="342"/>
      <c r="AC248" s="339"/>
      <c r="AD248" s="320"/>
      <c r="AE248" s="320"/>
      <c r="AF248" s="320"/>
      <c r="AG248" s="320"/>
      <c r="AH248" s="320"/>
      <c r="AI248" s="320"/>
      <c r="AJ248" s="320"/>
      <c r="AK248" s="320"/>
      <c r="AL248" s="320"/>
      <c r="AM248" s="320"/>
      <c r="AN248" s="320"/>
      <c r="AO248" s="320"/>
      <c r="AP248" s="320"/>
      <c r="AQ248" s="344">
        <v>3</v>
      </c>
      <c r="AR248" s="344" t="s">
        <v>786</v>
      </c>
      <c r="AS248" s="343">
        <v>243</v>
      </c>
      <c r="AT248" s="342"/>
      <c r="AU248" s="342"/>
      <c r="AV248" s="342"/>
      <c r="AW248" s="342"/>
      <c r="AX248" s="342"/>
      <c r="AY248" s="342"/>
      <c r="AZ248" s="363"/>
      <c r="BA248" s="342"/>
      <c r="BB248" s="342"/>
      <c r="BC248" s="339"/>
      <c r="BD248" s="320"/>
      <c r="BE248" s="320"/>
      <c r="BF248" s="320"/>
      <c r="BG248" s="320"/>
      <c r="BH248" s="320"/>
      <c r="BI248" s="320"/>
      <c r="BJ248" s="320"/>
      <c r="BK248" s="320"/>
      <c r="BL248" s="320"/>
      <c r="BM248" s="320"/>
    </row>
    <row r="249" spans="2:65">
      <c r="B249" s="345">
        <v>3</v>
      </c>
      <c r="C249" s="344" t="s">
        <v>787</v>
      </c>
      <c r="D249" s="343">
        <v>244</v>
      </c>
      <c r="E249" s="342"/>
      <c r="F249" s="342"/>
      <c r="G249" s="342"/>
      <c r="H249" s="342"/>
      <c r="I249" s="342"/>
      <c r="J249" s="342"/>
      <c r="K249" s="341"/>
      <c r="L249" s="340"/>
      <c r="M249" s="339"/>
      <c r="N249" s="320"/>
      <c r="O249" s="320"/>
      <c r="P249" s="320"/>
      <c r="Q249" s="320"/>
      <c r="R249" s="320"/>
      <c r="S249" s="320"/>
      <c r="T249" s="344">
        <v>3</v>
      </c>
      <c r="U249" s="344" t="s">
        <v>787</v>
      </c>
      <c r="V249" s="343">
        <v>244</v>
      </c>
      <c r="W249" s="342"/>
      <c r="X249" s="342"/>
      <c r="Y249" s="342"/>
      <c r="Z249" s="342"/>
      <c r="AA249" s="342"/>
      <c r="AB249" s="342"/>
      <c r="AC249" s="339"/>
      <c r="AD249" s="320"/>
      <c r="AE249" s="320"/>
      <c r="AF249" s="320"/>
      <c r="AG249" s="320"/>
      <c r="AH249" s="320"/>
      <c r="AI249" s="320"/>
      <c r="AJ249" s="320"/>
      <c r="AK249" s="320"/>
      <c r="AL249" s="320"/>
      <c r="AM249" s="320"/>
      <c r="AN249" s="320"/>
      <c r="AO249" s="320"/>
      <c r="AP249" s="320"/>
      <c r="AQ249" s="344">
        <v>3</v>
      </c>
      <c r="AR249" s="344" t="s">
        <v>787</v>
      </c>
      <c r="AS249" s="343">
        <v>244</v>
      </c>
      <c r="AT249" s="342"/>
      <c r="AU249" s="342"/>
      <c r="AV249" s="342"/>
      <c r="AW249" s="342"/>
      <c r="AX249" s="342"/>
      <c r="AY249" s="342"/>
      <c r="AZ249" s="363"/>
      <c r="BA249" s="342"/>
      <c r="BB249" s="342"/>
      <c r="BC249" s="339"/>
      <c r="BD249" s="320"/>
      <c r="BE249" s="320"/>
      <c r="BF249" s="320"/>
      <c r="BG249" s="320"/>
      <c r="BH249" s="320"/>
      <c r="BI249" s="320"/>
      <c r="BJ249" s="320"/>
      <c r="BK249" s="320"/>
      <c r="BL249" s="320"/>
      <c r="BM249" s="320"/>
    </row>
    <row r="250" spans="2:65">
      <c r="B250" s="345">
        <v>3</v>
      </c>
      <c r="C250" s="344" t="s">
        <v>788</v>
      </c>
      <c r="D250" s="343">
        <v>245</v>
      </c>
      <c r="E250" s="342"/>
      <c r="F250" s="342"/>
      <c r="G250" s="342"/>
      <c r="H250" s="342"/>
      <c r="I250" s="342"/>
      <c r="J250" s="342"/>
      <c r="K250" s="341"/>
      <c r="L250" s="340"/>
      <c r="M250" s="339"/>
      <c r="N250" s="320"/>
      <c r="O250" s="320"/>
      <c r="P250" s="320"/>
      <c r="Q250" s="320"/>
      <c r="R250" s="320"/>
      <c r="S250" s="320"/>
      <c r="T250" s="344">
        <v>3</v>
      </c>
      <c r="U250" s="344" t="s">
        <v>788</v>
      </c>
      <c r="V250" s="343">
        <v>245</v>
      </c>
      <c r="W250" s="342"/>
      <c r="X250" s="342"/>
      <c r="Y250" s="342"/>
      <c r="Z250" s="342"/>
      <c r="AA250" s="342"/>
      <c r="AB250" s="342"/>
      <c r="AC250" s="339"/>
      <c r="AD250" s="320"/>
      <c r="AE250" s="320"/>
      <c r="AF250" s="320"/>
      <c r="AG250" s="320"/>
      <c r="AH250" s="320"/>
      <c r="AI250" s="320"/>
      <c r="AJ250" s="320"/>
      <c r="AK250" s="320"/>
      <c r="AL250" s="320"/>
      <c r="AM250" s="320"/>
      <c r="AN250" s="320"/>
      <c r="AO250" s="320"/>
      <c r="AP250" s="320"/>
      <c r="AQ250" s="344">
        <v>3</v>
      </c>
      <c r="AR250" s="344" t="s">
        <v>788</v>
      </c>
      <c r="AS250" s="343">
        <v>245</v>
      </c>
      <c r="AT250" s="342"/>
      <c r="AU250" s="342"/>
      <c r="AV250" s="342"/>
      <c r="AW250" s="342"/>
      <c r="AX250" s="342"/>
      <c r="AY250" s="342"/>
      <c r="AZ250" s="363"/>
      <c r="BA250" s="342"/>
      <c r="BB250" s="342"/>
      <c r="BC250" s="339"/>
      <c r="BD250" s="320"/>
      <c r="BE250" s="320"/>
      <c r="BF250" s="320"/>
      <c r="BG250" s="320"/>
      <c r="BH250" s="320"/>
      <c r="BI250" s="320"/>
      <c r="BJ250" s="320"/>
      <c r="BK250" s="320"/>
      <c r="BL250" s="320"/>
      <c r="BM250" s="320"/>
    </row>
    <row r="251" spans="2:65">
      <c r="B251" s="345">
        <v>3</v>
      </c>
      <c r="C251" s="344" t="s">
        <v>789</v>
      </c>
      <c r="D251" s="343">
        <v>246</v>
      </c>
      <c r="E251" s="342"/>
      <c r="F251" s="342"/>
      <c r="G251" s="342"/>
      <c r="H251" s="342"/>
      <c r="I251" s="342"/>
      <c r="J251" s="342"/>
      <c r="K251" s="341"/>
      <c r="L251" s="340"/>
      <c r="M251" s="339"/>
      <c r="N251" s="320"/>
      <c r="O251" s="320"/>
      <c r="P251" s="320"/>
      <c r="Q251" s="320"/>
      <c r="R251" s="320"/>
      <c r="S251" s="320"/>
      <c r="T251" s="344">
        <v>3</v>
      </c>
      <c r="U251" s="344" t="s">
        <v>789</v>
      </c>
      <c r="V251" s="343">
        <v>246</v>
      </c>
      <c r="W251" s="342"/>
      <c r="X251" s="342"/>
      <c r="Y251" s="342"/>
      <c r="Z251" s="342"/>
      <c r="AA251" s="342"/>
      <c r="AB251" s="342"/>
      <c r="AC251" s="339"/>
      <c r="AD251" s="320"/>
      <c r="AE251" s="320"/>
      <c r="AF251" s="320"/>
      <c r="AG251" s="320"/>
      <c r="AH251" s="320"/>
      <c r="AI251" s="320"/>
      <c r="AJ251" s="320"/>
      <c r="AK251" s="320"/>
      <c r="AL251" s="320"/>
      <c r="AM251" s="320"/>
      <c r="AN251" s="320"/>
      <c r="AO251" s="320"/>
      <c r="AP251" s="320"/>
      <c r="AQ251" s="344">
        <v>3</v>
      </c>
      <c r="AR251" s="344" t="s">
        <v>789</v>
      </c>
      <c r="AS251" s="343">
        <v>246</v>
      </c>
      <c r="AT251" s="342"/>
      <c r="AU251" s="342"/>
      <c r="AV251" s="342"/>
      <c r="AW251" s="342"/>
      <c r="AX251" s="342"/>
      <c r="AY251" s="342"/>
      <c r="AZ251" s="363"/>
      <c r="BA251" s="342"/>
      <c r="BB251" s="342"/>
      <c r="BC251" s="339"/>
      <c r="BD251" s="320"/>
      <c r="BE251" s="320"/>
      <c r="BF251" s="320"/>
      <c r="BG251" s="320"/>
      <c r="BH251" s="320"/>
      <c r="BI251" s="320"/>
      <c r="BJ251" s="320"/>
      <c r="BK251" s="320"/>
      <c r="BL251" s="320"/>
      <c r="BM251" s="320"/>
    </row>
    <row r="252" spans="2:65">
      <c r="B252" s="345">
        <v>3</v>
      </c>
      <c r="C252" s="344" t="s">
        <v>790</v>
      </c>
      <c r="D252" s="343">
        <v>247</v>
      </c>
      <c r="E252" s="342"/>
      <c r="F252" s="342"/>
      <c r="G252" s="342"/>
      <c r="H252" s="342"/>
      <c r="I252" s="342"/>
      <c r="J252" s="342"/>
      <c r="K252" s="341"/>
      <c r="L252" s="340"/>
      <c r="M252" s="339"/>
      <c r="N252" s="320"/>
      <c r="O252" s="320"/>
      <c r="P252" s="320"/>
      <c r="Q252" s="320"/>
      <c r="R252" s="320"/>
      <c r="S252" s="320"/>
      <c r="T252" s="344">
        <v>3</v>
      </c>
      <c r="U252" s="344" t="s">
        <v>790</v>
      </c>
      <c r="V252" s="343">
        <v>247</v>
      </c>
      <c r="W252" s="342"/>
      <c r="X252" s="342"/>
      <c r="Y252" s="342"/>
      <c r="Z252" s="342"/>
      <c r="AA252" s="342"/>
      <c r="AB252" s="342"/>
      <c r="AC252" s="339"/>
      <c r="AD252" s="320"/>
      <c r="AE252" s="320"/>
      <c r="AF252" s="320"/>
      <c r="AG252" s="320"/>
      <c r="AH252" s="320"/>
      <c r="AI252" s="320"/>
      <c r="AJ252" s="320"/>
      <c r="AK252" s="320"/>
      <c r="AL252" s="320"/>
      <c r="AM252" s="320"/>
      <c r="AN252" s="320"/>
      <c r="AO252" s="320"/>
      <c r="AP252" s="320"/>
      <c r="AQ252" s="344">
        <v>3</v>
      </c>
      <c r="AR252" s="344" t="s">
        <v>790</v>
      </c>
      <c r="AS252" s="343">
        <v>247</v>
      </c>
      <c r="AT252" s="342"/>
      <c r="AU252" s="342"/>
      <c r="AV252" s="342"/>
      <c r="AW252" s="342"/>
      <c r="AX252" s="342"/>
      <c r="AY252" s="342"/>
      <c r="AZ252" s="363"/>
      <c r="BA252" s="342"/>
      <c r="BB252" s="342"/>
      <c r="BC252" s="339"/>
      <c r="BD252" s="320"/>
      <c r="BE252" s="320"/>
      <c r="BF252" s="320"/>
      <c r="BG252" s="320"/>
      <c r="BH252" s="320"/>
      <c r="BI252" s="320"/>
      <c r="BJ252" s="320"/>
      <c r="BK252" s="320"/>
      <c r="BL252" s="320"/>
      <c r="BM252" s="320"/>
    </row>
    <row r="253" spans="2:65">
      <c r="B253" s="345">
        <v>3</v>
      </c>
      <c r="C253" s="344" t="s">
        <v>791</v>
      </c>
      <c r="D253" s="343">
        <v>248</v>
      </c>
      <c r="E253" s="342"/>
      <c r="F253" s="342"/>
      <c r="G253" s="342"/>
      <c r="H253" s="342"/>
      <c r="I253" s="342"/>
      <c r="J253" s="342"/>
      <c r="K253" s="341"/>
      <c r="L253" s="340"/>
      <c r="M253" s="339"/>
      <c r="N253" s="320"/>
      <c r="O253" s="320"/>
      <c r="P253" s="320"/>
      <c r="Q253" s="320"/>
      <c r="R253" s="320"/>
      <c r="S253" s="320"/>
      <c r="T253" s="344">
        <v>3</v>
      </c>
      <c r="U253" s="344" t="s">
        <v>791</v>
      </c>
      <c r="V253" s="343">
        <v>248</v>
      </c>
      <c r="W253" s="342"/>
      <c r="X253" s="342"/>
      <c r="Y253" s="342"/>
      <c r="Z253" s="342"/>
      <c r="AA253" s="342"/>
      <c r="AB253" s="342"/>
      <c r="AC253" s="339"/>
      <c r="AD253" s="320"/>
      <c r="AE253" s="320"/>
      <c r="AF253" s="320"/>
      <c r="AG253" s="320"/>
      <c r="AH253" s="320"/>
      <c r="AI253" s="320"/>
      <c r="AJ253" s="320"/>
      <c r="AK253" s="320"/>
      <c r="AL253" s="320"/>
      <c r="AM253" s="320"/>
      <c r="AN253" s="320"/>
      <c r="AO253" s="320"/>
      <c r="AP253" s="320"/>
      <c r="AQ253" s="344">
        <v>3</v>
      </c>
      <c r="AR253" s="344" t="s">
        <v>791</v>
      </c>
      <c r="AS253" s="343">
        <v>248</v>
      </c>
      <c r="AT253" s="342"/>
      <c r="AU253" s="342"/>
      <c r="AV253" s="342"/>
      <c r="AW253" s="342"/>
      <c r="AX253" s="342"/>
      <c r="AY253" s="342"/>
      <c r="AZ253" s="363"/>
      <c r="BA253" s="342"/>
      <c r="BB253" s="342"/>
      <c r="BC253" s="339"/>
      <c r="BD253" s="320"/>
      <c r="BE253" s="320"/>
      <c r="BF253" s="320"/>
      <c r="BG253" s="320"/>
      <c r="BH253" s="320"/>
      <c r="BI253" s="320"/>
      <c r="BJ253" s="320"/>
      <c r="BK253" s="320"/>
      <c r="BL253" s="320"/>
      <c r="BM253" s="320"/>
    </row>
    <row r="254" spans="2:65">
      <c r="B254" s="367">
        <v>3</v>
      </c>
      <c r="C254" s="366" t="s">
        <v>792</v>
      </c>
      <c r="D254" s="365">
        <v>249</v>
      </c>
      <c r="E254" s="364"/>
      <c r="F254" s="364"/>
      <c r="G254" s="364"/>
      <c r="H254" s="364"/>
      <c r="I254" s="364"/>
      <c r="J254" s="364"/>
      <c r="K254" s="337"/>
      <c r="L254" s="336"/>
      <c r="M254" s="335"/>
      <c r="N254" s="320"/>
      <c r="O254" s="320"/>
      <c r="P254" s="320"/>
      <c r="Q254" s="320"/>
      <c r="R254" s="320"/>
      <c r="S254" s="320"/>
      <c r="T254" s="344">
        <v>3</v>
      </c>
      <c r="U254" s="344" t="s">
        <v>792</v>
      </c>
      <c r="V254" s="343">
        <v>249</v>
      </c>
      <c r="W254" s="342"/>
      <c r="X254" s="342"/>
      <c r="Y254" s="342"/>
      <c r="Z254" s="342"/>
      <c r="AA254" s="342"/>
      <c r="AB254" s="342"/>
      <c r="AC254" s="339"/>
      <c r="AD254" s="320"/>
      <c r="AE254" s="320"/>
      <c r="AF254" s="320"/>
      <c r="AG254" s="320"/>
      <c r="AH254" s="320"/>
      <c r="AI254" s="320"/>
      <c r="AJ254" s="320"/>
      <c r="AK254" s="320"/>
      <c r="AL254" s="320"/>
      <c r="AM254" s="320"/>
      <c r="AN254" s="320"/>
      <c r="AO254" s="320"/>
      <c r="AP254" s="320"/>
      <c r="AQ254" s="344">
        <v>3</v>
      </c>
      <c r="AR254" s="344" t="s">
        <v>792</v>
      </c>
      <c r="AS254" s="343">
        <v>249</v>
      </c>
      <c r="AT254" s="342"/>
      <c r="AU254" s="342"/>
      <c r="AV254" s="342"/>
      <c r="AW254" s="342"/>
      <c r="AX254" s="342"/>
      <c r="AY254" s="342"/>
      <c r="AZ254" s="363"/>
      <c r="BA254" s="342"/>
      <c r="BB254" s="342"/>
      <c r="BC254" s="339"/>
      <c r="BD254" s="320"/>
      <c r="BE254" s="320"/>
      <c r="BF254" s="320"/>
      <c r="BG254" s="320"/>
      <c r="BH254" s="320"/>
      <c r="BI254" s="320"/>
      <c r="BJ254" s="320"/>
      <c r="BK254" s="320"/>
      <c r="BL254" s="320"/>
      <c r="BM254" s="320"/>
    </row>
    <row r="255" spans="2:65">
      <c r="B255" s="367">
        <v>3</v>
      </c>
      <c r="C255" s="366" t="s">
        <v>793</v>
      </c>
      <c r="D255" s="365">
        <v>250</v>
      </c>
      <c r="E255" s="364"/>
      <c r="F255" s="364"/>
      <c r="G255" s="364"/>
      <c r="H255" s="364"/>
      <c r="I255" s="364"/>
      <c r="J255" s="364"/>
      <c r="K255" s="337"/>
      <c r="L255" s="336"/>
      <c r="M255" s="335"/>
      <c r="N255" s="320"/>
      <c r="O255" s="320"/>
      <c r="P255" s="320"/>
      <c r="Q255" s="320"/>
      <c r="R255" s="320"/>
      <c r="S255" s="320"/>
      <c r="T255" s="344">
        <v>3</v>
      </c>
      <c r="U255" s="344" t="s">
        <v>793</v>
      </c>
      <c r="V255" s="343">
        <v>250</v>
      </c>
      <c r="W255" s="342"/>
      <c r="X255" s="342"/>
      <c r="Y255" s="342"/>
      <c r="Z255" s="342"/>
      <c r="AA255" s="342"/>
      <c r="AB255" s="342"/>
      <c r="AC255" s="339"/>
      <c r="AD255" s="320"/>
      <c r="AE255" s="320"/>
      <c r="AF255" s="320"/>
      <c r="AG255" s="320"/>
      <c r="AH255" s="320"/>
      <c r="AI255" s="320"/>
      <c r="AJ255" s="320"/>
      <c r="AK255" s="320"/>
      <c r="AL255" s="320"/>
      <c r="AM255" s="320"/>
      <c r="AN255" s="320"/>
      <c r="AO255" s="320"/>
      <c r="AP255" s="320"/>
      <c r="AQ255" s="344">
        <v>3</v>
      </c>
      <c r="AR255" s="344" t="s">
        <v>793</v>
      </c>
      <c r="AS255" s="343">
        <v>250</v>
      </c>
      <c r="AT255" s="342"/>
      <c r="AU255" s="342"/>
      <c r="AV255" s="342"/>
      <c r="AW255" s="342"/>
      <c r="AX255" s="342"/>
      <c r="AY255" s="342"/>
      <c r="AZ255" s="363"/>
      <c r="BA255" s="342"/>
      <c r="BB255" s="342"/>
      <c r="BC255" s="339"/>
      <c r="BD255" s="320"/>
      <c r="BE255" s="320"/>
      <c r="BF255" s="320"/>
      <c r="BG255" s="320"/>
      <c r="BH255" s="320"/>
      <c r="BI255" s="320"/>
      <c r="BJ255" s="320"/>
      <c r="BK255" s="320"/>
      <c r="BL255" s="320"/>
      <c r="BM255" s="320"/>
    </row>
    <row r="256" spans="2:65">
      <c r="B256" s="367">
        <v>3</v>
      </c>
      <c r="C256" s="366" t="s">
        <v>794</v>
      </c>
      <c r="D256" s="365">
        <v>251</v>
      </c>
      <c r="E256" s="364"/>
      <c r="F256" s="364"/>
      <c r="G256" s="364"/>
      <c r="H256" s="364"/>
      <c r="I256" s="364"/>
      <c r="J256" s="364"/>
      <c r="K256" s="337"/>
      <c r="L256" s="336"/>
      <c r="M256" s="335"/>
      <c r="N256" s="320"/>
      <c r="O256" s="320"/>
      <c r="P256" s="320"/>
      <c r="Q256" s="320"/>
      <c r="R256" s="320"/>
      <c r="S256" s="320"/>
      <c r="T256" s="344">
        <v>3</v>
      </c>
      <c r="U256" s="344" t="s">
        <v>794</v>
      </c>
      <c r="V256" s="343">
        <v>251</v>
      </c>
      <c r="W256" s="342"/>
      <c r="X256" s="342"/>
      <c r="Y256" s="342"/>
      <c r="Z256" s="342"/>
      <c r="AA256" s="342"/>
      <c r="AB256" s="342"/>
      <c r="AC256" s="339"/>
      <c r="AD256" s="320"/>
      <c r="AE256" s="320"/>
      <c r="AF256" s="320"/>
      <c r="AG256" s="320"/>
      <c r="AH256" s="320"/>
      <c r="AI256" s="320"/>
      <c r="AJ256" s="320"/>
      <c r="AK256" s="320"/>
      <c r="AL256" s="320"/>
      <c r="AM256" s="320"/>
      <c r="AN256" s="320"/>
      <c r="AO256" s="320"/>
      <c r="AP256" s="320"/>
      <c r="AQ256" s="344">
        <v>3</v>
      </c>
      <c r="AR256" s="344" t="s">
        <v>794</v>
      </c>
      <c r="AS256" s="343">
        <v>251</v>
      </c>
      <c r="AT256" s="342"/>
      <c r="AU256" s="342"/>
      <c r="AV256" s="342"/>
      <c r="AW256" s="342"/>
      <c r="AX256" s="342"/>
      <c r="AY256" s="342"/>
      <c r="AZ256" s="363"/>
      <c r="BA256" s="342"/>
      <c r="BB256" s="342"/>
      <c r="BC256" s="339"/>
      <c r="BD256" s="320"/>
      <c r="BE256" s="320"/>
      <c r="BF256" s="320"/>
      <c r="BG256" s="320"/>
      <c r="BH256" s="320"/>
      <c r="BI256" s="320"/>
      <c r="BJ256" s="320"/>
      <c r="BK256" s="320"/>
      <c r="BL256" s="320"/>
      <c r="BM256" s="320"/>
    </row>
    <row r="257" spans="2:65">
      <c r="B257" s="367">
        <v>3</v>
      </c>
      <c r="C257" s="366" t="s">
        <v>795</v>
      </c>
      <c r="D257" s="365">
        <v>252</v>
      </c>
      <c r="E257" s="364"/>
      <c r="F257" s="364"/>
      <c r="G257" s="364"/>
      <c r="H257" s="364"/>
      <c r="I257" s="364"/>
      <c r="J257" s="364"/>
      <c r="K257" s="337"/>
      <c r="L257" s="336"/>
      <c r="M257" s="335"/>
      <c r="N257" s="320"/>
      <c r="O257" s="320"/>
      <c r="P257" s="320"/>
      <c r="Q257" s="320"/>
      <c r="R257" s="320"/>
      <c r="S257" s="320"/>
      <c r="T257" s="344">
        <v>3</v>
      </c>
      <c r="U257" s="344" t="s">
        <v>795</v>
      </c>
      <c r="V257" s="343">
        <v>252</v>
      </c>
      <c r="W257" s="342"/>
      <c r="X257" s="342"/>
      <c r="Y257" s="342"/>
      <c r="Z257" s="342"/>
      <c r="AA257" s="342"/>
      <c r="AB257" s="342"/>
      <c r="AC257" s="339"/>
      <c r="AD257" s="320"/>
      <c r="AE257" s="320"/>
      <c r="AF257" s="320"/>
      <c r="AG257" s="320"/>
      <c r="AH257" s="320"/>
      <c r="AI257" s="320"/>
      <c r="AJ257" s="320"/>
      <c r="AK257" s="320"/>
      <c r="AL257" s="320"/>
      <c r="AM257" s="320"/>
      <c r="AN257" s="320"/>
      <c r="AO257" s="320"/>
      <c r="AP257" s="320"/>
      <c r="AQ257" s="344">
        <v>3</v>
      </c>
      <c r="AR257" s="344" t="s">
        <v>795</v>
      </c>
      <c r="AS257" s="343">
        <v>252</v>
      </c>
      <c r="AT257" s="342"/>
      <c r="AU257" s="342"/>
      <c r="AV257" s="342"/>
      <c r="AW257" s="342"/>
      <c r="AX257" s="342"/>
      <c r="AY257" s="342"/>
      <c r="AZ257" s="363"/>
      <c r="BA257" s="342"/>
      <c r="BB257" s="342"/>
      <c r="BC257" s="339"/>
      <c r="BD257" s="320"/>
      <c r="BE257" s="320"/>
      <c r="BF257" s="320"/>
      <c r="BG257" s="320"/>
      <c r="BH257" s="320"/>
      <c r="BI257" s="320"/>
      <c r="BJ257" s="320"/>
      <c r="BK257" s="320"/>
      <c r="BL257" s="320"/>
      <c r="BM257" s="320"/>
    </row>
    <row r="258" spans="2:65">
      <c r="B258" s="367">
        <v>3</v>
      </c>
      <c r="C258" s="366" t="s">
        <v>796</v>
      </c>
      <c r="D258" s="365">
        <v>253</v>
      </c>
      <c r="E258" s="364"/>
      <c r="F258" s="364"/>
      <c r="G258" s="364"/>
      <c r="H258" s="364"/>
      <c r="I258" s="364"/>
      <c r="J258" s="364"/>
      <c r="K258" s="337"/>
      <c r="L258" s="336"/>
      <c r="M258" s="335"/>
      <c r="N258" s="320"/>
      <c r="O258" s="320"/>
      <c r="P258" s="320"/>
      <c r="Q258" s="320"/>
      <c r="R258" s="320"/>
      <c r="S258" s="320"/>
      <c r="T258" s="344">
        <v>3</v>
      </c>
      <c r="U258" s="344" t="s">
        <v>796</v>
      </c>
      <c r="V258" s="343">
        <v>253</v>
      </c>
      <c r="W258" s="342"/>
      <c r="X258" s="342"/>
      <c r="Y258" s="342"/>
      <c r="Z258" s="342"/>
      <c r="AA258" s="342"/>
      <c r="AB258" s="342"/>
      <c r="AC258" s="339"/>
      <c r="AD258" s="320"/>
      <c r="AE258" s="320"/>
      <c r="AF258" s="320"/>
      <c r="AG258" s="320"/>
      <c r="AH258" s="320"/>
      <c r="AI258" s="320"/>
      <c r="AJ258" s="320"/>
      <c r="AK258" s="320"/>
      <c r="AL258" s="320"/>
      <c r="AM258" s="320"/>
      <c r="AN258" s="320"/>
      <c r="AO258" s="320"/>
      <c r="AP258" s="320"/>
      <c r="AQ258" s="344">
        <v>3</v>
      </c>
      <c r="AR258" s="344" t="s">
        <v>796</v>
      </c>
      <c r="AS258" s="343">
        <v>253</v>
      </c>
      <c r="AT258" s="342"/>
      <c r="AU258" s="342"/>
      <c r="AV258" s="342"/>
      <c r="AW258" s="342"/>
      <c r="AX258" s="342"/>
      <c r="AY258" s="342"/>
      <c r="AZ258" s="363"/>
      <c r="BA258" s="342"/>
      <c r="BB258" s="342"/>
      <c r="BC258" s="339"/>
      <c r="BD258" s="320"/>
      <c r="BE258" s="320"/>
      <c r="BF258" s="320"/>
      <c r="BG258" s="320"/>
      <c r="BH258" s="320"/>
      <c r="BI258" s="320"/>
      <c r="BJ258" s="320"/>
      <c r="BK258" s="320"/>
      <c r="BL258" s="320"/>
      <c r="BM258" s="320"/>
    </row>
    <row r="259" spans="2:65">
      <c r="B259" s="367">
        <v>3</v>
      </c>
      <c r="C259" s="366" t="s">
        <v>797</v>
      </c>
      <c r="D259" s="365">
        <v>254</v>
      </c>
      <c r="E259" s="364"/>
      <c r="F259" s="364"/>
      <c r="G259" s="364"/>
      <c r="H259" s="364"/>
      <c r="I259" s="364"/>
      <c r="J259" s="364"/>
      <c r="K259" s="337"/>
      <c r="L259" s="336"/>
      <c r="M259" s="335"/>
      <c r="N259" s="320"/>
      <c r="O259" s="320"/>
      <c r="P259" s="320"/>
      <c r="Q259" s="320"/>
      <c r="R259" s="320"/>
      <c r="S259" s="320"/>
      <c r="T259" s="344">
        <v>3</v>
      </c>
      <c r="U259" s="344" t="s">
        <v>797</v>
      </c>
      <c r="V259" s="343">
        <v>254</v>
      </c>
      <c r="W259" s="342"/>
      <c r="X259" s="342"/>
      <c r="Y259" s="342"/>
      <c r="Z259" s="342"/>
      <c r="AA259" s="342"/>
      <c r="AB259" s="342"/>
      <c r="AC259" s="339"/>
      <c r="AD259" s="320"/>
      <c r="AE259" s="320"/>
      <c r="AF259" s="320"/>
      <c r="AG259" s="320"/>
      <c r="AH259" s="320"/>
      <c r="AI259" s="320"/>
      <c r="AJ259" s="320"/>
      <c r="AK259" s="320"/>
      <c r="AL259" s="320"/>
      <c r="AM259" s="320"/>
      <c r="AN259" s="320"/>
      <c r="AO259" s="320"/>
      <c r="AP259" s="320"/>
      <c r="AQ259" s="344">
        <v>3</v>
      </c>
      <c r="AR259" s="344" t="s">
        <v>797</v>
      </c>
      <c r="AS259" s="343">
        <v>254</v>
      </c>
      <c r="AT259" s="342"/>
      <c r="AU259" s="342"/>
      <c r="AV259" s="342"/>
      <c r="AW259" s="342"/>
      <c r="AX259" s="342"/>
      <c r="AY259" s="342"/>
      <c r="AZ259" s="363"/>
      <c r="BA259" s="342"/>
      <c r="BB259" s="342"/>
      <c r="BC259" s="339"/>
      <c r="BD259" s="320"/>
      <c r="BE259" s="320"/>
      <c r="BF259" s="320"/>
      <c r="BG259" s="320"/>
      <c r="BH259" s="320"/>
      <c r="BI259" s="320"/>
      <c r="BJ259" s="320"/>
      <c r="BK259" s="320"/>
      <c r="BL259" s="320"/>
      <c r="BM259" s="320"/>
    </row>
    <row r="260" spans="2:65">
      <c r="B260" s="367">
        <v>3</v>
      </c>
      <c r="C260" s="366" t="s">
        <v>798</v>
      </c>
      <c r="D260" s="365">
        <v>255</v>
      </c>
      <c r="E260" s="364"/>
      <c r="F260" s="364"/>
      <c r="G260" s="364"/>
      <c r="H260" s="364"/>
      <c r="I260" s="364"/>
      <c r="J260" s="364"/>
      <c r="K260" s="337"/>
      <c r="L260" s="336"/>
      <c r="M260" s="335"/>
      <c r="N260" s="320"/>
      <c r="O260" s="320"/>
      <c r="P260" s="320"/>
      <c r="Q260" s="320"/>
      <c r="R260" s="320"/>
      <c r="S260" s="320"/>
      <c r="T260" s="344">
        <v>3</v>
      </c>
      <c r="U260" s="344" t="s">
        <v>798</v>
      </c>
      <c r="V260" s="343">
        <v>255</v>
      </c>
      <c r="W260" s="342"/>
      <c r="X260" s="342"/>
      <c r="Y260" s="342"/>
      <c r="Z260" s="342"/>
      <c r="AA260" s="342"/>
      <c r="AB260" s="342"/>
      <c r="AC260" s="339"/>
      <c r="AD260" s="320"/>
      <c r="AE260" s="320"/>
      <c r="AF260" s="320"/>
      <c r="AG260" s="320"/>
      <c r="AH260" s="320"/>
      <c r="AI260" s="320"/>
      <c r="AJ260" s="320"/>
      <c r="AK260" s="320"/>
      <c r="AL260" s="320"/>
      <c r="AM260" s="320"/>
      <c r="AN260" s="320"/>
      <c r="AO260" s="320"/>
      <c r="AP260" s="320"/>
      <c r="AQ260" s="344">
        <v>3</v>
      </c>
      <c r="AR260" s="344" t="s">
        <v>798</v>
      </c>
      <c r="AS260" s="343">
        <v>255</v>
      </c>
      <c r="AT260" s="342"/>
      <c r="AU260" s="342"/>
      <c r="AV260" s="342"/>
      <c r="AW260" s="342"/>
      <c r="AX260" s="342"/>
      <c r="AY260" s="342"/>
      <c r="AZ260" s="363"/>
      <c r="BA260" s="342"/>
      <c r="BB260" s="342"/>
      <c r="BC260" s="339"/>
      <c r="BD260" s="320"/>
      <c r="BE260" s="320"/>
      <c r="BF260" s="320"/>
      <c r="BG260" s="320"/>
      <c r="BH260" s="320"/>
      <c r="BI260" s="320"/>
      <c r="BJ260" s="320"/>
      <c r="BK260" s="320"/>
      <c r="BL260" s="320"/>
      <c r="BM260" s="320"/>
    </row>
    <row r="261" spans="2:65">
      <c r="B261" s="367">
        <v>3</v>
      </c>
      <c r="C261" s="366" t="s">
        <v>799</v>
      </c>
      <c r="D261" s="365">
        <v>256</v>
      </c>
      <c r="E261" s="364"/>
      <c r="F261" s="364"/>
      <c r="G261" s="364"/>
      <c r="H261" s="364"/>
      <c r="I261" s="364"/>
      <c r="J261" s="364"/>
      <c r="K261" s="337"/>
      <c r="L261" s="336"/>
      <c r="M261" s="335"/>
      <c r="N261" s="320"/>
      <c r="O261" s="320"/>
      <c r="P261" s="320"/>
      <c r="Q261" s="320"/>
      <c r="R261" s="320"/>
      <c r="S261" s="320"/>
      <c r="T261" s="344">
        <v>3</v>
      </c>
      <c r="U261" s="344" t="s">
        <v>799</v>
      </c>
      <c r="V261" s="343">
        <v>256</v>
      </c>
      <c r="W261" s="342"/>
      <c r="X261" s="342"/>
      <c r="Y261" s="342"/>
      <c r="Z261" s="342"/>
      <c r="AA261" s="342"/>
      <c r="AB261" s="342"/>
      <c r="AC261" s="339"/>
      <c r="AD261" s="320"/>
      <c r="AE261" s="320"/>
      <c r="AF261" s="320"/>
      <c r="AG261" s="320"/>
      <c r="AH261" s="320"/>
      <c r="AI261" s="320"/>
      <c r="AJ261" s="320"/>
      <c r="AK261" s="320"/>
      <c r="AL261" s="320"/>
      <c r="AM261" s="320"/>
      <c r="AN261" s="320"/>
      <c r="AO261" s="320"/>
      <c r="AP261" s="320"/>
      <c r="AQ261" s="344">
        <v>3</v>
      </c>
      <c r="AR261" s="344" t="s">
        <v>799</v>
      </c>
      <c r="AS261" s="343">
        <v>256</v>
      </c>
      <c r="AT261" s="342"/>
      <c r="AU261" s="342"/>
      <c r="AV261" s="342"/>
      <c r="AW261" s="342"/>
      <c r="AX261" s="342"/>
      <c r="AY261" s="342"/>
      <c r="AZ261" s="363"/>
      <c r="BA261" s="342"/>
      <c r="BB261" s="342"/>
      <c r="BC261" s="339"/>
      <c r="BD261" s="320"/>
      <c r="BE261" s="320"/>
      <c r="BF261" s="320"/>
      <c r="BG261" s="320"/>
      <c r="BH261" s="320"/>
      <c r="BI261" s="320"/>
      <c r="BJ261" s="320"/>
      <c r="BK261" s="320"/>
      <c r="BL261" s="320"/>
      <c r="BM261" s="320"/>
    </row>
    <row r="262" spans="2:65">
      <c r="B262" s="345">
        <v>3</v>
      </c>
      <c r="C262" s="344" t="s">
        <v>800</v>
      </c>
      <c r="D262" s="343">
        <v>257</v>
      </c>
      <c r="E262" s="342"/>
      <c r="F262" s="342"/>
      <c r="G262" s="342"/>
      <c r="H262" s="342"/>
      <c r="I262" s="342"/>
      <c r="J262" s="342"/>
      <c r="K262" s="341"/>
      <c r="L262" s="340"/>
      <c r="M262" s="339"/>
      <c r="N262" s="320"/>
      <c r="O262" s="320"/>
      <c r="P262" s="320"/>
      <c r="Q262" s="320"/>
      <c r="R262" s="320"/>
      <c r="S262" s="320"/>
      <c r="T262" s="344">
        <v>3</v>
      </c>
      <c r="U262" s="344" t="s">
        <v>800</v>
      </c>
      <c r="V262" s="343">
        <v>257</v>
      </c>
      <c r="W262" s="342"/>
      <c r="X262" s="342"/>
      <c r="Y262" s="342"/>
      <c r="Z262" s="342"/>
      <c r="AA262" s="342"/>
      <c r="AB262" s="342"/>
      <c r="AC262" s="339"/>
      <c r="AD262" s="320"/>
      <c r="AE262" s="320"/>
      <c r="AF262" s="320"/>
      <c r="AG262" s="320"/>
      <c r="AH262" s="320"/>
      <c r="AI262" s="320"/>
      <c r="AJ262" s="320"/>
      <c r="AK262" s="320"/>
      <c r="AL262" s="320"/>
      <c r="AM262" s="320"/>
      <c r="AN262" s="320"/>
      <c r="AO262" s="320"/>
      <c r="AP262" s="320"/>
      <c r="AQ262" s="344">
        <v>3</v>
      </c>
      <c r="AR262" s="344" t="s">
        <v>800</v>
      </c>
      <c r="AS262" s="343">
        <v>257</v>
      </c>
      <c r="AT262" s="342"/>
      <c r="AU262" s="342"/>
      <c r="AV262" s="342"/>
      <c r="AW262" s="342"/>
      <c r="AX262" s="342"/>
      <c r="AY262" s="342"/>
      <c r="AZ262" s="363"/>
      <c r="BA262" s="342"/>
      <c r="BB262" s="342"/>
      <c r="BC262" s="339"/>
      <c r="BD262" s="320"/>
      <c r="BE262" s="320"/>
      <c r="BF262" s="320"/>
      <c r="BG262" s="320"/>
      <c r="BH262" s="320"/>
      <c r="BI262" s="320"/>
      <c r="BJ262" s="320"/>
      <c r="BK262" s="320"/>
      <c r="BL262" s="320"/>
      <c r="BM262" s="320"/>
    </row>
    <row r="263" spans="2:65">
      <c r="B263" s="345">
        <v>3</v>
      </c>
      <c r="C263" s="344" t="s">
        <v>801</v>
      </c>
      <c r="D263" s="343">
        <v>258</v>
      </c>
      <c r="E263" s="342"/>
      <c r="F263" s="342"/>
      <c r="G263" s="342"/>
      <c r="H263" s="342"/>
      <c r="I263" s="342"/>
      <c r="J263" s="342"/>
      <c r="K263" s="341"/>
      <c r="L263" s="340"/>
      <c r="M263" s="339"/>
      <c r="N263" s="320"/>
      <c r="O263" s="320"/>
      <c r="P263" s="320"/>
      <c r="Q263" s="320"/>
      <c r="R263" s="320"/>
      <c r="S263" s="320"/>
      <c r="T263" s="344">
        <v>3</v>
      </c>
      <c r="U263" s="344" t="s">
        <v>801</v>
      </c>
      <c r="V263" s="343">
        <v>258</v>
      </c>
      <c r="W263" s="342"/>
      <c r="X263" s="342"/>
      <c r="Y263" s="342"/>
      <c r="Z263" s="342"/>
      <c r="AA263" s="342"/>
      <c r="AB263" s="342"/>
      <c r="AC263" s="339"/>
      <c r="AD263" s="320"/>
      <c r="AE263" s="320"/>
      <c r="AF263" s="320"/>
      <c r="AG263" s="320"/>
      <c r="AH263" s="320"/>
      <c r="AI263" s="320"/>
      <c r="AJ263" s="320"/>
      <c r="AK263" s="320"/>
      <c r="AL263" s="320"/>
      <c r="AM263" s="320"/>
      <c r="AN263" s="320"/>
      <c r="AO263" s="320"/>
      <c r="AP263" s="320"/>
      <c r="AQ263" s="344">
        <v>3</v>
      </c>
      <c r="AR263" s="344" t="s">
        <v>801</v>
      </c>
      <c r="AS263" s="343">
        <v>258</v>
      </c>
      <c r="AT263" s="342"/>
      <c r="AU263" s="342"/>
      <c r="AV263" s="342"/>
      <c r="AW263" s="342"/>
      <c r="AX263" s="342"/>
      <c r="AY263" s="342"/>
      <c r="AZ263" s="363"/>
      <c r="BA263" s="342"/>
      <c r="BB263" s="342"/>
      <c r="BC263" s="339"/>
      <c r="BD263" s="320"/>
      <c r="BE263" s="320"/>
      <c r="BF263" s="320"/>
      <c r="BG263" s="320"/>
      <c r="BH263" s="320"/>
      <c r="BI263" s="320"/>
      <c r="BJ263" s="320"/>
      <c r="BK263" s="320"/>
      <c r="BL263" s="320"/>
      <c r="BM263" s="320"/>
    </row>
    <row r="264" spans="2:65">
      <c r="B264" s="345">
        <v>3</v>
      </c>
      <c r="C264" s="344" t="s">
        <v>802</v>
      </c>
      <c r="D264" s="343">
        <v>259</v>
      </c>
      <c r="E264" s="342"/>
      <c r="F264" s="342"/>
      <c r="G264" s="342"/>
      <c r="H264" s="342"/>
      <c r="I264" s="342"/>
      <c r="J264" s="342"/>
      <c r="K264" s="341"/>
      <c r="L264" s="340"/>
      <c r="M264" s="339"/>
      <c r="N264" s="320"/>
      <c r="O264" s="320"/>
      <c r="P264" s="320"/>
      <c r="Q264" s="320"/>
      <c r="R264" s="320"/>
      <c r="S264" s="320"/>
      <c r="T264" s="344">
        <v>3</v>
      </c>
      <c r="U264" s="344" t="s">
        <v>802</v>
      </c>
      <c r="V264" s="343">
        <v>259</v>
      </c>
      <c r="W264" s="342"/>
      <c r="X264" s="342"/>
      <c r="Y264" s="342"/>
      <c r="Z264" s="342"/>
      <c r="AA264" s="342"/>
      <c r="AB264" s="342"/>
      <c r="AC264" s="339"/>
      <c r="AD264" s="320"/>
      <c r="AE264" s="320"/>
      <c r="AF264" s="320"/>
      <c r="AG264" s="320"/>
      <c r="AH264" s="320"/>
      <c r="AI264" s="320"/>
      <c r="AJ264" s="320"/>
      <c r="AK264" s="320"/>
      <c r="AL264" s="320"/>
      <c r="AM264" s="320"/>
      <c r="AN264" s="320"/>
      <c r="AO264" s="320"/>
      <c r="AP264" s="320"/>
      <c r="AQ264" s="344">
        <v>3</v>
      </c>
      <c r="AR264" s="344" t="s">
        <v>802</v>
      </c>
      <c r="AS264" s="343">
        <v>259</v>
      </c>
      <c r="AT264" s="342"/>
      <c r="AU264" s="342"/>
      <c r="AV264" s="342"/>
      <c r="AW264" s="342"/>
      <c r="AX264" s="342"/>
      <c r="AY264" s="342"/>
      <c r="AZ264" s="363"/>
      <c r="BA264" s="342"/>
      <c r="BB264" s="342"/>
      <c r="BC264" s="339"/>
      <c r="BD264" s="320"/>
      <c r="BE264" s="320"/>
      <c r="BF264" s="320"/>
      <c r="BG264" s="320"/>
      <c r="BH264" s="320"/>
      <c r="BI264" s="320"/>
      <c r="BJ264" s="320"/>
      <c r="BK264" s="320"/>
      <c r="BL264" s="320"/>
      <c r="BM264" s="320"/>
    </row>
    <row r="265" spans="2:65">
      <c r="B265" s="345">
        <v>3</v>
      </c>
      <c r="C265" s="344" t="s">
        <v>803</v>
      </c>
      <c r="D265" s="343">
        <v>260</v>
      </c>
      <c r="E265" s="342"/>
      <c r="F265" s="342"/>
      <c r="G265" s="342"/>
      <c r="H265" s="342"/>
      <c r="I265" s="342"/>
      <c r="J265" s="342"/>
      <c r="K265" s="341"/>
      <c r="L265" s="340"/>
      <c r="M265" s="339"/>
      <c r="N265" s="320"/>
      <c r="O265" s="320"/>
      <c r="P265" s="320"/>
      <c r="Q265" s="320"/>
      <c r="R265" s="320"/>
      <c r="S265" s="320"/>
      <c r="T265" s="344">
        <v>3</v>
      </c>
      <c r="U265" s="344" t="s">
        <v>803</v>
      </c>
      <c r="V265" s="343">
        <v>260</v>
      </c>
      <c r="W265" s="342"/>
      <c r="X265" s="342"/>
      <c r="Y265" s="342"/>
      <c r="Z265" s="342"/>
      <c r="AA265" s="342"/>
      <c r="AB265" s="342"/>
      <c r="AC265" s="339"/>
      <c r="AD265" s="320"/>
      <c r="AE265" s="320"/>
      <c r="AF265" s="320"/>
      <c r="AG265" s="320"/>
      <c r="AH265" s="320"/>
      <c r="AI265" s="320"/>
      <c r="AJ265" s="320"/>
      <c r="AK265" s="320"/>
      <c r="AL265" s="320"/>
      <c r="AM265" s="320"/>
      <c r="AN265" s="320"/>
      <c r="AO265" s="320"/>
      <c r="AP265" s="320"/>
      <c r="AQ265" s="344">
        <v>3</v>
      </c>
      <c r="AR265" s="344" t="s">
        <v>803</v>
      </c>
      <c r="AS265" s="343">
        <v>260</v>
      </c>
      <c r="AT265" s="342"/>
      <c r="AU265" s="342"/>
      <c r="AV265" s="342"/>
      <c r="AW265" s="342"/>
      <c r="AX265" s="342"/>
      <c r="AY265" s="342"/>
      <c r="AZ265" s="363"/>
      <c r="BA265" s="342"/>
      <c r="BB265" s="342"/>
      <c r="BC265" s="339"/>
      <c r="BD265" s="320"/>
      <c r="BE265" s="320"/>
      <c r="BF265" s="320"/>
      <c r="BG265" s="320"/>
      <c r="BH265" s="320"/>
      <c r="BI265" s="320"/>
      <c r="BJ265" s="320"/>
      <c r="BK265" s="320"/>
      <c r="BL265" s="320"/>
      <c r="BM265" s="320"/>
    </row>
    <row r="266" spans="2:65">
      <c r="B266" s="345">
        <v>3</v>
      </c>
      <c r="C266" s="344" t="s">
        <v>804</v>
      </c>
      <c r="D266" s="343">
        <v>261</v>
      </c>
      <c r="E266" s="342"/>
      <c r="F266" s="342"/>
      <c r="G266" s="342"/>
      <c r="H266" s="342"/>
      <c r="I266" s="342"/>
      <c r="J266" s="342"/>
      <c r="K266" s="341"/>
      <c r="L266" s="340"/>
      <c r="M266" s="339"/>
      <c r="N266" s="320"/>
      <c r="O266" s="320"/>
      <c r="P266" s="320"/>
      <c r="Q266" s="320"/>
      <c r="R266" s="320"/>
      <c r="S266" s="320"/>
      <c r="T266" s="344">
        <v>3</v>
      </c>
      <c r="U266" s="344" t="s">
        <v>804</v>
      </c>
      <c r="V266" s="343">
        <v>261</v>
      </c>
      <c r="W266" s="342"/>
      <c r="X266" s="342"/>
      <c r="Y266" s="342"/>
      <c r="Z266" s="342"/>
      <c r="AA266" s="342"/>
      <c r="AB266" s="342"/>
      <c r="AC266" s="339"/>
      <c r="AD266" s="320"/>
      <c r="AE266" s="320"/>
      <c r="AF266" s="320"/>
      <c r="AG266" s="320"/>
      <c r="AH266" s="320"/>
      <c r="AI266" s="320"/>
      <c r="AJ266" s="320"/>
      <c r="AK266" s="320"/>
      <c r="AL266" s="320"/>
      <c r="AM266" s="320"/>
      <c r="AN266" s="320"/>
      <c r="AO266" s="320"/>
      <c r="AP266" s="320"/>
      <c r="AQ266" s="344">
        <v>3</v>
      </c>
      <c r="AR266" s="344" t="s">
        <v>804</v>
      </c>
      <c r="AS266" s="343">
        <v>261</v>
      </c>
      <c r="AT266" s="342"/>
      <c r="AU266" s="342"/>
      <c r="AV266" s="342"/>
      <c r="AW266" s="342"/>
      <c r="AX266" s="342"/>
      <c r="AY266" s="342"/>
      <c r="AZ266" s="363"/>
      <c r="BA266" s="342"/>
      <c r="BB266" s="342"/>
      <c r="BC266" s="339"/>
      <c r="BD266" s="320"/>
      <c r="BE266" s="320"/>
      <c r="BF266" s="320"/>
      <c r="BG266" s="320"/>
      <c r="BH266" s="320"/>
      <c r="BI266" s="320"/>
      <c r="BJ266" s="320"/>
      <c r="BK266" s="320"/>
      <c r="BL266" s="320"/>
      <c r="BM266" s="320"/>
    </row>
    <row r="267" spans="2:65">
      <c r="B267" s="345">
        <v>3</v>
      </c>
      <c r="C267" s="344" t="s">
        <v>805</v>
      </c>
      <c r="D267" s="343">
        <v>262</v>
      </c>
      <c r="E267" s="342"/>
      <c r="F267" s="342"/>
      <c r="G267" s="342"/>
      <c r="H267" s="342"/>
      <c r="I267" s="342"/>
      <c r="J267" s="342"/>
      <c r="K267" s="341"/>
      <c r="L267" s="340"/>
      <c r="M267" s="339"/>
      <c r="N267" s="320"/>
      <c r="O267" s="320"/>
      <c r="P267" s="320"/>
      <c r="Q267" s="320"/>
      <c r="R267" s="320"/>
      <c r="S267" s="320"/>
      <c r="T267" s="344">
        <v>3</v>
      </c>
      <c r="U267" s="344" t="s">
        <v>805</v>
      </c>
      <c r="V267" s="343">
        <v>262</v>
      </c>
      <c r="W267" s="342"/>
      <c r="X267" s="342"/>
      <c r="Y267" s="342"/>
      <c r="Z267" s="342"/>
      <c r="AA267" s="342"/>
      <c r="AB267" s="342"/>
      <c r="AC267" s="339"/>
      <c r="AD267" s="320"/>
      <c r="AE267" s="320"/>
      <c r="AF267" s="320"/>
      <c r="AG267" s="320"/>
      <c r="AH267" s="320"/>
      <c r="AI267" s="320"/>
      <c r="AJ267" s="320"/>
      <c r="AK267" s="320"/>
      <c r="AL267" s="320"/>
      <c r="AM267" s="320"/>
      <c r="AN267" s="320"/>
      <c r="AO267" s="320"/>
      <c r="AP267" s="320"/>
      <c r="AQ267" s="344">
        <v>3</v>
      </c>
      <c r="AR267" s="344" t="s">
        <v>805</v>
      </c>
      <c r="AS267" s="343">
        <v>262</v>
      </c>
      <c r="AT267" s="342"/>
      <c r="AU267" s="342"/>
      <c r="AV267" s="342"/>
      <c r="AW267" s="342"/>
      <c r="AX267" s="342"/>
      <c r="AY267" s="342"/>
      <c r="AZ267" s="363"/>
      <c r="BA267" s="342"/>
      <c r="BB267" s="342"/>
      <c r="BC267" s="339"/>
      <c r="BD267" s="320"/>
      <c r="BE267" s="320"/>
      <c r="BF267" s="320"/>
      <c r="BG267" s="320"/>
      <c r="BH267" s="320"/>
      <c r="BI267" s="320"/>
      <c r="BJ267" s="320"/>
      <c r="BK267" s="320"/>
      <c r="BL267" s="320"/>
      <c r="BM267" s="320"/>
    </row>
    <row r="268" spans="2:65">
      <c r="B268" s="345">
        <v>3</v>
      </c>
      <c r="C268" s="344" t="s">
        <v>806</v>
      </c>
      <c r="D268" s="343">
        <v>263</v>
      </c>
      <c r="E268" s="342"/>
      <c r="F268" s="342"/>
      <c r="G268" s="342"/>
      <c r="H268" s="342"/>
      <c r="I268" s="342"/>
      <c r="J268" s="342"/>
      <c r="K268" s="341"/>
      <c r="L268" s="340"/>
      <c r="M268" s="339"/>
      <c r="N268" s="320"/>
      <c r="O268" s="320"/>
      <c r="P268" s="320"/>
      <c r="Q268" s="320"/>
      <c r="R268" s="320"/>
      <c r="S268" s="320"/>
      <c r="T268" s="344">
        <v>3</v>
      </c>
      <c r="U268" s="344" t="s">
        <v>806</v>
      </c>
      <c r="V268" s="343">
        <v>263</v>
      </c>
      <c r="W268" s="342"/>
      <c r="X268" s="342"/>
      <c r="Y268" s="342"/>
      <c r="Z268" s="342"/>
      <c r="AA268" s="342"/>
      <c r="AB268" s="342"/>
      <c r="AC268" s="339"/>
      <c r="AD268" s="320"/>
      <c r="AE268" s="320"/>
      <c r="AF268" s="320"/>
      <c r="AG268" s="320"/>
      <c r="AH268" s="320"/>
      <c r="AI268" s="320"/>
      <c r="AJ268" s="320"/>
      <c r="AK268" s="320"/>
      <c r="AL268" s="320"/>
      <c r="AM268" s="320"/>
      <c r="AN268" s="320"/>
      <c r="AO268" s="320"/>
      <c r="AP268" s="320"/>
      <c r="AQ268" s="344">
        <v>3</v>
      </c>
      <c r="AR268" s="344" t="s">
        <v>806</v>
      </c>
      <c r="AS268" s="343">
        <v>263</v>
      </c>
      <c r="AT268" s="342"/>
      <c r="AU268" s="342"/>
      <c r="AV268" s="342"/>
      <c r="AW268" s="342"/>
      <c r="AX268" s="342"/>
      <c r="AY268" s="342"/>
      <c r="AZ268" s="363"/>
      <c r="BA268" s="342"/>
      <c r="BB268" s="342"/>
      <c r="BC268" s="339"/>
      <c r="BD268" s="320"/>
      <c r="BE268" s="320"/>
      <c r="BF268" s="320"/>
      <c r="BG268" s="320"/>
      <c r="BH268" s="320"/>
      <c r="BI268" s="320"/>
      <c r="BJ268" s="320"/>
      <c r="BK268" s="320"/>
      <c r="BL268" s="320"/>
      <c r="BM268" s="320"/>
    </row>
    <row r="269" spans="2:65" ht="15.75" thickBot="1">
      <c r="B269" s="362">
        <v>3</v>
      </c>
      <c r="C269" s="359" t="s">
        <v>807</v>
      </c>
      <c r="D269" s="358">
        <v>264</v>
      </c>
      <c r="E269" s="356"/>
      <c r="F269" s="356"/>
      <c r="G269" s="356"/>
      <c r="H269" s="356"/>
      <c r="I269" s="356"/>
      <c r="J269" s="356"/>
      <c r="K269" s="361"/>
      <c r="L269" s="360"/>
      <c r="M269" s="355"/>
      <c r="N269" s="320"/>
      <c r="O269" s="320"/>
      <c r="P269" s="320"/>
      <c r="Q269" s="320"/>
      <c r="R269" s="320"/>
      <c r="S269" s="320"/>
      <c r="T269" s="359">
        <v>3</v>
      </c>
      <c r="U269" s="359" t="s">
        <v>807</v>
      </c>
      <c r="V269" s="358">
        <v>264</v>
      </c>
      <c r="W269" s="356"/>
      <c r="X269" s="356"/>
      <c r="Y269" s="356"/>
      <c r="Z269" s="356"/>
      <c r="AA269" s="356"/>
      <c r="AB269" s="356"/>
      <c r="AC269" s="355"/>
      <c r="AD269" s="320"/>
      <c r="AE269" s="320"/>
      <c r="AF269" s="320"/>
      <c r="AG269" s="320"/>
      <c r="AH269" s="320"/>
      <c r="AI269" s="320"/>
      <c r="AJ269" s="320"/>
      <c r="AK269" s="320"/>
      <c r="AL269" s="320"/>
      <c r="AM269" s="320"/>
      <c r="AN269" s="320"/>
      <c r="AO269" s="320"/>
      <c r="AP269" s="320"/>
      <c r="AQ269" s="359">
        <v>3</v>
      </c>
      <c r="AR269" s="359" t="s">
        <v>807</v>
      </c>
      <c r="AS269" s="358">
        <v>264</v>
      </c>
      <c r="AT269" s="356"/>
      <c r="AU269" s="356"/>
      <c r="AV269" s="356"/>
      <c r="AW269" s="356"/>
      <c r="AX269" s="356"/>
      <c r="AY269" s="356"/>
      <c r="AZ269" s="357"/>
      <c r="BA269" s="356"/>
      <c r="BB269" s="356"/>
      <c r="BC269" s="355"/>
      <c r="BD269" s="320"/>
      <c r="BE269" s="320"/>
      <c r="BF269" s="320"/>
      <c r="BG269" s="320"/>
      <c r="BH269" s="320"/>
      <c r="BI269" s="320"/>
      <c r="BJ269" s="320"/>
      <c r="BK269" s="320"/>
      <c r="BL269" s="320"/>
      <c r="BM269" s="320"/>
    </row>
    <row r="270" spans="2:65">
      <c r="B270" s="354">
        <v>3</v>
      </c>
      <c r="C270" s="350" t="s">
        <v>233</v>
      </c>
      <c r="D270" s="349">
        <v>265</v>
      </c>
      <c r="E270" s="347"/>
      <c r="F270" s="347"/>
      <c r="G270" s="347"/>
      <c r="H270" s="347"/>
      <c r="I270" s="347"/>
      <c r="J270" s="347"/>
      <c r="K270" s="353"/>
      <c r="L270" s="352"/>
      <c r="M270" s="351"/>
      <c r="N270" s="320"/>
      <c r="O270" s="320"/>
      <c r="P270" s="320"/>
      <c r="Q270" s="320"/>
      <c r="R270" s="320"/>
      <c r="S270" s="320"/>
      <c r="T270" s="350">
        <v>3</v>
      </c>
      <c r="U270" s="350" t="s">
        <v>233</v>
      </c>
      <c r="V270" s="349">
        <v>265</v>
      </c>
      <c r="W270" s="347"/>
      <c r="X270" s="347"/>
      <c r="Y270" s="347"/>
      <c r="Z270" s="347"/>
      <c r="AA270" s="347"/>
      <c r="AB270" s="347">
        <f>AH17</f>
        <v>0</v>
      </c>
      <c r="AC270" s="346"/>
      <c r="AD270" s="320"/>
      <c r="AE270" s="320"/>
      <c r="AF270" s="320"/>
      <c r="AG270" s="320"/>
      <c r="AH270" s="320"/>
      <c r="AI270" s="320"/>
      <c r="AJ270" s="320"/>
      <c r="AK270" s="320"/>
      <c r="AL270" s="320"/>
      <c r="AM270" s="320"/>
      <c r="AN270" s="320"/>
      <c r="AO270" s="320"/>
      <c r="AP270" s="320"/>
      <c r="AQ270" s="350">
        <v>3</v>
      </c>
      <c r="AR270" s="350" t="s">
        <v>233</v>
      </c>
      <c r="AS270" s="349">
        <v>265</v>
      </c>
      <c r="AT270" s="347"/>
      <c r="AU270" s="347"/>
      <c r="AV270" s="347"/>
      <c r="AW270" s="347"/>
      <c r="AX270" s="347"/>
      <c r="AY270" s="347">
        <f>BH17</f>
        <v>0</v>
      </c>
      <c r="AZ270" s="348"/>
      <c r="BA270" s="347"/>
      <c r="BB270" s="347"/>
      <c r="BC270" s="346"/>
      <c r="BD270" s="320"/>
      <c r="BE270" s="320"/>
      <c r="BF270" s="320"/>
      <c r="BG270" s="320"/>
      <c r="BH270" s="320"/>
      <c r="BI270" s="320"/>
      <c r="BJ270" s="320"/>
      <c r="BK270" s="320"/>
      <c r="BL270" s="320"/>
      <c r="BM270" s="320"/>
    </row>
    <row r="271" spans="2:65">
      <c r="B271" s="338">
        <v>3</v>
      </c>
      <c r="C271" s="334" t="s">
        <v>234</v>
      </c>
      <c r="D271" s="333">
        <v>266</v>
      </c>
      <c r="E271" s="331"/>
      <c r="F271" s="331"/>
      <c r="G271" s="331"/>
      <c r="H271" s="331"/>
      <c r="I271" s="331"/>
      <c r="J271" s="331"/>
      <c r="K271" s="337"/>
      <c r="L271" s="336"/>
      <c r="M271" s="335"/>
      <c r="N271" s="320"/>
      <c r="O271" s="320"/>
      <c r="P271" s="320"/>
      <c r="Q271" s="320"/>
      <c r="R271" s="320"/>
      <c r="S271" s="320"/>
      <c r="T271" s="334">
        <v>3</v>
      </c>
      <c r="U271" s="334" t="s">
        <v>234</v>
      </c>
      <c r="V271" s="333">
        <v>266</v>
      </c>
      <c r="W271" s="331"/>
      <c r="X271" s="331"/>
      <c r="Y271" s="331"/>
      <c r="Z271" s="331"/>
      <c r="AA271" s="331"/>
      <c r="AB271" s="331"/>
      <c r="AC271" s="330"/>
      <c r="AD271" s="320"/>
      <c r="AE271" s="320"/>
      <c r="AF271" s="320"/>
      <c r="AG271" s="320"/>
      <c r="AH271" s="320"/>
      <c r="AI271" s="320"/>
      <c r="AJ271" s="320"/>
      <c r="AK271" s="320"/>
      <c r="AL271" s="320"/>
      <c r="AM271" s="320"/>
      <c r="AN271" s="320"/>
      <c r="AO271" s="320"/>
      <c r="AP271" s="320"/>
      <c r="AQ271" s="334">
        <v>3</v>
      </c>
      <c r="AR271" s="334" t="s">
        <v>234</v>
      </c>
      <c r="AS271" s="333">
        <v>266</v>
      </c>
      <c r="AT271" s="331"/>
      <c r="AU271" s="331"/>
      <c r="AV271" s="331"/>
      <c r="AW271" s="331"/>
      <c r="AX271" s="331"/>
      <c r="AY271" s="331"/>
      <c r="AZ271" s="332"/>
      <c r="BA271" s="331"/>
      <c r="BB271" s="331"/>
      <c r="BC271" s="330"/>
      <c r="BD271" s="320"/>
      <c r="BE271" s="320"/>
      <c r="BF271" s="320"/>
      <c r="BG271" s="320"/>
      <c r="BH271" s="320"/>
      <c r="BI271" s="320"/>
      <c r="BJ271" s="320"/>
      <c r="BK271" s="320"/>
      <c r="BL271" s="320"/>
      <c r="BM271" s="320"/>
    </row>
    <row r="272" spans="2:65">
      <c r="B272" s="338">
        <v>3</v>
      </c>
      <c r="C272" s="334" t="s">
        <v>235</v>
      </c>
      <c r="D272" s="333">
        <v>267</v>
      </c>
      <c r="E272" s="331"/>
      <c r="F272" s="331"/>
      <c r="G272" s="331"/>
      <c r="H272" s="331"/>
      <c r="I272" s="331"/>
      <c r="J272" s="331"/>
      <c r="K272" s="337"/>
      <c r="L272" s="336"/>
      <c r="M272" s="335"/>
      <c r="N272" s="320"/>
      <c r="O272" s="320"/>
      <c r="P272" s="320"/>
      <c r="Q272" s="320"/>
      <c r="R272" s="320"/>
      <c r="S272" s="320"/>
      <c r="T272" s="334">
        <v>3</v>
      </c>
      <c r="U272" s="334" t="s">
        <v>235</v>
      </c>
      <c r="V272" s="333">
        <v>267</v>
      </c>
      <c r="W272" s="331"/>
      <c r="X272" s="331"/>
      <c r="Y272" s="331"/>
      <c r="Z272" s="331"/>
      <c r="AA272" s="331"/>
      <c r="AB272" s="331"/>
      <c r="AC272" s="330"/>
      <c r="AD272" s="320"/>
      <c r="AE272" s="320"/>
      <c r="AF272" s="320"/>
      <c r="AG272" s="320"/>
      <c r="AH272" s="320"/>
      <c r="AI272" s="320"/>
      <c r="AJ272" s="320"/>
      <c r="AK272" s="320"/>
      <c r="AL272" s="320"/>
      <c r="AM272" s="320"/>
      <c r="AN272" s="320"/>
      <c r="AO272" s="320"/>
      <c r="AP272" s="320"/>
      <c r="AQ272" s="334">
        <v>3</v>
      </c>
      <c r="AR272" s="334" t="s">
        <v>235</v>
      </c>
      <c r="AS272" s="333">
        <v>267</v>
      </c>
      <c r="AT272" s="331"/>
      <c r="AU272" s="331"/>
      <c r="AV272" s="331"/>
      <c r="AW272" s="331"/>
      <c r="AX272" s="331"/>
      <c r="AY272" s="331"/>
      <c r="AZ272" s="332"/>
      <c r="BA272" s="331"/>
      <c r="BB272" s="331"/>
      <c r="BC272" s="330"/>
      <c r="BD272" s="320"/>
      <c r="BE272" s="320"/>
      <c r="BF272" s="320"/>
      <c r="BG272" s="320"/>
      <c r="BH272" s="320"/>
      <c r="BI272" s="320"/>
      <c r="BJ272" s="320"/>
      <c r="BK272" s="320"/>
      <c r="BL272" s="320"/>
      <c r="BM272" s="320"/>
    </row>
    <row r="273" spans="2:65">
      <c r="B273" s="338">
        <v>3</v>
      </c>
      <c r="C273" s="334" t="s">
        <v>236</v>
      </c>
      <c r="D273" s="333">
        <v>268</v>
      </c>
      <c r="E273" s="331"/>
      <c r="F273" s="331"/>
      <c r="G273" s="331"/>
      <c r="H273" s="331"/>
      <c r="I273" s="331"/>
      <c r="J273" s="331"/>
      <c r="K273" s="337"/>
      <c r="L273" s="336"/>
      <c r="M273" s="335"/>
      <c r="N273" s="320"/>
      <c r="O273" s="320"/>
      <c r="P273" s="320"/>
      <c r="Q273" s="320"/>
      <c r="R273" s="320"/>
      <c r="S273" s="320"/>
      <c r="T273" s="334">
        <v>3</v>
      </c>
      <c r="U273" s="334" t="s">
        <v>236</v>
      </c>
      <c r="V273" s="333">
        <v>268</v>
      </c>
      <c r="W273" s="331"/>
      <c r="X273" s="331"/>
      <c r="Y273" s="331"/>
      <c r="Z273" s="331"/>
      <c r="AA273" s="331"/>
      <c r="AB273" s="331"/>
      <c r="AC273" s="330"/>
      <c r="AD273" s="320"/>
      <c r="AE273" s="320"/>
      <c r="AF273" s="320"/>
      <c r="AG273" s="320"/>
      <c r="AH273" s="320"/>
      <c r="AI273" s="320"/>
      <c r="AJ273" s="320"/>
      <c r="AK273" s="320"/>
      <c r="AL273" s="320"/>
      <c r="AM273" s="320"/>
      <c r="AN273" s="320"/>
      <c r="AO273" s="320"/>
      <c r="AP273" s="320"/>
      <c r="AQ273" s="334">
        <v>3</v>
      </c>
      <c r="AR273" s="334" t="s">
        <v>236</v>
      </c>
      <c r="AS273" s="333">
        <v>268</v>
      </c>
      <c r="AT273" s="331"/>
      <c r="AU273" s="331"/>
      <c r="AV273" s="331"/>
      <c r="AW273" s="331"/>
      <c r="AX273" s="331"/>
      <c r="AY273" s="331"/>
      <c r="AZ273" s="332"/>
      <c r="BA273" s="331"/>
      <c r="BB273" s="331"/>
      <c r="BC273" s="330"/>
      <c r="BD273" s="320"/>
      <c r="BE273" s="320"/>
      <c r="BF273" s="320"/>
      <c r="BG273" s="320"/>
      <c r="BH273" s="320"/>
      <c r="BI273" s="320"/>
      <c r="BJ273" s="320"/>
      <c r="BK273" s="320"/>
      <c r="BL273" s="320"/>
      <c r="BM273" s="320"/>
    </row>
    <row r="274" spans="2:65">
      <c r="B274" s="338">
        <v>3</v>
      </c>
      <c r="C274" s="334" t="s">
        <v>237</v>
      </c>
      <c r="D274" s="333">
        <v>269</v>
      </c>
      <c r="E274" s="331"/>
      <c r="F274" s="331"/>
      <c r="G274" s="331"/>
      <c r="H274" s="331"/>
      <c r="I274" s="331"/>
      <c r="J274" s="331"/>
      <c r="K274" s="337"/>
      <c r="L274" s="336"/>
      <c r="M274" s="335"/>
      <c r="N274" s="320"/>
      <c r="O274" s="320"/>
      <c r="P274" s="320"/>
      <c r="Q274" s="320"/>
      <c r="R274" s="320"/>
      <c r="S274" s="320"/>
      <c r="T274" s="334">
        <v>3</v>
      </c>
      <c r="U274" s="334" t="s">
        <v>237</v>
      </c>
      <c r="V274" s="333">
        <v>269</v>
      </c>
      <c r="W274" s="331"/>
      <c r="X274" s="331"/>
      <c r="Y274" s="331"/>
      <c r="Z274" s="331"/>
      <c r="AA274" s="331"/>
      <c r="AB274" s="331"/>
      <c r="AC274" s="330"/>
      <c r="AD274" s="320"/>
      <c r="AE274" s="320"/>
      <c r="AF274" s="320"/>
      <c r="AG274" s="320"/>
      <c r="AH274" s="320"/>
      <c r="AI274" s="320"/>
      <c r="AJ274" s="320"/>
      <c r="AK274" s="320"/>
      <c r="AL274" s="320"/>
      <c r="AM274" s="320"/>
      <c r="AN274" s="320"/>
      <c r="AO274" s="320"/>
      <c r="AP274" s="320"/>
      <c r="AQ274" s="334">
        <v>3</v>
      </c>
      <c r="AR274" s="334" t="s">
        <v>237</v>
      </c>
      <c r="AS274" s="333">
        <v>269</v>
      </c>
      <c r="AT274" s="331"/>
      <c r="AU274" s="331"/>
      <c r="AV274" s="331"/>
      <c r="AW274" s="331"/>
      <c r="AX274" s="331"/>
      <c r="AY274" s="331"/>
      <c r="AZ274" s="332"/>
      <c r="BA274" s="331"/>
      <c r="BB274" s="331"/>
      <c r="BC274" s="330"/>
      <c r="BD274" s="320"/>
      <c r="BE274" s="320"/>
      <c r="BF274" s="320"/>
      <c r="BG274" s="320"/>
      <c r="BH274" s="320"/>
      <c r="BI274" s="320"/>
      <c r="BJ274" s="320"/>
      <c r="BK274" s="320"/>
      <c r="BL274" s="320"/>
      <c r="BM274" s="320"/>
    </row>
    <row r="275" spans="2:65">
      <c r="B275" s="338">
        <v>3</v>
      </c>
      <c r="C275" s="334" t="s">
        <v>238</v>
      </c>
      <c r="D275" s="333">
        <v>270</v>
      </c>
      <c r="E275" s="331"/>
      <c r="F275" s="331"/>
      <c r="G275" s="331"/>
      <c r="H275" s="331"/>
      <c r="I275" s="331"/>
      <c r="J275" s="331"/>
      <c r="K275" s="337"/>
      <c r="L275" s="336"/>
      <c r="M275" s="335"/>
      <c r="N275" s="320"/>
      <c r="O275" s="320"/>
      <c r="P275" s="320"/>
      <c r="Q275" s="320"/>
      <c r="R275" s="320"/>
      <c r="S275" s="320"/>
      <c r="T275" s="334">
        <v>3</v>
      </c>
      <c r="U275" s="334" t="s">
        <v>238</v>
      </c>
      <c r="V275" s="333">
        <v>270</v>
      </c>
      <c r="W275" s="331"/>
      <c r="X275" s="331"/>
      <c r="Y275" s="331"/>
      <c r="Z275" s="331"/>
      <c r="AA275" s="331"/>
      <c r="AB275" s="331"/>
      <c r="AC275" s="330"/>
      <c r="AD275" s="320"/>
      <c r="AE275" s="320"/>
      <c r="AF275" s="320"/>
      <c r="AG275" s="320"/>
      <c r="AH275" s="320"/>
      <c r="AI275" s="320"/>
      <c r="AJ275" s="320"/>
      <c r="AK275" s="320"/>
      <c r="AL275" s="320"/>
      <c r="AM275" s="320"/>
      <c r="AN275" s="320"/>
      <c r="AO275" s="320"/>
      <c r="AP275" s="320"/>
      <c r="AQ275" s="334">
        <v>3</v>
      </c>
      <c r="AR275" s="334" t="s">
        <v>238</v>
      </c>
      <c r="AS275" s="333">
        <v>270</v>
      </c>
      <c r="AT275" s="331"/>
      <c r="AU275" s="331"/>
      <c r="AV275" s="331"/>
      <c r="AW275" s="331"/>
      <c r="AX275" s="331"/>
      <c r="AY275" s="331"/>
      <c r="AZ275" s="332"/>
      <c r="BA275" s="331"/>
      <c r="BB275" s="331"/>
      <c r="BC275" s="330"/>
      <c r="BD275" s="320"/>
      <c r="BE275" s="320"/>
      <c r="BF275" s="320"/>
      <c r="BG275" s="320"/>
      <c r="BH275" s="320"/>
      <c r="BI275" s="320"/>
      <c r="BJ275" s="320"/>
      <c r="BK275" s="320"/>
      <c r="BL275" s="320"/>
      <c r="BM275" s="320"/>
    </row>
    <row r="276" spans="2:65">
      <c r="B276" s="338">
        <v>3</v>
      </c>
      <c r="C276" s="334" t="s">
        <v>239</v>
      </c>
      <c r="D276" s="333">
        <v>271</v>
      </c>
      <c r="E276" s="331"/>
      <c r="F276" s="331"/>
      <c r="G276" s="331"/>
      <c r="H276" s="331"/>
      <c r="I276" s="331"/>
      <c r="J276" s="331"/>
      <c r="K276" s="337"/>
      <c r="L276" s="336"/>
      <c r="M276" s="335"/>
      <c r="N276" s="320"/>
      <c r="O276" s="320"/>
      <c r="P276" s="320"/>
      <c r="Q276" s="320"/>
      <c r="R276" s="320"/>
      <c r="S276" s="320"/>
      <c r="T276" s="334">
        <v>3</v>
      </c>
      <c r="U276" s="334" t="s">
        <v>239</v>
      </c>
      <c r="V276" s="333">
        <v>271</v>
      </c>
      <c r="W276" s="331"/>
      <c r="X276" s="331"/>
      <c r="Y276" s="331"/>
      <c r="Z276" s="331"/>
      <c r="AA276" s="331"/>
      <c r="AB276" s="331"/>
      <c r="AC276" s="330"/>
      <c r="AD276" s="320"/>
      <c r="AE276" s="320"/>
      <c r="AF276" s="320"/>
      <c r="AG276" s="320"/>
      <c r="AH276" s="320"/>
      <c r="AI276" s="320"/>
      <c r="AJ276" s="320"/>
      <c r="AK276" s="320"/>
      <c r="AL276" s="320"/>
      <c r="AM276" s="320"/>
      <c r="AN276" s="320"/>
      <c r="AO276" s="320"/>
      <c r="AP276" s="320"/>
      <c r="AQ276" s="334">
        <v>3</v>
      </c>
      <c r="AR276" s="334" t="s">
        <v>239</v>
      </c>
      <c r="AS276" s="333">
        <v>271</v>
      </c>
      <c r="AT276" s="331"/>
      <c r="AU276" s="331"/>
      <c r="AV276" s="331"/>
      <c r="AW276" s="331"/>
      <c r="AX276" s="331"/>
      <c r="AY276" s="331"/>
      <c r="AZ276" s="332"/>
      <c r="BA276" s="331"/>
      <c r="BB276" s="331"/>
      <c r="BC276" s="330"/>
      <c r="BD276" s="320"/>
      <c r="BE276" s="320"/>
      <c r="BF276" s="320"/>
      <c r="BG276" s="320"/>
      <c r="BH276" s="320"/>
      <c r="BI276" s="320"/>
      <c r="BJ276" s="320"/>
      <c r="BK276" s="320"/>
      <c r="BL276" s="320"/>
      <c r="BM276" s="320"/>
    </row>
    <row r="277" spans="2:65">
      <c r="B277" s="338">
        <v>3</v>
      </c>
      <c r="C277" s="334" t="s">
        <v>240</v>
      </c>
      <c r="D277" s="333">
        <v>272</v>
      </c>
      <c r="E277" s="331"/>
      <c r="F277" s="331"/>
      <c r="G277" s="331"/>
      <c r="H277" s="331"/>
      <c r="I277" s="331"/>
      <c r="J277" s="331"/>
      <c r="K277" s="337"/>
      <c r="L277" s="336"/>
      <c r="M277" s="335"/>
      <c r="N277" s="320"/>
      <c r="O277" s="320"/>
      <c r="P277" s="320"/>
      <c r="Q277" s="320"/>
      <c r="R277" s="320"/>
      <c r="S277" s="320"/>
      <c r="T277" s="334">
        <v>3</v>
      </c>
      <c r="U277" s="334" t="s">
        <v>240</v>
      </c>
      <c r="V277" s="333">
        <v>272</v>
      </c>
      <c r="W277" s="331"/>
      <c r="X277" s="331"/>
      <c r="Y277" s="331"/>
      <c r="Z277" s="331"/>
      <c r="AA277" s="331"/>
      <c r="AB277" s="331"/>
      <c r="AC277" s="330"/>
      <c r="AD277" s="320"/>
      <c r="AE277" s="320"/>
      <c r="AF277" s="320"/>
      <c r="AG277" s="320"/>
      <c r="AH277" s="320"/>
      <c r="AI277" s="320"/>
      <c r="AJ277" s="320"/>
      <c r="AK277" s="320"/>
      <c r="AL277" s="320"/>
      <c r="AM277" s="320"/>
      <c r="AN277" s="320"/>
      <c r="AO277" s="320"/>
      <c r="AP277" s="320"/>
      <c r="AQ277" s="334">
        <v>3</v>
      </c>
      <c r="AR277" s="334" t="s">
        <v>240</v>
      </c>
      <c r="AS277" s="333">
        <v>272</v>
      </c>
      <c r="AT277" s="331"/>
      <c r="AU277" s="331"/>
      <c r="AV277" s="331"/>
      <c r="AW277" s="331"/>
      <c r="AX277" s="331"/>
      <c r="AY277" s="331"/>
      <c r="AZ277" s="332"/>
      <c r="BA277" s="331"/>
      <c r="BB277" s="331"/>
      <c r="BC277" s="330"/>
      <c r="BD277" s="320"/>
      <c r="BE277" s="320"/>
      <c r="BF277" s="320"/>
      <c r="BG277" s="320"/>
      <c r="BH277" s="320"/>
      <c r="BI277" s="320"/>
      <c r="BJ277" s="320"/>
      <c r="BK277" s="320"/>
      <c r="BL277" s="320"/>
      <c r="BM277" s="320"/>
    </row>
    <row r="278" spans="2:65">
      <c r="B278" s="345">
        <v>3</v>
      </c>
      <c r="C278" s="344" t="s">
        <v>241</v>
      </c>
      <c r="D278" s="343">
        <v>273</v>
      </c>
      <c r="E278" s="342"/>
      <c r="F278" s="342"/>
      <c r="G278" s="342"/>
      <c r="H278" s="342"/>
      <c r="I278" s="342"/>
      <c r="J278" s="342"/>
      <c r="K278" s="341"/>
      <c r="L278" s="340"/>
      <c r="M278" s="339"/>
      <c r="N278" s="320"/>
      <c r="O278" s="320"/>
      <c r="P278" s="320"/>
      <c r="Q278" s="320"/>
      <c r="R278" s="320"/>
      <c r="S278" s="320"/>
      <c r="T278" s="334">
        <v>3</v>
      </c>
      <c r="U278" s="334" t="s">
        <v>241</v>
      </c>
      <c r="V278" s="333">
        <v>273</v>
      </c>
      <c r="W278" s="331"/>
      <c r="X278" s="331"/>
      <c r="Y278" s="331"/>
      <c r="Z278" s="331"/>
      <c r="AA278" s="331"/>
      <c r="AB278" s="331"/>
      <c r="AC278" s="330"/>
      <c r="AD278" s="320"/>
      <c r="AE278" s="320"/>
      <c r="AF278" s="320"/>
      <c r="AG278" s="320"/>
      <c r="AH278" s="320"/>
      <c r="AI278" s="320"/>
      <c r="AJ278" s="320"/>
      <c r="AK278" s="320"/>
      <c r="AL278" s="320"/>
      <c r="AM278" s="320"/>
      <c r="AN278" s="320"/>
      <c r="AO278" s="320"/>
      <c r="AP278" s="320"/>
      <c r="AQ278" s="334">
        <v>3</v>
      </c>
      <c r="AR278" s="334" t="s">
        <v>241</v>
      </c>
      <c r="AS278" s="333">
        <v>273</v>
      </c>
      <c r="AT278" s="331"/>
      <c r="AU278" s="331"/>
      <c r="AV278" s="331"/>
      <c r="AW278" s="331"/>
      <c r="AX278" s="331"/>
      <c r="AY278" s="331"/>
      <c r="AZ278" s="332"/>
      <c r="BA278" s="331"/>
      <c r="BB278" s="331"/>
      <c r="BC278" s="330"/>
      <c r="BD278" s="320"/>
      <c r="BE278" s="320"/>
      <c r="BF278" s="320"/>
      <c r="BG278" s="320"/>
      <c r="BH278" s="320"/>
      <c r="BI278" s="320"/>
      <c r="BJ278" s="320"/>
      <c r="BK278" s="320"/>
      <c r="BL278" s="320"/>
      <c r="BM278" s="320"/>
    </row>
    <row r="279" spans="2:65">
      <c r="B279" s="345">
        <v>3</v>
      </c>
      <c r="C279" s="344" t="s">
        <v>242</v>
      </c>
      <c r="D279" s="343">
        <v>274</v>
      </c>
      <c r="E279" s="342"/>
      <c r="F279" s="342"/>
      <c r="G279" s="342"/>
      <c r="H279" s="342"/>
      <c r="I279" s="342"/>
      <c r="J279" s="342"/>
      <c r="K279" s="341"/>
      <c r="L279" s="340"/>
      <c r="M279" s="339"/>
      <c r="N279" s="320"/>
      <c r="O279" s="320"/>
      <c r="P279" s="320"/>
      <c r="Q279" s="320"/>
      <c r="R279" s="320"/>
      <c r="S279" s="320"/>
      <c r="T279" s="334">
        <v>3</v>
      </c>
      <c r="U279" s="334" t="s">
        <v>242</v>
      </c>
      <c r="V279" s="333">
        <v>274</v>
      </c>
      <c r="W279" s="331"/>
      <c r="X279" s="331"/>
      <c r="Y279" s="331"/>
      <c r="Z279" s="331"/>
      <c r="AA279" s="331"/>
      <c r="AB279" s="331"/>
      <c r="AC279" s="330"/>
      <c r="AD279" s="320"/>
      <c r="AE279" s="320"/>
      <c r="AF279" s="320"/>
      <c r="AG279" s="320"/>
      <c r="AH279" s="320"/>
      <c r="AI279" s="320"/>
      <c r="AJ279" s="320"/>
      <c r="AK279" s="320"/>
      <c r="AL279" s="320"/>
      <c r="AM279" s="320"/>
      <c r="AN279" s="320"/>
      <c r="AO279" s="320"/>
      <c r="AP279" s="320"/>
      <c r="AQ279" s="334">
        <v>3</v>
      </c>
      <c r="AR279" s="334" t="s">
        <v>242</v>
      </c>
      <c r="AS279" s="333">
        <v>274</v>
      </c>
      <c r="AT279" s="331"/>
      <c r="AU279" s="331"/>
      <c r="AV279" s="331"/>
      <c r="AW279" s="331"/>
      <c r="AX279" s="331"/>
      <c r="AY279" s="331"/>
      <c r="AZ279" s="332"/>
      <c r="BA279" s="331"/>
      <c r="BB279" s="331"/>
      <c r="BC279" s="330"/>
      <c r="BD279" s="320"/>
      <c r="BE279" s="320"/>
      <c r="BF279" s="320"/>
      <c r="BG279" s="320"/>
      <c r="BH279" s="320"/>
      <c r="BI279" s="320"/>
      <c r="BJ279" s="320"/>
      <c r="BK279" s="320"/>
      <c r="BL279" s="320"/>
      <c r="BM279" s="320"/>
    </row>
    <row r="280" spans="2:65">
      <c r="B280" s="345">
        <v>3</v>
      </c>
      <c r="C280" s="344" t="s">
        <v>243</v>
      </c>
      <c r="D280" s="343">
        <v>275</v>
      </c>
      <c r="E280" s="342"/>
      <c r="F280" s="342"/>
      <c r="G280" s="342"/>
      <c r="H280" s="342"/>
      <c r="I280" s="342"/>
      <c r="J280" s="342"/>
      <c r="K280" s="341"/>
      <c r="L280" s="340"/>
      <c r="M280" s="339"/>
      <c r="N280" s="320"/>
      <c r="O280" s="320"/>
      <c r="P280" s="320"/>
      <c r="Q280" s="320"/>
      <c r="R280" s="320"/>
      <c r="S280" s="320"/>
      <c r="T280" s="334">
        <v>3</v>
      </c>
      <c r="U280" s="334" t="s">
        <v>243</v>
      </c>
      <c r="V280" s="333">
        <v>275</v>
      </c>
      <c r="W280" s="331"/>
      <c r="X280" s="331"/>
      <c r="Y280" s="331"/>
      <c r="Z280" s="331"/>
      <c r="AA280" s="331"/>
      <c r="AB280" s="331"/>
      <c r="AC280" s="330"/>
      <c r="AD280" s="320"/>
      <c r="AE280" s="320"/>
      <c r="AF280" s="320"/>
      <c r="AG280" s="320"/>
      <c r="AH280" s="320"/>
      <c r="AI280" s="320"/>
      <c r="AJ280" s="320"/>
      <c r="AK280" s="320"/>
      <c r="AL280" s="320"/>
      <c r="AM280" s="320"/>
      <c r="AN280" s="320"/>
      <c r="AO280" s="320"/>
      <c r="AP280" s="320"/>
      <c r="AQ280" s="334">
        <v>3</v>
      </c>
      <c r="AR280" s="334" t="s">
        <v>243</v>
      </c>
      <c r="AS280" s="333">
        <v>275</v>
      </c>
      <c r="AT280" s="331"/>
      <c r="AU280" s="331"/>
      <c r="AV280" s="331"/>
      <c r="AW280" s="331"/>
      <c r="AX280" s="331"/>
      <c r="AY280" s="331"/>
      <c r="AZ280" s="332"/>
      <c r="BA280" s="331"/>
      <c r="BB280" s="331"/>
      <c r="BC280" s="330"/>
      <c r="BD280" s="320"/>
      <c r="BE280" s="320"/>
      <c r="BF280" s="320"/>
      <c r="BG280" s="320"/>
      <c r="BH280" s="320"/>
      <c r="BI280" s="320"/>
      <c r="BJ280" s="320"/>
      <c r="BK280" s="320"/>
      <c r="BL280" s="320"/>
      <c r="BM280" s="320"/>
    </row>
    <row r="281" spans="2:65">
      <c r="B281" s="345">
        <v>3</v>
      </c>
      <c r="C281" s="344" t="s">
        <v>244</v>
      </c>
      <c r="D281" s="343">
        <v>276</v>
      </c>
      <c r="E281" s="342"/>
      <c r="F281" s="342"/>
      <c r="G281" s="342"/>
      <c r="H281" s="342"/>
      <c r="I281" s="342"/>
      <c r="J281" s="342"/>
      <c r="K281" s="341"/>
      <c r="L281" s="340"/>
      <c r="M281" s="339"/>
      <c r="N281" s="320"/>
      <c r="O281" s="320"/>
      <c r="P281" s="320"/>
      <c r="Q281" s="320"/>
      <c r="R281" s="320"/>
      <c r="S281" s="320"/>
      <c r="T281" s="334">
        <v>3</v>
      </c>
      <c r="U281" s="334" t="s">
        <v>244</v>
      </c>
      <c r="V281" s="333">
        <v>276</v>
      </c>
      <c r="W281" s="331"/>
      <c r="X281" s="331"/>
      <c r="Y281" s="331"/>
      <c r="Z281" s="331"/>
      <c r="AA281" s="331"/>
      <c r="AB281" s="331"/>
      <c r="AC281" s="330"/>
      <c r="AD281" s="320"/>
      <c r="AE281" s="320"/>
      <c r="AF281" s="320"/>
      <c r="AG281" s="320"/>
      <c r="AH281" s="320"/>
      <c r="AI281" s="320"/>
      <c r="AJ281" s="320"/>
      <c r="AK281" s="320"/>
      <c r="AL281" s="320"/>
      <c r="AM281" s="320"/>
      <c r="AN281" s="320"/>
      <c r="AO281" s="320"/>
      <c r="AP281" s="320"/>
      <c r="AQ281" s="334">
        <v>3</v>
      </c>
      <c r="AR281" s="334" t="s">
        <v>244</v>
      </c>
      <c r="AS281" s="333">
        <v>276</v>
      </c>
      <c r="AT281" s="331"/>
      <c r="AU281" s="331"/>
      <c r="AV281" s="331"/>
      <c r="AW281" s="331"/>
      <c r="AX281" s="331"/>
      <c r="AY281" s="331"/>
      <c r="AZ281" s="332"/>
      <c r="BA281" s="331"/>
      <c r="BB281" s="331"/>
      <c r="BC281" s="330"/>
      <c r="BD281" s="320"/>
      <c r="BE281" s="320"/>
      <c r="BF281" s="320"/>
      <c r="BG281" s="320"/>
      <c r="BH281" s="320"/>
      <c r="BI281" s="320"/>
      <c r="BJ281" s="320"/>
      <c r="BK281" s="320"/>
      <c r="BL281" s="320"/>
      <c r="BM281" s="320"/>
    </row>
    <row r="282" spans="2:65">
      <c r="B282" s="345">
        <v>3</v>
      </c>
      <c r="C282" s="344" t="s">
        <v>245</v>
      </c>
      <c r="D282" s="343">
        <v>277</v>
      </c>
      <c r="E282" s="342"/>
      <c r="F282" s="342"/>
      <c r="G282" s="342"/>
      <c r="H282" s="342"/>
      <c r="I282" s="342"/>
      <c r="J282" s="342"/>
      <c r="K282" s="341"/>
      <c r="L282" s="340"/>
      <c r="M282" s="339"/>
      <c r="N282" s="320"/>
      <c r="O282" s="320"/>
      <c r="P282" s="320"/>
      <c r="Q282" s="320"/>
      <c r="R282" s="320"/>
      <c r="S282" s="320"/>
      <c r="T282" s="334">
        <v>3</v>
      </c>
      <c r="U282" s="334" t="s">
        <v>245</v>
      </c>
      <c r="V282" s="333">
        <v>277</v>
      </c>
      <c r="W282" s="331"/>
      <c r="X282" s="331"/>
      <c r="Y282" s="331"/>
      <c r="Z282" s="331"/>
      <c r="AA282" s="331"/>
      <c r="AB282" s="331"/>
      <c r="AC282" s="330"/>
      <c r="AD282" s="320"/>
      <c r="AE282" s="320"/>
      <c r="AF282" s="320"/>
      <c r="AG282" s="320"/>
      <c r="AH282" s="320"/>
      <c r="AI282" s="320"/>
      <c r="AJ282" s="320"/>
      <c r="AK282" s="320"/>
      <c r="AL282" s="320"/>
      <c r="AM282" s="320"/>
      <c r="AN282" s="320"/>
      <c r="AO282" s="320"/>
      <c r="AP282" s="320"/>
      <c r="AQ282" s="334">
        <v>3</v>
      </c>
      <c r="AR282" s="334" t="s">
        <v>245</v>
      </c>
      <c r="AS282" s="333">
        <v>277</v>
      </c>
      <c r="AT282" s="331"/>
      <c r="AU282" s="331"/>
      <c r="AV282" s="331"/>
      <c r="AW282" s="331"/>
      <c r="AX282" s="331"/>
      <c r="AY282" s="331"/>
      <c r="AZ282" s="332"/>
      <c r="BA282" s="331"/>
      <c r="BB282" s="331"/>
      <c r="BC282" s="330"/>
      <c r="BD282" s="320"/>
      <c r="BE282" s="320"/>
      <c r="BF282" s="320"/>
      <c r="BG282" s="320"/>
      <c r="BH282" s="320"/>
      <c r="BI282" s="320"/>
      <c r="BJ282" s="320"/>
      <c r="BK282" s="320"/>
      <c r="BL282" s="320"/>
      <c r="BM282" s="320"/>
    </row>
    <row r="283" spans="2:65">
      <c r="B283" s="345">
        <v>3</v>
      </c>
      <c r="C283" s="344" t="s">
        <v>246</v>
      </c>
      <c r="D283" s="343">
        <v>278</v>
      </c>
      <c r="E283" s="342"/>
      <c r="F283" s="342"/>
      <c r="G283" s="342"/>
      <c r="H283" s="342"/>
      <c r="I283" s="342"/>
      <c r="J283" s="342"/>
      <c r="K283" s="341"/>
      <c r="L283" s="340"/>
      <c r="M283" s="339"/>
      <c r="N283" s="320"/>
      <c r="O283" s="320"/>
      <c r="P283" s="320"/>
      <c r="Q283" s="320"/>
      <c r="R283" s="320"/>
      <c r="S283" s="320"/>
      <c r="T283" s="334">
        <v>3</v>
      </c>
      <c r="U283" s="334" t="s">
        <v>246</v>
      </c>
      <c r="V283" s="333">
        <v>278</v>
      </c>
      <c r="W283" s="331"/>
      <c r="X283" s="331"/>
      <c r="Y283" s="331"/>
      <c r="Z283" s="331"/>
      <c r="AA283" s="331"/>
      <c r="AB283" s="331"/>
      <c r="AC283" s="330"/>
      <c r="AD283" s="320"/>
      <c r="AE283" s="320"/>
      <c r="AF283" s="320"/>
      <c r="AG283" s="320"/>
      <c r="AH283" s="320"/>
      <c r="AI283" s="320"/>
      <c r="AJ283" s="320"/>
      <c r="AK283" s="320"/>
      <c r="AL283" s="320"/>
      <c r="AM283" s="320"/>
      <c r="AN283" s="320"/>
      <c r="AO283" s="320"/>
      <c r="AP283" s="320"/>
      <c r="AQ283" s="334">
        <v>3</v>
      </c>
      <c r="AR283" s="334" t="s">
        <v>246</v>
      </c>
      <c r="AS283" s="333">
        <v>278</v>
      </c>
      <c r="AT283" s="331"/>
      <c r="AU283" s="331"/>
      <c r="AV283" s="331"/>
      <c r="AW283" s="331"/>
      <c r="AX283" s="331"/>
      <c r="AY283" s="331"/>
      <c r="AZ283" s="332"/>
      <c r="BA283" s="331"/>
      <c r="BB283" s="331"/>
      <c r="BC283" s="330"/>
      <c r="BD283" s="320"/>
      <c r="BE283" s="320"/>
      <c r="BF283" s="320"/>
      <c r="BG283" s="320"/>
      <c r="BH283" s="320"/>
      <c r="BI283" s="320"/>
      <c r="BJ283" s="320"/>
      <c r="BK283" s="320"/>
      <c r="BL283" s="320"/>
      <c r="BM283" s="320"/>
    </row>
    <row r="284" spans="2:65">
      <c r="B284" s="345">
        <v>3</v>
      </c>
      <c r="C284" s="344" t="s">
        <v>247</v>
      </c>
      <c r="D284" s="343">
        <v>279</v>
      </c>
      <c r="E284" s="342"/>
      <c r="F284" s="342"/>
      <c r="G284" s="342"/>
      <c r="H284" s="342"/>
      <c r="I284" s="342"/>
      <c r="J284" s="342"/>
      <c r="K284" s="341"/>
      <c r="L284" s="340"/>
      <c r="M284" s="339"/>
      <c r="N284" s="320"/>
      <c r="O284" s="320"/>
      <c r="P284" s="320"/>
      <c r="Q284" s="320"/>
      <c r="R284" s="320"/>
      <c r="S284" s="320"/>
      <c r="T284" s="334">
        <v>3</v>
      </c>
      <c r="U284" s="334" t="s">
        <v>247</v>
      </c>
      <c r="V284" s="333">
        <v>279</v>
      </c>
      <c r="W284" s="331"/>
      <c r="X284" s="331"/>
      <c r="Y284" s="331"/>
      <c r="Z284" s="331"/>
      <c r="AA284" s="331"/>
      <c r="AB284" s="331"/>
      <c r="AC284" s="330"/>
      <c r="AD284" s="320"/>
      <c r="AE284" s="320"/>
      <c r="AF284" s="320"/>
      <c r="AG284" s="320"/>
      <c r="AH284" s="320"/>
      <c r="AI284" s="320"/>
      <c r="AJ284" s="320"/>
      <c r="AK284" s="320"/>
      <c r="AL284" s="320"/>
      <c r="AM284" s="320"/>
      <c r="AN284" s="320"/>
      <c r="AO284" s="320"/>
      <c r="AP284" s="320"/>
      <c r="AQ284" s="334">
        <v>3</v>
      </c>
      <c r="AR284" s="334" t="s">
        <v>247</v>
      </c>
      <c r="AS284" s="333">
        <v>279</v>
      </c>
      <c r="AT284" s="331"/>
      <c r="AU284" s="331"/>
      <c r="AV284" s="331"/>
      <c r="AW284" s="331"/>
      <c r="AX284" s="331"/>
      <c r="AY284" s="331"/>
      <c r="AZ284" s="332"/>
      <c r="BA284" s="331"/>
      <c r="BB284" s="331"/>
      <c r="BC284" s="330"/>
      <c r="BD284" s="320"/>
      <c r="BE284" s="320"/>
      <c r="BF284" s="320"/>
      <c r="BG284" s="320"/>
      <c r="BH284" s="320"/>
      <c r="BI284" s="320"/>
      <c r="BJ284" s="320"/>
      <c r="BK284" s="320"/>
      <c r="BL284" s="320"/>
      <c r="BM284" s="320"/>
    </row>
    <row r="285" spans="2:65">
      <c r="B285" s="345">
        <v>3</v>
      </c>
      <c r="C285" s="344" t="s">
        <v>248</v>
      </c>
      <c r="D285" s="343">
        <v>280</v>
      </c>
      <c r="E285" s="342"/>
      <c r="F285" s="342"/>
      <c r="G285" s="342"/>
      <c r="H285" s="342"/>
      <c r="I285" s="342"/>
      <c r="J285" s="342"/>
      <c r="K285" s="341"/>
      <c r="L285" s="340"/>
      <c r="M285" s="339"/>
      <c r="N285" s="320"/>
      <c r="O285" s="320"/>
      <c r="P285" s="320"/>
      <c r="Q285" s="320"/>
      <c r="R285" s="320"/>
      <c r="S285" s="320"/>
      <c r="T285" s="334">
        <v>3</v>
      </c>
      <c r="U285" s="334" t="s">
        <v>248</v>
      </c>
      <c r="V285" s="333">
        <v>280</v>
      </c>
      <c r="W285" s="331"/>
      <c r="X285" s="331"/>
      <c r="Y285" s="331"/>
      <c r="Z285" s="331"/>
      <c r="AA285" s="331"/>
      <c r="AB285" s="331"/>
      <c r="AC285" s="330"/>
      <c r="AD285" s="320"/>
      <c r="AE285" s="320"/>
      <c r="AF285" s="320"/>
      <c r="AG285" s="320"/>
      <c r="AH285" s="320"/>
      <c r="AI285" s="320"/>
      <c r="AJ285" s="320"/>
      <c r="AK285" s="320"/>
      <c r="AL285" s="320"/>
      <c r="AM285" s="320"/>
      <c r="AN285" s="320"/>
      <c r="AO285" s="320"/>
      <c r="AP285" s="320"/>
      <c r="AQ285" s="334">
        <v>3</v>
      </c>
      <c r="AR285" s="334" t="s">
        <v>248</v>
      </c>
      <c r="AS285" s="333">
        <v>280</v>
      </c>
      <c r="AT285" s="331"/>
      <c r="AU285" s="331"/>
      <c r="AV285" s="331"/>
      <c r="AW285" s="331"/>
      <c r="AX285" s="331"/>
      <c r="AY285" s="331"/>
      <c r="AZ285" s="332"/>
      <c r="BA285" s="331"/>
      <c r="BB285" s="331"/>
      <c r="BC285" s="330"/>
      <c r="BD285" s="320"/>
      <c r="BE285" s="320"/>
      <c r="BF285" s="320"/>
      <c r="BG285" s="320"/>
      <c r="BH285" s="320"/>
      <c r="BI285" s="320"/>
      <c r="BJ285" s="320"/>
      <c r="BK285" s="320"/>
      <c r="BL285" s="320"/>
      <c r="BM285" s="320"/>
    </row>
    <row r="286" spans="2:65">
      <c r="B286" s="338">
        <v>3</v>
      </c>
      <c r="C286" s="334" t="s">
        <v>249</v>
      </c>
      <c r="D286" s="333">
        <v>281</v>
      </c>
      <c r="E286" s="331"/>
      <c r="F286" s="331"/>
      <c r="G286" s="331"/>
      <c r="H286" s="331"/>
      <c r="I286" s="331"/>
      <c r="J286" s="331"/>
      <c r="K286" s="337"/>
      <c r="L286" s="336"/>
      <c r="M286" s="335"/>
      <c r="N286" s="320"/>
      <c r="O286" s="320"/>
      <c r="P286" s="320"/>
      <c r="Q286" s="320"/>
      <c r="R286" s="320"/>
      <c r="S286" s="320"/>
      <c r="T286" s="334">
        <v>3</v>
      </c>
      <c r="U286" s="334" t="s">
        <v>249</v>
      </c>
      <c r="V286" s="333">
        <v>281</v>
      </c>
      <c r="W286" s="331"/>
      <c r="X286" s="331"/>
      <c r="Y286" s="331"/>
      <c r="Z286" s="331"/>
      <c r="AA286" s="331"/>
      <c r="AB286" s="331"/>
      <c r="AC286" s="330"/>
      <c r="AD286" s="320"/>
      <c r="AE286" s="320"/>
      <c r="AF286" s="320"/>
      <c r="AG286" s="320"/>
      <c r="AH286" s="320"/>
      <c r="AI286" s="320"/>
      <c r="AJ286" s="320"/>
      <c r="AK286" s="320"/>
      <c r="AL286" s="320"/>
      <c r="AM286" s="320"/>
      <c r="AN286" s="320"/>
      <c r="AO286" s="320"/>
      <c r="AP286" s="320"/>
      <c r="AQ286" s="334">
        <v>3</v>
      </c>
      <c r="AR286" s="334" t="s">
        <v>249</v>
      </c>
      <c r="AS286" s="333">
        <v>281</v>
      </c>
      <c r="AT286" s="331"/>
      <c r="AU286" s="331"/>
      <c r="AV286" s="331"/>
      <c r="AW286" s="331"/>
      <c r="AX286" s="331"/>
      <c r="AY286" s="331"/>
      <c r="AZ286" s="332"/>
      <c r="BA286" s="331"/>
      <c r="BB286" s="331"/>
      <c r="BC286" s="330"/>
      <c r="BD286" s="320"/>
      <c r="BE286" s="320"/>
      <c r="BF286" s="320"/>
      <c r="BG286" s="320"/>
      <c r="BH286" s="320"/>
      <c r="BI286" s="320"/>
      <c r="BJ286" s="320"/>
      <c r="BK286" s="320"/>
      <c r="BL286" s="320"/>
      <c r="BM286" s="320"/>
    </row>
    <row r="287" spans="2:65">
      <c r="B287" s="338">
        <v>3</v>
      </c>
      <c r="C287" s="334" t="s">
        <v>250</v>
      </c>
      <c r="D287" s="333">
        <v>282</v>
      </c>
      <c r="E287" s="331"/>
      <c r="F287" s="331"/>
      <c r="G287" s="331"/>
      <c r="H287" s="331"/>
      <c r="I287" s="331"/>
      <c r="J287" s="331"/>
      <c r="K287" s="337"/>
      <c r="L287" s="336"/>
      <c r="M287" s="335"/>
      <c r="N287" s="320"/>
      <c r="O287" s="320"/>
      <c r="P287" s="320"/>
      <c r="Q287" s="320"/>
      <c r="R287" s="320"/>
      <c r="S287" s="320"/>
      <c r="T287" s="334">
        <v>3</v>
      </c>
      <c r="U287" s="334" t="s">
        <v>250</v>
      </c>
      <c r="V287" s="333">
        <v>282</v>
      </c>
      <c r="W287" s="331"/>
      <c r="X287" s="331"/>
      <c r="Y287" s="331"/>
      <c r="Z287" s="331"/>
      <c r="AA287" s="331"/>
      <c r="AB287" s="331"/>
      <c r="AC287" s="330"/>
      <c r="AD287" s="320"/>
      <c r="AE287" s="320"/>
      <c r="AF287" s="320"/>
      <c r="AG287" s="320"/>
      <c r="AH287" s="320"/>
      <c r="AI287" s="320"/>
      <c r="AJ287" s="320"/>
      <c r="AK287" s="320"/>
      <c r="AL287" s="320"/>
      <c r="AM287" s="320"/>
      <c r="AN287" s="320"/>
      <c r="AO287" s="320"/>
      <c r="AP287" s="320"/>
      <c r="AQ287" s="334">
        <v>3</v>
      </c>
      <c r="AR287" s="334" t="s">
        <v>250</v>
      </c>
      <c r="AS287" s="333">
        <v>282</v>
      </c>
      <c r="AT287" s="331"/>
      <c r="AU287" s="331"/>
      <c r="AV287" s="331"/>
      <c r="AW287" s="331"/>
      <c r="AX287" s="331"/>
      <c r="AY287" s="331"/>
      <c r="AZ287" s="332"/>
      <c r="BA287" s="331"/>
      <c r="BB287" s="331"/>
      <c r="BC287" s="330"/>
      <c r="BD287" s="320"/>
      <c r="BE287" s="320"/>
      <c r="BF287" s="320"/>
      <c r="BG287" s="320"/>
      <c r="BH287" s="320"/>
      <c r="BI287" s="320"/>
      <c r="BJ287" s="320"/>
      <c r="BK287" s="320"/>
      <c r="BL287" s="320"/>
      <c r="BM287" s="320"/>
    </row>
    <row r="288" spans="2:65">
      <c r="B288" s="338">
        <v>3</v>
      </c>
      <c r="C288" s="334" t="s">
        <v>251</v>
      </c>
      <c r="D288" s="333">
        <v>283</v>
      </c>
      <c r="E288" s="331"/>
      <c r="F288" s="331"/>
      <c r="G288" s="331"/>
      <c r="H288" s="331"/>
      <c r="I288" s="331"/>
      <c r="J288" s="331"/>
      <c r="K288" s="337"/>
      <c r="L288" s="336"/>
      <c r="M288" s="335"/>
      <c r="N288" s="320"/>
      <c r="O288" s="320"/>
      <c r="P288" s="320"/>
      <c r="Q288" s="320"/>
      <c r="R288" s="320"/>
      <c r="S288" s="320"/>
      <c r="T288" s="334">
        <v>3</v>
      </c>
      <c r="U288" s="334" t="s">
        <v>251</v>
      </c>
      <c r="V288" s="333">
        <v>283</v>
      </c>
      <c r="W288" s="331"/>
      <c r="X288" s="331"/>
      <c r="Y288" s="331"/>
      <c r="Z288" s="331"/>
      <c r="AA288" s="331"/>
      <c r="AB288" s="331"/>
      <c r="AC288" s="330"/>
      <c r="AD288" s="320"/>
      <c r="AE288" s="320"/>
      <c r="AF288" s="320"/>
      <c r="AG288" s="320"/>
      <c r="AH288" s="320"/>
      <c r="AI288" s="320"/>
      <c r="AJ288" s="320"/>
      <c r="AK288" s="320"/>
      <c r="AL288" s="320"/>
      <c r="AM288" s="320"/>
      <c r="AN288" s="320"/>
      <c r="AO288" s="320"/>
      <c r="AP288" s="320"/>
      <c r="AQ288" s="334">
        <v>3</v>
      </c>
      <c r="AR288" s="334" t="s">
        <v>251</v>
      </c>
      <c r="AS288" s="333">
        <v>283</v>
      </c>
      <c r="AT288" s="331"/>
      <c r="AU288" s="331"/>
      <c r="AV288" s="331"/>
      <c r="AW288" s="331"/>
      <c r="AX288" s="331"/>
      <c r="AY288" s="331"/>
      <c r="AZ288" s="332"/>
      <c r="BA288" s="331"/>
      <c r="BB288" s="331"/>
      <c r="BC288" s="330"/>
      <c r="BD288" s="320"/>
      <c r="BE288" s="320"/>
      <c r="BF288" s="320"/>
      <c r="BG288" s="320"/>
      <c r="BH288" s="320"/>
      <c r="BI288" s="320"/>
      <c r="BJ288" s="320"/>
      <c r="BK288" s="320"/>
      <c r="BL288" s="320"/>
      <c r="BM288" s="320"/>
    </row>
    <row r="289" spans="2:65">
      <c r="B289" s="338">
        <v>3</v>
      </c>
      <c r="C289" s="334" t="s">
        <v>252</v>
      </c>
      <c r="D289" s="333">
        <v>284</v>
      </c>
      <c r="E289" s="331"/>
      <c r="F289" s="331"/>
      <c r="G289" s="331"/>
      <c r="H289" s="331"/>
      <c r="I289" s="331"/>
      <c r="J289" s="331"/>
      <c r="K289" s="337"/>
      <c r="L289" s="336"/>
      <c r="M289" s="335"/>
      <c r="N289" s="320"/>
      <c r="O289" s="320"/>
      <c r="P289" s="320"/>
      <c r="Q289" s="320"/>
      <c r="R289" s="320"/>
      <c r="S289" s="320"/>
      <c r="T289" s="334">
        <v>3</v>
      </c>
      <c r="U289" s="334" t="s">
        <v>252</v>
      </c>
      <c r="V289" s="333">
        <v>284</v>
      </c>
      <c r="W289" s="331"/>
      <c r="X289" s="331"/>
      <c r="Y289" s="331"/>
      <c r="Z289" s="331"/>
      <c r="AA289" s="331"/>
      <c r="AB289" s="331"/>
      <c r="AC289" s="330"/>
      <c r="AD289" s="320"/>
      <c r="AE289" s="320"/>
      <c r="AF289" s="320"/>
      <c r="AG289" s="320"/>
      <c r="AH289" s="320"/>
      <c r="AI289" s="320"/>
      <c r="AJ289" s="320"/>
      <c r="AK289" s="320"/>
      <c r="AL289" s="320"/>
      <c r="AM289" s="320"/>
      <c r="AN289" s="320"/>
      <c r="AO289" s="320"/>
      <c r="AP289" s="320"/>
      <c r="AQ289" s="334">
        <v>3</v>
      </c>
      <c r="AR289" s="334" t="s">
        <v>252</v>
      </c>
      <c r="AS289" s="333">
        <v>284</v>
      </c>
      <c r="AT289" s="331"/>
      <c r="AU289" s="331"/>
      <c r="AV289" s="331"/>
      <c r="AW289" s="331"/>
      <c r="AX289" s="331"/>
      <c r="AY289" s="331"/>
      <c r="AZ289" s="332"/>
      <c r="BA289" s="331"/>
      <c r="BB289" s="331"/>
      <c r="BC289" s="330"/>
      <c r="BD289" s="320"/>
      <c r="BE289" s="320"/>
      <c r="BF289" s="320"/>
      <c r="BG289" s="320"/>
      <c r="BH289" s="320"/>
      <c r="BI289" s="320"/>
      <c r="BJ289" s="320"/>
      <c r="BK289" s="320"/>
      <c r="BL289" s="320"/>
      <c r="BM289" s="320"/>
    </row>
    <row r="290" spans="2:65">
      <c r="B290" s="338">
        <v>3</v>
      </c>
      <c r="C290" s="334" t="s">
        <v>253</v>
      </c>
      <c r="D290" s="333">
        <v>285</v>
      </c>
      <c r="E290" s="331"/>
      <c r="F290" s="331"/>
      <c r="G290" s="331"/>
      <c r="H290" s="331"/>
      <c r="I290" s="331"/>
      <c r="J290" s="331"/>
      <c r="K290" s="337"/>
      <c r="L290" s="336"/>
      <c r="M290" s="335"/>
      <c r="N290" s="320"/>
      <c r="O290" s="320"/>
      <c r="P290" s="320"/>
      <c r="Q290" s="320"/>
      <c r="R290" s="320"/>
      <c r="S290" s="320"/>
      <c r="T290" s="334">
        <v>3</v>
      </c>
      <c r="U290" s="334" t="s">
        <v>253</v>
      </c>
      <c r="V290" s="333">
        <v>285</v>
      </c>
      <c r="W290" s="331"/>
      <c r="X290" s="331"/>
      <c r="Y290" s="331"/>
      <c r="Z290" s="331"/>
      <c r="AA290" s="331"/>
      <c r="AB290" s="331"/>
      <c r="AC290" s="330"/>
      <c r="AD290" s="320"/>
      <c r="AE290" s="320"/>
      <c r="AF290" s="320"/>
      <c r="AG290" s="320"/>
      <c r="AH290" s="320"/>
      <c r="AI290" s="320"/>
      <c r="AJ290" s="320"/>
      <c r="AK290" s="320"/>
      <c r="AL290" s="320"/>
      <c r="AM290" s="320"/>
      <c r="AN290" s="320"/>
      <c r="AO290" s="320"/>
      <c r="AP290" s="320"/>
      <c r="AQ290" s="334">
        <v>3</v>
      </c>
      <c r="AR290" s="334" t="s">
        <v>253</v>
      </c>
      <c r="AS290" s="333">
        <v>285</v>
      </c>
      <c r="AT290" s="331"/>
      <c r="AU290" s="331"/>
      <c r="AV290" s="331"/>
      <c r="AW290" s="331"/>
      <c r="AX290" s="331"/>
      <c r="AY290" s="331"/>
      <c r="AZ290" s="332"/>
      <c r="BA290" s="331"/>
      <c r="BB290" s="331"/>
      <c r="BC290" s="330"/>
      <c r="BD290" s="320"/>
      <c r="BE290" s="320"/>
      <c r="BF290" s="320"/>
      <c r="BG290" s="320"/>
      <c r="BH290" s="320"/>
      <c r="BI290" s="320"/>
      <c r="BJ290" s="320"/>
      <c r="BK290" s="320"/>
      <c r="BL290" s="320"/>
      <c r="BM290" s="320"/>
    </row>
    <row r="291" spans="2:65">
      <c r="B291" s="338">
        <v>3</v>
      </c>
      <c r="C291" s="334" t="s">
        <v>254</v>
      </c>
      <c r="D291" s="333">
        <v>286</v>
      </c>
      <c r="E291" s="331"/>
      <c r="F291" s="331"/>
      <c r="G291" s="331"/>
      <c r="H291" s="331"/>
      <c r="I291" s="331"/>
      <c r="J291" s="331"/>
      <c r="K291" s="337"/>
      <c r="L291" s="336"/>
      <c r="M291" s="335"/>
      <c r="N291" s="320"/>
      <c r="O291" s="320"/>
      <c r="P291" s="320"/>
      <c r="Q291" s="320"/>
      <c r="R291" s="320"/>
      <c r="S291" s="320"/>
      <c r="T291" s="334">
        <v>3</v>
      </c>
      <c r="U291" s="334" t="s">
        <v>254</v>
      </c>
      <c r="V291" s="333">
        <v>286</v>
      </c>
      <c r="W291" s="331"/>
      <c r="X291" s="331"/>
      <c r="Y291" s="331"/>
      <c r="Z291" s="331"/>
      <c r="AA291" s="331"/>
      <c r="AB291" s="331"/>
      <c r="AC291" s="330"/>
      <c r="AD291" s="320"/>
      <c r="AE291" s="320"/>
      <c r="AF291" s="320"/>
      <c r="AG291" s="320"/>
      <c r="AH291" s="320"/>
      <c r="AI291" s="320"/>
      <c r="AJ291" s="320"/>
      <c r="AK291" s="320"/>
      <c r="AL291" s="320"/>
      <c r="AM291" s="320"/>
      <c r="AN291" s="320"/>
      <c r="AO291" s="320"/>
      <c r="AP291" s="320"/>
      <c r="AQ291" s="334">
        <v>3</v>
      </c>
      <c r="AR291" s="334" t="s">
        <v>254</v>
      </c>
      <c r="AS291" s="333">
        <v>286</v>
      </c>
      <c r="AT291" s="331"/>
      <c r="AU291" s="331"/>
      <c r="AV291" s="331"/>
      <c r="AW291" s="331"/>
      <c r="AX291" s="331"/>
      <c r="AY291" s="331"/>
      <c r="AZ291" s="332"/>
      <c r="BA291" s="331"/>
      <c r="BB291" s="331"/>
      <c r="BC291" s="330"/>
      <c r="BD291" s="320"/>
      <c r="BE291" s="320"/>
      <c r="BF291" s="320"/>
      <c r="BG291" s="320"/>
      <c r="BH291" s="320"/>
      <c r="BI291" s="320"/>
      <c r="BJ291" s="320"/>
      <c r="BK291" s="320"/>
      <c r="BL291" s="320"/>
      <c r="BM291" s="320"/>
    </row>
    <row r="292" spans="2:65">
      <c r="B292" s="338">
        <v>3</v>
      </c>
      <c r="C292" s="334" t="s">
        <v>255</v>
      </c>
      <c r="D292" s="333">
        <v>287</v>
      </c>
      <c r="E292" s="331"/>
      <c r="F292" s="331"/>
      <c r="G292" s="331"/>
      <c r="H292" s="331"/>
      <c r="I292" s="331"/>
      <c r="J292" s="331"/>
      <c r="K292" s="337"/>
      <c r="L292" s="336"/>
      <c r="M292" s="335"/>
      <c r="N292" s="320"/>
      <c r="O292" s="320"/>
      <c r="P292" s="320"/>
      <c r="Q292" s="320"/>
      <c r="R292" s="320"/>
      <c r="S292" s="320"/>
      <c r="T292" s="334">
        <v>3</v>
      </c>
      <c r="U292" s="334" t="s">
        <v>255</v>
      </c>
      <c r="V292" s="333">
        <v>287</v>
      </c>
      <c r="W292" s="331"/>
      <c r="X292" s="331"/>
      <c r="Y292" s="331"/>
      <c r="Z292" s="331"/>
      <c r="AA292" s="331"/>
      <c r="AB292" s="331"/>
      <c r="AC292" s="330"/>
      <c r="AD292" s="320"/>
      <c r="AE292" s="320"/>
      <c r="AF292" s="320"/>
      <c r="AG292" s="320"/>
      <c r="AH292" s="320"/>
      <c r="AI292" s="320"/>
      <c r="AJ292" s="320"/>
      <c r="AK292" s="320"/>
      <c r="AL292" s="320"/>
      <c r="AM292" s="320"/>
      <c r="AN292" s="320"/>
      <c r="AO292" s="320"/>
      <c r="AP292" s="320"/>
      <c r="AQ292" s="334">
        <v>3</v>
      </c>
      <c r="AR292" s="334" t="s">
        <v>255</v>
      </c>
      <c r="AS292" s="333">
        <v>287</v>
      </c>
      <c r="AT292" s="331"/>
      <c r="AU292" s="331"/>
      <c r="AV292" s="331"/>
      <c r="AW292" s="331"/>
      <c r="AX292" s="331"/>
      <c r="AY292" s="331"/>
      <c r="AZ292" s="332"/>
      <c r="BA292" s="331"/>
      <c r="BB292" s="331"/>
      <c r="BC292" s="330"/>
      <c r="BD292" s="320"/>
      <c r="BE292" s="320"/>
      <c r="BF292" s="320"/>
      <c r="BG292" s="320"/>
      <c r="BH292" s="320"/>
      <c r="BI292" s="320"/>
      <c r="BJ292" s="320"/>
      <c r="BK292" s="320"/>
      <c r="BL292" s="320"/>
      <c r="BM292" s="320"/>
    </row>
    <row r="293" spans="2:65" ht="15.75" thickBot="1">
      <c r="B293" s="329">
        <v>3</v>
      </c>
      <c r="C293" s="325" t="s">
        <v>256</v>
      </c>
      <c r="D293" s="324">
        <v>288</v>
      </c>
      <c r="E293" s="322"/>
      <c r="F293" s="322"/>
      <c r="G293" s="322"/>
      <c r="H293" s="322"/>
      <c r="I293" s="322"/>
      <c r="J293" s="322"/>
      <c r="K293" s="328"/>
      <c r="L293" s="327"/>
      <c r="M293" s="326"/>
      <c r="N293" s="320"/>
      <c r="O293" s="320"/>
      <c r="P293" s="320"/>
      <c r="Q293" s="320"/>
      <c r="R293" s="320"/>
      <c r="S293" s="320"/>
      <c r="T293" s="325">
        <v>3</v>
      </c>
      <c r="U293" s="325" t="s">
        <v>256</v>
      </c>
      <c r="V293" s="324">
        <v>288</v>
      </c>
      <c r="W293" s="322"/>
      <c r="X293" s="322"/>
      <c r="Y293" s="322"/>
      <c r="Z293" s="322"/>
      <c r="AA293" s="322"/>
      <c r="AB293" s="322"/>
      <c r="AC293" s="321"/>
      <c r="AD293" s="320"/>
      <c r="AE293" s="320"/>
      <c r="AF293" s="320"/>
      <c r="AG293" s="320"/>
      <c r="AH293" s="320"/>
      <c r="AI293" s="320"/>
      <c r="AJ293" s="320"/>
      <c r="AK293" s="320"/>
      <c r="AL293" s="320"/>
      <c r="AM293" s="320"/>
      <c r="AN293" s="320"/>
      <c r="AO293" s="320"/>
      <c r="AP293" s="320"/>
      <c r="AQ293" s="325">
        <v>3</v>
      </c>
      <c r="AR293" s="325" t="s">
        <v>256</v>
      </c>
      <c r="AS293" s="324">
        <v>288</v>
      </c>
      <c r="AT293" s="322"/>
      <c r="AU293" s="322"/>
      <c r="AV293" s="322"/>
      <c r="AW293" s="322"/>
      <c r="AX293" s="322"/>
      <c r="AY293" s="322"/>
      <c r="AZ293" s="323"/>
      <c r="BA293" s="322"/>
      <c r="BB293" s="322"/>
      <c r="BC293" s="321"/>
      <c r="BD293" s="320"/>
      <c r="BE293" s="320"/>
      <c r="BF293" s="320"/>
      <c r="BG293" s="320"/>
      <c r="BH293" s="320"/>
      <c r="BI293" s="320"/>
      <c r="BJ293" s="320"/>
      <c r="BK293" s="320"/>
      <c r="BL293" s="320"/>
      <c r="BM293" s="320"/>
    </row>
    <row r="294" spans="2:65" ht="15.75" thickTop="1">
      <c r="B294" s="320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  <c r="AK294" s="320"/>
      <c r="AL294" s="320"/>
      <c r="AM294" s="320"/>
      <c r="AN294" s="320"/>
      <c r="AO294" s="320"/>
      <c r="AP294" s="320"/>
      <c r="AQ294" s="320"/>
      <c r="AR294" s="320"/>
      <c r="AS294" s="320"/>
      <c r="AT294" s="320"/>
      <c r="AU294" s="320"/>
      <c r="AV294" s="320"/>
      <c r="AW294" s="320"/>
      <c r="AX294" s="320"/>
      <c r="AY294" s="320"/>
      <c r="AZ294" s="320"/>
      <c r="BA294" s="320"/>
      <c r="BB294" s="320"/>
      <c r="BC294" s="320"/>
      <c r="BD294" s="320"/>
      <c r="BE294" s="320"/>
      <c r="BF294" s="320"/>
      <c r="BG294" s="320"/>
      <c r="BH294" s="320"/>
      <c r="BI294" s="320"/>
      <c r="BJ294" s="320"/>
      <c r="BK294" s="320"/>
      <c r="BL294" s="320"/>
      <c r="BM294" s="320"/>
    </row>
    <row r="295" spans="2:65">
      <c r="B295" s="320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  <c r="AA295" s="320"/>
      <c r="AB295" s="320"/>
      <c r="AC295" s="320"/>
      <c r="AD295" s="320"/>
      <c r="AE295" s="320"/>
      <c r="AF295" s="320"/>
      <c r="AG295" s="320"/>
      <c r="AH295" s="320"/>
      <c r="AI295" s="320"/>
      <c r="AJ295" s="320"/>
      <c r="AK295" s="320"/>
      <c r="AL295" s="320"/>
      <c r="AM295" s="320"/>
      <c r="AN295" s="320"/>
      <c r="AO295" s="320"/>
      <c r="AP295" s="320"/>
      <c r="AQ295" s="320"/>
      <c r="AR295" s="320"/>
      <c r="AS295" s="320"/>
      <c r="AT295" s="320"/>
      <c r="AU295" s="320"/>
      <c r="AV295" s="320"/>
      <c r="AW295" s="320"/>
      <c r="AX295" s="320"/>
      <c r="AY295" s="320"/>
      <c r="AZ295" s="320"/>
      <c r="BA295" s="320"/>
      <c r="BB295" s="320"/>
      <c r="BC295" s="320"/>
      <c r="BD295" s="320"/>
      <c r="BE295" s="320"/>
      <c r="BF295" s="320"/>
      <c r="BG295" s="320"/>
      <c r="BH295" s="320"/>
      <c r="BI295" s="320"/>
      <c r="BJ295" s="320"/>
      <c r="BK295" s="320"/>
      <c r="BL295" s="320"/>
      <c r="BM295" s="320"/>
    </row>
    <row r="296" spans="2:65">
      <c r="B296" s="320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  <c r="AK296" s="320"/>
      <c r="AL296" s="320"/>
      <c r="AM296" s="320"/>
      <c r="AN296" s="320"/>
      <c r="AO296" s="320"/>
      <c r="AP296" s="320"/>
      <c r="AQ296" s="320"/>
      <c r="AR296" s="320"/>
      <c r="AS296" s="320"/>
      <c r="AT296" s="320"/>
      <c r="AU296" s="320"/>
      <c r="AV296" s="320"/>
      <c r="AW296" s="320"/>
      <c r="AX296" s="320"/>
      <c r="AY296" s="320"/>
      <c r="AZ296" s="320"/>
      <c r="BA296" s="320"/>
      <c r="BB296" s="320"/>
      <c r="BC296" s="320"/>
      <c r="BD296" s="320"/>
      <c r="BE296" s="320"/>
      <c r="BF296" s="320"/>
      <c r="BG296" s="320"/>
      <c r="BH296" s="320"/>
      <c r="BI296" s="320"/>
      <c r="BJ296" s="320"/>
      <c r="BK296" s="320"/>
      <c r="BL296" s="320"/>
      <c r="BM296" s="320"/>
    </row>
    <row r="297" spans="2:65">
      <c r="B297" s="320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  <c r="AA297" s="320"/>
      <c r="AB297" s="320"/>
      <c r="AC297" s="320"/>
      <c r="AD297" s="320"/>
      <c r="AE297" s="320"/>
      <c r="AF297" s="320"/>
      <c r="AG297" s="320"/>
      <c r="AH297" s="320"/>
      <c r="AI297" s="320"/>
      <c r="AJ297" s="320"/>
      <c r="AK297" s="320"/>
      <c r="AL297" s="320"/>
      <c r="AM297" s="320"/>
      <c r="AN297" s="320"/>
      <c r="AO297" s="320"/>
      <c r="AP297" s="320"/>
      <c r="AQ297" s="320"/>
      <c r="AR297" s="320"/>
      <c r="AS297" s="320"/>
      <c r="AT297" s="320"/>
      <c r="AU297" s="320"/>
      <c r="AV297" s="320"/>
      <c r="AW297" s="320"/>
      <c r="AX297" s="320"/>
      <c r="AY297" s="320"/>
      <c r="AZ297" s="320"/>
      <c r="BA297" s="320"/>
      <c r="BB297" s="320"/>
      <c r="BC297" s="320"/>
      <c r="BD297" s="320"/>
      <c r="BE297" s="320"/>
      <c r="BF297" s="320"/>
      <c r="BG297" s="320"/>
      <c r="BH297" s="320"/>
      <c r="BI297" s="320"/>
      <c r="BJ297" s="320"/>
      <c r="BK297" s="320"/>
      <c r="BL297" s="320"/>
      <c r="BM297" s="320"/>
    </row>
  </sheetData>
  <customSheetViews>
    <customSheetView guid="{A4BD9991-0908-4EDC-898A-8A5DE615ED00}" scale="70" hiddenColumns="1">
      <selection activeCell="AH15" sqref="AH15"/>
      <pageMargins left="0.7" right="0.7" top="0.75" bottom="0.75" header="0.3" footer="0.3"/>
    </customSheetView>
  </customSheetViews>
  <mergeCells count="3">
    <mergeCell ref="B2:H3"/>
    <mergeCell ref="K2:M3"/>
    <mergeCell ref="T2:AM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1D28-5C51-4836-B2DE-57AEACE50479}">
  <sheetPr codeName="Sheet11">
    <tabColor rgb="FFFF99FF"/>
    <pageSetUpPr fitToPage="1"/>
  </sheetPr>
  <dimension ref="A1:BK1302"/>
  <sheetViews>
    <sheetView topLeftCell="A4" zoomScale="70" zoomScaleNormal="70" zoomScaleSheetLayoutView="75" workbookViewId="0">
      <selection activeCell="F31" sqref="F31"/>
    </sheetView>
  </sheetViews>
  <sheetFormatPr defaultColWidth="9.140625" defaultRowHeight="15" outlineLevelRow="1" outlineLevelCol="1"/>
  <cols>
    <col min="1" max="1" width="11.42578125" customWidth="1" outlineLevel="1"/>
    <col min="2" max="2" width="13.42578125" customWidth="1" outlineLevel="1"/>
    <col min="3" max="3" width="13.5703125" customWidth="1" outlineLevel="1"/>
    <col min="4" max="4" width="13.140625" customWidth="1" outlineLevel="1"/>
    <col min="5" max="5" width="12.85546875" customWidth="1" outlineLevel="1"/>
    <col min="6" max="6" width="13.42578125" customWidth="1" outlineLevel="1"/>
    <col min="7" max="8" width="12.85546875" customWidth="1" outlineLevel="1"/>
    <col min="9" max="9" width="13" customWidth="1" outlineLevel="1"/>
    <col min="10" max="10" width="12.140625" customWidth="1" outlineLevel="1"/>
    <col min="11" max="13" width="13.42578125" customWidth="1" outlineLevel="1"/>
    <col min="14" max="14" width="13" customWidth="1" outlineLevel="1"/>
    <col min="15" max="15" width="12.85546875" customWidth="1" outlineLevel="1"/>
    <col min="16" max="16" width="12.5703125" customWidth="1" outlineLevel="1"/>
    <col min="17" max="17" width="13.140625" customWidth="1" outlineLevel="1"/>
    <col min="18" max="18" width="13" customWidth="1" outlineLevel="1"/>
    <col min="19" max="19" width="13.140625" customWidth="1" outlineLevel="1"/>
    <col min="20" max="20" width="12.85546875" customWidth="1" outlineLevel="1"/>
    <col min="21" max="21" width="13.140625" customWidth="1" outlineLevel="1"/>
    <col min="22" max="22" width="12.85546875" customWidth="1" outlineLevel="1"/>
    <col min="23" max="23" width="13.140625" customWidth="1" outlineLevel="1"/>
    <col min="24" max="24" width="13" customWidth="1" outlineLevel="1"/>
    <col min="25" max="27" width="12.85546875" customWidth="1" outlineLevel="1"/>
    <col min="28" max="28" width="12.85546875" customWidth="1"/>
    <col min="30" max="30" width="10.28515625" bestFit="1" customWidth="1" outlineLevel="1"/>
    <col min="31" max="43" width="9.140625" outlineLevel="1"/>
    <col min="44" max="44" width="12.85546875" customWidth="1" outlineLevel="1"/>
    <col min="46" max="46" width="7.85546875" customWidth="1" outlineLevel="1"/>
    <col min="47" max="47" width="15.85546875" customWidth="1" outlineLevel="1"/>
    <col min="48" max="48" width="12.28515625" customWidth="1" outlineLevel="1"/>
    <col min="49" max="49" width="15.28515625" customWidth="1" outlineLevel="1"/>
    <col min="50" max="50" width="11.28515625" customWidth="1" outlineLevel="1"/>
    <col min="51" max="51" width="11" customWidth="1" outlineLevel="1"/>
    <col min="52" max="52" width="10.5703125" customWidth="1" outlineLevel="1"/>
    <col min="53" max="53" width="15.85546875" customWidth="1" outlineLevel="1"/>
    <col min="54" max="54" width="7.85546875" customWidth="1" outlineLevel="1"/>
    <col min="55" max="55" width="15.28515625" customWidth="1" outlineLevel="1"/>
    <col min="56" max="56" width="9.5703125" customWidth="1" outlineLevel="1"/>
    <col min="57" max="57" width="8.28515625" bestFit="1" customWidth="1"/>
    <col min="58" max="63" width="9.140625" customWidth="1" outlineLevel="1"/>
  </cols>
  <sheetData>
    <row r="1" spans="1:63" ht="89.25" customHeight="1">
      <c r="A1" s="812" t="s">
        <v>258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21"/>
    </row>
    <row r="2" spans="1:63" ht="8.25" customHeight="1" thickBot="1"/>
    <row r="3" spans="1:63" ht="15.75" outlineLevel="1" thickBot="1">
      <c r="A3" s="813" t="s">
        <v>2659</v>
      </c>
      <c r="B3" s="814"/>
      <c r="C3" s="814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815"/>
      <c r="S3" s="815"/>
      <c r="T3" s="815"/>
      <c r="U3" s="815"/>
      <c r="V3" s="815"/>
      <c r="W3" s="815"/>
      <c r="X3" s="815"/>
      <c r="Y3" s="815"/>
      <c r="Z3" s="815"/>
      <c r="AA3" s="816"/>
      <c r="AB3" s="643"/>
      <c r="AD3" s="806" t="s">
        <v>5980</v>
      </c>
      <c r="AE3" s="807"/>
      <c r="AF3" s="807"/>
      <c r="AG3" s="807"/>
      <c r="AH3" s="807"/>
      <c r="AI3" s="807"/>
      <c r="AJ3" s="807"/>
      <c r="AK3" s="807"/>
      <c r="AL3" s="807"/>
      <c r="AM3" s="807"/>
      <c r="AN3" s="807"/>
      <c r="AO3" s="807"/>
      <c r="AP3" s="808"/>
      <c r="AR3" s="319" t="s">
        <v>1057</v>
      </c>
      <c r="AU3" s="820" t="s">
        <v>969</v>
      </c>
      <c r="AV3" s="820"/>
      <c r="AW3" s="820"/>
      <c r="AX3" s="820"/>
      <c r="AY3" s="820"/>
      <c r="AZ3" s="820"/>
      <c r="BA3" s="820"/>
      <c r="BB3" s="820"/>
      <c r="BC3" s="820"/>
      <c r="BD3" s="820"/>
      <c r="BF3" s="817" t="s">
        <v>1019</v>
      </c>
      <c r="BG3" s="818"/>
      <c r="BH3" s="818"/>
      <c r="BI3" s="818"/>
      <c r="BJ3" s="818"/>
      <c r="BK3" s="819"/>
    </row>
    <row r="4" spans="1:63" outlineLevel="1">
      <c r="A4" s="230" t="s">
        <v>162</v>
      </c>
      <c r="B4" s="2" t="s">
        <v>318</v>
      </c>
      <c r="C4" s="217" t="s">
        <v>319</v>
      </c>
      <c r="D4" s="218" t="s">
        <v>163</v>
      </c>
      <c r="E4" s="219" t="s">
        <v>164</v>
      </c>
      <c r="F4" s="219" t="s">
        <v>165</v>
      </c>
      <c r="G4" s="219" t="s">
        <v>166</v>
      </c>
      <c r="H4" s="219" t="s">
        <v>189</v>
      </c>
      <c r="I4" s="219" t="s">
        <v>190</v>
      </c>
      <c r="J4" s="219" t="s">
        <v>167</v>
      </c>
      <c r="K4" s="219" t="s">
        <v>168</v>
      </c>
      <c r="L4" s="219" t="s">
        <v>169</v>
      </c>
      <c r="M4" s="219" t="s">
        <v>170</v>
      </c>
      <c r="N4" s="219" t="s">
        <v>171</v>
      </c>
      <c r="O4" s="220" t="s">
        <v>172</v>
      </c>
      <c r="P4" s="224" t="s">
        <v>201</v>
      </c>
      <c r="Q4" s="225" t="s">
        <v>202</v>
      </c>
      <c r="R4" s="225" t="s">
        <v>203</v>
      </c>
      <c r="S4" s="225" t="s">
        <v>204</v>
      </c>
      <c r="T4" s="225" t="s">
        <v>205</v>
      </c>
      <c r="U4" s="225" t="s">
        <v>206</v>
      </c>
      <c r="V4" s="225" t="s">
        <v>207</v>
      </c>
      <c r="W4" s="225" t="s">
        <v>208</v>
      </c>
      <c r="X4" s="225" t="s">
        <v>209</v>
      </c>
      <c r="Y4" s="225" t="s">
        <v>210</v>
      </c>
      <c r="Z4" s="225" t="s">
        <v>211</v>
      </c>
      <c r="AA4" s="226" t="s">
        <v>212</v>
      </c>
      <c r="AB4" s="642"/>
      <c r="AD4" s="809"/>
      <c r="AE4" s="810"/>
      <c r="AF4" s="810"/>
      <c r="AG4" s="810"/>
      <c r="AH4" s="810"/>
      <c r="AI4" s="810"/>
      <c r="AJ4" s="810"/>
      <c r="AK4" s="810"/>
      <c r="AL4" s="810"/>
      <c r="AM4" s="810"/>
      <c r="AN4" s="810"/>
      <c r="AO4" s="810"/>
      <c r="AP4" s="811"/>
      <c r="AR4" s="317" t="s">
        <v>925</v>
      </c>
      <c r="AU4" s="821" t="s">
        <v>263</v>
      </c>
      <c r="AV4" s="821"/>
      <c r="AW4" s="821"/>
      <c r="AX4" s="821"/>
      <c r="AY4" s="821"/>
      <c r="AZ4" s="821"/>
      <c r="BA4" s="821"/>
      <c r="BB4" s="821"/>
      <c r="BC4" s="821"/>
      <c r="BD4" s="821"/>
      <c r="BF4" s="1" t="s">
        <v>970</v>
      </c>
      <c r="BG4" s="1"/>
      <c r="BH4" s="1"/>
      <c r="BI4" s="1" t="s">
        <v>973</v>
      </c>
      <c r="BJ4" s="1" t="s">
        <v>1020</v>
      </c>
      <c r="BK4" s="636" t="s">
        <v>1021</v>
      </c>
    </row>
    <row r="5" spans="1:63" ht="15" customHeight="1" outlineLevel="1" thickBot="1">
      <c r="A5" s="230"/>
      <c r="B5" s="2"/>
      <c r="C5" s="217"/>
      <c r="D5" s="221" t="s">
        <v>138</v>
      </c>
      <c r="E5" s="222" t="s">
        <v>139</v>
      </c>
      <c r="F5" s="222" t="s">
        <v>140</v>
      </c>
      <c r="G5" s="222" t="s">
        <v>141</v>
      </c>
      <c r="H5" s="222" t="s">
        <v>142</v>
      </c>
      <c r="I5" s="222" t="s">
        <v>143</v>
      </c>
      <c r="J5" s="222" t="s">
        <v>144</v>
      </c>
      <c r="K5" s="222" t="s">
        <v>145</v>
      </c>
      <c r="L5" s="222" t="s">
        <v>146</v>
      </c>
      <c r="M5" s="222" t="s">
        <v>147</v>
      </c>
      <c r="N5" s="222" t="s">
        <v>148</v>
      </c>
      <c r="O5" s="223" t="s">
        <v>149</v>
      </c>
      <c r="P5" s="227" t="s">
        <v>150</v>
      </c>
      <c r="Q5" s="228" t="s">
        <v>151</v>
      </c>
      <c r="R5" s="228" t="s">
        <v>152</v>
      </c>
      <c r="S5" s="228" t="s">
        <v>153</v>
      </c>
      <c r="T5" s="228" t="s">
        <v>154</v>
      </c>
      <c r="U5" s="228" t="s">
        <v>155</v>
      </c>
      <c r="V5" s="228" t="s">
        <v>156</v>
      </c>
      <c r="W5" s="228" t="s">
        <v>157</v>
      </c>
      <c r="X5" s="228" t="s">
        <v>158</v>
      </c>
      <c r="Y5" s="228" t="s">
        <v>159</v>
      </c>
      <c r="Z5" s="228" t="s">
        <v>108</v>
      </c>
      <c r="AA5" s="229" t="s">
        <v>109</v>
      </c>
      <c r="AD5" s="300" t="s">
        <v>967</v>
      </c>
      <c r="AE5" s="303">
        <v>1</v>
      </c>
      <c r="AF5" s="303">
        <v>2</v>
      </c>
      <c r="AG5" s="303">
        <v>3</v>
      </c>
      <c r="AH5" s="303">
        <v>4</v>
      </c>
      <c r="AI5" s="303">
        <v>5</v>
      </c>
      <c r="AJ5" s="303">
        <v>6</v>
      </c>
      <c r="AK5" s="303">
        <v>7</v>
      </c>
      <c r="AL5" s="303">
        <v>8</v>
      </c>
      <c r="AM5" s="303">
        <v>9</v>
      </c>
      <c r="AN5" s="303">
        <v>10</v>
      </c>
      <c r="AO5" s="303">
        <v>11</v>
      </c>
      <c r="AP5" s="303">
        <v>12</v>
      </c>
      <c r="AR5" s="317" t="s">
        <v>926</v>
      </c>
      <c r="AU5" s="1" t="s">
        <v>970</v>
      </c>
      <c r="AV5" s="1" t="s">
        <v>971</v>
      </c>
      <c r="AW5" s="1" t="s">
        <v>972</v>
      </c>
      <c r="AX5" s="1"/>
      <c r="AY5" s="1"/>
      <c r="AZ5" s="1"/>
      <c r="BA5" s="1"/>
      <c r="BB5" s="1" t="s">
        <v>973</v>
      </c>
      <c r="BC5" s="1" t="s">
        <v>971</v>
      </c>
      <c r="BD5" s="1" t="s">
        <v>974</v>
      </c>
      <c r="BF5" s="39" t="s">
        <v>309</v>
      </c>
      <c r="BG5" s="39" t="s">
        <v>310</v>
      </c>
      <c r="BH5" s="37" t="s">
        <v>977</v>
      </c>
      <c r="BI5" s="37" t="s">
        <v>978</v>
      </c>
      <c r="BJ5" s="37" t="s">
        <v>918</v>
      </c>
      <c r="BK5" s="309"/>
    </row>
    <row r="6" spans="1:63" ht="28.5" customHeight="1" outlineLevel="1" thickBot="1">
      <c r="A6" s="231" t="s">
        <v>918</v>
      </c>
      <c r="B6" s="206"/>
      <c r="C6" s="206"/>
      <c r="D6" s="651" t="s">
        <v>28</v>
      </c>
      <c r="E6" s="651" t="s">
        <v>688</v>
      </c>
      <c r="F6" s="651" t="s">
        <v>919</v>
      </c>
      <c r="G6" s="651" t="s">
        <v>16</v>
      </c>
      <c r="H6" s="651"/>
      <c r="I6" s="651"/>
      <c r="J6" s="651"/>
      <c r="K6" s="651"/>
      <c r="L6" s="651" t="s">
        <v>704</v>
      </c>
      <c r="M6" s="651" t="s">
        <v>1037</v>
      </c>
      <c r="N6" s="651" t="s">
        <v>920</v>
      </c>
      <c r="O6" s="311" t="s">
        <v>921</v>
      </c>
      <c r="P6" s="651" t="s">
        <v>1038</v>
      </c>
      <c r="Q6" s="651"/>
      <c r="R6" s="651" t="s">
        <v>922</v>
      </c>
      <c r="S6" s="651" t="s">
        <v>734</v>
      </c>
      <c r="T6" s="651"/>
      <c r="U6" s="651" t="s">
        <v>1039</v>
      </c>
      <c r="V6" s="651"/>
      <c r="W6" s="651"/>
      <c r="X6" s="651" t="s">
        <v>923</v>
      </c>
      <c r="Y6" s="651" t="s">
        <v>20</v>
      </c>
      <c r="Z6" s="651"/>
      <c r="AA6" s="650"/>
      <c r="AD6" s="300" t="s">
        <v>924</v>
      </c>
      <c r="AE6" s="8"/>
      <c r="AF6" s="1"/>
      <c r="AG6" s="8"/>
      <c r="AH6" s="7"/>
      <c r="AI6" s="8"/>
      <c r="AJ6" s="7"/>
      <c r="AK6" s="307"/>
      <c r="AL6" s="308"/>
      <c r="AM6" s="307"/>
      <c r="AN6" s="308"/>
      <c r="AO6" s="307"/>
      <c r="AP6" s="308"/>
      <c r="AR6" s="317" t="s">
        <v>927</v>
      </c>
      <c r="AU6" s="39" t="s">
        <v>309</v>
      </c>
      <c r="AV6" s="39" t="s">
        <v>310</v>
      </c>
      <c r="AW6" s="822" t="s">
        <v>229</v>
      </c>
      <c r="AX6" s="822"/>
      <c r="AY6" s="39" t="s">
        <v>975</v>
      </c>
      <c r="AZ6" s="39" t="s">
        <v>309</v>
      </c>
      <c r="BA6" s="39" t="s">
        <v>310</v>
      </c>
      <c r="BB6" s="823" t="s">
        <v>230</v>
      </c>
      <c r="BC6" s="824"/>
      <c r="BD6" s="39" t="s">
        <v>975</v>
      </c>
      <c r="BF6" s="1"/>
      <c r="BG6" s="1"/>
      <c r="BH6" s="1">
        <v>1</v>
      </c>
      <c r="BI6" s="1" t="s">
        <v>580</v>
      </c>
      <c r="BJ6" s="1"/>
      <c r="BK6" s="1"/>
    </row>
    <row r="7" spans="1:63" ht="15" customHeight="1" outlineLevel="1">
      <c r="A7" s="207" t="s">
        <v>173</v>
      </c>
      <c r="B7" s="208" t="s">
        <v>75</v>
      </c>
      <c r="C7" s="290" t="s">
        <v>333</v>
      </c>
      <c r="D7" s="715"/>
      <c r="E7" s="716"/>
      <c r="F7" s="716"/>
      <c r="G7" s="716"/>
      <c r="H7" s="716"/>
      <c r="I7" s="716"/>
      <c r="J7" s="716"/>
      <c r="K7" s="716"/>
      <c r="L7" s="716"/>
      <c r="M7" s="716"/>
      <c r="N7" s="716"/>
      <c r="O7" s="717"/>
      <c r="P7" s="718"/>
      <c r="Q7" s="719"/>
      <c r="R7" s="719"/>
      <c r="S7" s="188"/>
      <c r="T7" s="188"/>
      <c r="U7" s="188"/>
      <c r="V7" s="188"/>
      <c r="W7" s="188"/>
      <c r="X7" s="188"/>
      <c r="Y7" s="188"/>
      <c r="Z7" s="188"/>
      <c r="AA7" s="189"/>
      <c r="AB7" s="638"/>
      <c r="AD7" s="300" t="s">
        <v>937</v>
      </c>
      <c r="AE7" s="8"/>
      <c r="AF7" s="1"/>
      <c r="AG7" s="8"/>
      <c r="AH7" s="7"/>
      <c r="AI7" s="8"/>
      <c r="AJ7" s="7"/>
      <c r="AK7" s="307"/>
      <c r="AL7" s="308"/>
      <c r="AM7" s="307"/>
      <c r="AN7" s="308"/>
      <c r="AO7" s="307"/>
      <c r="AP7" s="308"/>
      <c r="AR7" s="317" t="s">
        <v>928</v>
      </c>
      <c r="AT7" s="12"/>
      <c r="AU7" s="1"/>
      <c r="AV7" s="1"/>
      <c r="AW7" s="37" t="s">
        <v>213</v>
      </c>
      <c r="AX7" s="37" t="s">
        <v>214</v>
      </c>
      <c r="AY7" s="1"/>
      <c r="AZ7" s="1"/>
      <c r="BA7" s="1"/>
      <c r="BB7" s="37" t="s">
        <v>213</v>
      </c>
      <c r="BC7" s="37" t="s">
        <v>214</v>
      </c>
      <c r="BD7" s="1"/>
      <c r="BF7" s="1"/>
      <c r="BG7" s="1"/>
      <c r="BH7" s="7">
        <v>2</v>
      </c>
      <c r="BI7" s="7" t="s">
        <v>586</v>
      </c>
      <c r="BJ7" s="7" t="s">
        <v>860</v>
      </c>
      <c r="BK7" s="1"/>
    </row>
    <row r="8" spans="1:63" outlineLevel="1">
      <c r="A8" s="209" t="s">
        <v>174</v>
      </c>
      <c r="B8" s="83" t="s">
        <v>76</v>
      </c>
      <c r="C8" s="202" t="s">
        <v>342</v>
      </c>
      <c r="D8" s="720"/>
      <c r="E8" s="721"/>
      <c r="F8" s="721"/>
      <c r="G8" s="721"/>
      <c r="H8" s="721"/>
      <c r="I8" s="294"/>
      <c r="J8" s="721"/>
      <c r="K8" s="294"/>
      <c r="L8" s="721"/>
      <c r="M8" s="721"/>
      <c r="N8" s="721"/>
      <c r="O8" s="295"/>
      <c r="P8" s="722"/>
      <c r="Q8" s="723"/>
      <c r="R8" s="723"/>
      <c r="S8" s="723"/>
      <c r="T8" s="723"/>
      <c r="U8" s="723"/>
      <c r="V8" s="723"/>
      <c r="W8" s="723"/>
      <c r="X8" s="723"/>
      <c r="Y8" s="723"/>
      <c r="Z8" s="723"/>
      <c r="AA8" s="724"/>
      <c r="AB8" s="649"/>
      <c r="AD8" s="300" t="s">
        <v>950</v>
      </c>
      <c r="AE8" s="8"/>
      <c r="AF8" s="1"/>
      <c r="AG8" s="8"/>
      <c r="AH8" s="7"/>
      <c r="AI8" s="8"/>
      <c r="AJ8" s="308"/>
      <c r="AK8" s="307"/>
      <c r="AL8" s="308"/>
      <c r="AM8" s="307"/>
      <c r="AN8" s="308"/>
      <c r="AO8" s="307"/>
      <c r="AP8" s="308"/>
      <c r="AR8" s="317" t="s">
        <v>929</v>
      </c>
      <c r="AU8" s="1"/>
      <c r="AV8" s="1"/>
      <c r="AW8" s="37">
        <v>2</v>
      </c>
      <c r="AX8" s="38" t="s">
        <v>0</v>
      </c>
      <c r="AY8" s="140" t="s">
        <v>860</v>
      </c>
      <c r="AZ8" s="1"/>
      <c r="BA8" s="1"/>
      <c r="BB8" s="37">
        <v>1</v>
      </c>
      <c r="BC8" s="38" t="s">
        <v>216</v>
      </c>
      <c r="BD8" s="1"/>
      <c r="BF8" s="1"/>
      <c r="BG8" s="1"/>
      <c r="BH8" s="1">
        <v>3</v>
      </c>
      <c r="BI8" s="1" t="s">
        <v>581</v>
      </c>
      <c r="BJ8" s="1"/>
      <c r="BK8" s="1"/>
    </row>
    <row r="9" spans="1:63" outlineLevel="1">
      <c r="A9" s="209" t="s">
        <v>175</v>
      </c>
      <c r="B9" s="83" t="s">
        <v>77</v>
      </c>
      <c r="C9" s="202" t="s">
        <v>351</v>
      </c>
      <c r="D9" s="720"/>
      <c r="E9" s="721"/>
      <c r="F9" s="721"/>
      <c r="G9" s="721"/>
      <c r="H9" s="721"/>
      <c r="I9" s="721"/>
      <c r="J9" s="721"/>
      <c r="K9" s="721"/>
      <c r="L9" s="294"/>
      <c r="M9" s="721"/>
      <c r="N9" s="721"/>
      <c r="O9" s="295"/>
      <c r="P9" s="722"/>
      <c r="Q9" s="723"/>
      <c r="R9" s="723"/>
      <c r="S9" s="145"/>
      <c r="T9" s="145"/>
      <c r="U9" s="145"/>
      <c r="V9" s="145"/>
      <c r="W9" s="145"/>
      <c r="X9" s="145"/>
      <c r="Y9" s="145"/>
      <c r="Z9" s="145"/>
      <c r="AA9" s="190"/>
      <c r="AB9" s="638"/>
      <c r="AD9" s="300" t="s">
        <v>951</v>
      </c>
      <c r="AE9" s="8"/>
      <c r="AF9" s="1"/>
      <c r="AG9" s="8"/>
      <c r="AH9" s="7"/>
      <c r="AI9" s="8"/>
      <c r="AJ9" s="308"/>
      <c r="AK9" s="307"/>
      <c r="AL9" s="308"/>
      <c r="AM9" s="307"/>
      <c r="AN9" s="308"/>
      <c r="AO9" s="307"/>
      <c r="AP9" s="308"/>
      <c r="AR9" s="317" t="s">
        <v>930</v>
      </c>
      <c r="AU9" s="36"/>
      <c r="AV9" s="1"/>
      <c r="AW9" s="37">
        <v>4</v>
      </c>
      <c r="AX9" s="38" t="s">
        <v>2</v>
      </c>
      <c r="AY9" s="1"/>
      <c r="AZ9" s="1"/>
      <c r="BA9" s="1"/>
      <c r="BB9" s="37">
        <v>3</v>
      </c>
      <c r="BC9" s="38" t="s">
        <v>1</v>
      </c>
      <c r="BD9" s="1"/>
      <c r="BF9" s="1"/>
      <c r="BG9" s="1"/>
      <c r="BH9" s="1">
        <v>4</v>
      </c>
      <c r="BI9" s="1" t="s">
        <v>587</v>
      </c>
      <c r="BJ9" s="1"/>
      <c r="BK9" s="1"/>
    </row>
    <row r="10" spans="1:63" outlineLevel="1">
      <c r="A10" s="209" t="s">
        <v>176</v>
      </c>
      <c r="B10" s="144" t="s">
        <v>78</v>
      </c>
      <c r="C10" s="202" t="s">
        <v>360</v>
      </c>
      <c r="D10" s="142"/>
      <c r="E10" s="13"/>
      <c r="F10" s="721"/>
      <c r="G10" s="721"/>
      <c r="H10" s="721"/>
      <c r="I10" s="13"/>
      <c r="J10" s="721"/>
      <c r="K10" s="721"/>
      <c r="L10" s="721"/>
      <c r="M10" s="13"/>
      <c r="N10" s="13"/>
      <c r="O10" s="175"/>
      <c r="P10" s="648"/>
      <c r="Q10" s="647"/>
      <c r="R10" s="647"/>
      <c r="S10" s="647"/>
      <c r="T10" s="647"/>
      <c r="U10" s="647"/>
      <c r="V10" s="647"/>
      <c r="W10" s="647"/>
      <c r="X10" s="647"/>
      <c r="Y10" s="647"/>
      <c r="Z10" s="647"/>
      <c r="AA10" s="646"/>
      <c r="AD10" s="300" t="s">
        <v>952</v>
      </c>
      <c r="AE10" s="8"/>
      <c r="AF10" s="1"/>
      <c r="AG10" s="8"/>
      <c r="AH10" s="7"/>
      <c r="AI10" s="8"/>
      <c r="AJ10" s="308"/>
      <c r="AK10" s="307"/>
      <c r="AL10" s="308"/>
      <c r="AM10" s="307"/>
      <c r="AN10" s="308"/>
      <c r="AO10" s="307"/>
      <c r="AP10" s="637"/>
      <c r="AR10" s="317" t="s">
        <v>931</v>
      </c>
      <c r="AT10" s="11"/>
      <c r="AU10" s="1"/>
      <c r="AV10" s="1"/>
      <c r="AW10" s="37">
        <v>5</v>
      </c>
      <c r="AX10" s="38" t="s">
        <v>3</v>
      </c>
      <c r="AY10" s="140" t="s">
        <v>640</v>
      </c>
      <c r="AZ10" s="1"/>
      <c r="BA10" s="1"/>
      <c r="BB10" s="37">
        <v>8</v>
      </c>
      <c r="BC10" s="38" t="s">
        <v>6</v>
      </c>
      <c r="BD10" s="1"/>
      <c r="BF10" s="1"/>
      <c r="BG10" s="1"/>
      <c r="BH10" s="7">
        <v>5</v>
      </c>
      <c r="BI10" s="7" t="s">
        <v>588</v>
      </c>
      <c r="BJ10" s="7" t="s">
        <v>640</v>
      </c>
      <c r="BK10" s="1"/>
    </row>
    <row r="11" spans="1:63" ht="15" customHeight="1" outlineLevel="1">
      <c r="A11" s="209" t="s">
        <v>177</v>
      </c>
      <c r="B11" s="144" t="s">
        <v>79</v>
      </c>
      <c r="C11" s="202" t="s">
        <v>369</v>
      </c>
      <c r="D11" s="296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8"/>
      <c r="P11" s="191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92"/>
      <c r="AB11" s="645"/>
      <c r="AD11" s="300" t="s">
        <v>953</v>
      </c>
      <c r="AE11" s="8"/>
      <c r="AF11" s="1"/>
      <c r="AG11" s="8"/>
      <c r="AH11" s="7"/>
      <c r="AI11" s="8"/>
      <c r="AJ11" s="308"/>
      <c r="AK11" s="307"/>
      <c r="AL11" s="308"/>
      <c r="AM11" s="307"/>
      <c r="AN11" s="308"/>
      <c r="AO11" s="307"/>
      <c r="AP11" s="637"/>
      <c r="AR11" s="317" t="s">
        <v>932</v>
      </c>
      <c r="AU11" s="1"/>
      <c r="AV11" s="1"/>
      <c r="AW11" s="37">
        <v>6</v>
      </c>
      <c r="AX11" s="38" t="s">
        <v>4</v>
      </c>
      <c r="AY11" s="140" t="s">
        <v>912</v>
      </c>
      <c r="AZ11" s="1"/>
      <c r="BA11" s="1"/>
      <c r="BB11" s="37">
        <v>9</v>
      </c>
      <c r="BC11" s="38" t="s">
        <v>7</v>
      </c>
      <c r="BD11" s="1"/>
      <c r="BF11" s="1"/>
      <c r="BG11" s="1"/>
      <c r="BH11" s="7">
        <v>6</v>
      </c>
      <c r="BI11" s="7" t="s">
        <v>589</v>
      </c>
      <c r="BJ11" s="7" t="s">
        <v>912</v>
      </c>
      <c r="BK11" s="1"/>
    </row>
    <row r="12" spans="1:63" outlineLevel="1">
      <c r="A12" s="209" t="s">
        <v>178</v>
      </c>
      <c r="B12" s="83" t="s">
        <v>80</v>
      </c>
      <c r="C12" s="202" t="s">
        <v>378</v>
      </c>
      <c r="D12" s="725"/>
      <c r="E12" s="726"/>
      <c r="F12" s="726"/>
      <c r="G12" s="726"/>
      <c r="H12" s="726"/>
      <c r="I12" s="726"/>
      <c r="J12" s="726"/>
      <c r="K12" s="726"/>
      <c r="L12" s="299"/>
      <c r="M12" s="25"/>
      <c r="N12" s="25"/>
      <c r="O12" s="176"/>
      <c r="P12" s="191"/>
      <c r="Q12" s="727"/>
      <c r="R12" s="727"/>
      <c r="S12" s="143"/>
      <c r="T12" s="143"/>
      <c r="U12" s="143"/>
      <c r="V12" s="143"/>
      <c r="W12" s="143"/>
      <c r="X12" s="143"/>
      <c r="Y12" s="143"/>
      <c r="Z12" s="143"/>
      <c r="AA12" s="192"/>
      <c r="AB12" s="638"/>
      <c r="AD12" s="300" t="s">
        <v>954</v>
      </c>
      <c r="AE12" s="8"/>
      <c r="AF12" s="1"/>
      <c r="AG12" s="8"/>
      <c r="AH12" s="7"/>
      <c r="AI12" s="8"/>
      <c r="AJ12" s="308"/>
      <c r="AK12" s="307"/>
      <c r="AL12" s="308"/>
      <c r="AM12" s="307"/>
      <c r="AN12" s="308"/>
      <c r="AO12" s="307"/>
      <c r="AP12" s="1"/>
      <c r="AR12" s="317" t="s">
        <v>933</v>
      </c>
      <c r="AU12" s="1"/>
      <c r="AV12" s="1"/>
      <c r="AW12" s="37">
        <v>7</v>
      </c>
      <c r="AX12" s="38" t="s">
        <v>5</v>
      </c>
      <c r="AY12" s="140" t="s">
        <v>664</v>
      </c>
      <c r="AZ12" s="1"/>
      <c r="BA12" s="1"/>
      <c r="BB12" s="37">
        <v>10</v>
      </c>
      <c r="BC12" s="38" t="s">
        <v>8</v>
      </c>
      <c r="BD12" s="1"/>
      <c r="BF12" s="1"/>
      <c r="BG12" s="1"/>
      <c r="BH12" s="7">
        <v>7</v>
      </c>
      <c r="BI12" s="7" t="s">
        <v>590</v>
      </c>
      <c r="BJ12" s="7" t="s">
        <v>664</v>
      </c>
      <c r="BK12" s="1"/>
    </row>
    <row r="13" spans="1:63" outlineLevel="1">
      <c r="A13" s="209" t="s">
        <v>179</v>
      </c>
      <c r="B13" s="83" t="s">
        <v>81</v>
      </c>
      <c r="C13" s="202" t="s">
        <v>387</v>
      </c>
      <c r="D13" s="177"/>
      <c r="E13" s="25"/>
      <c r="F13" s="25"/>
      <c r="G13" s="25"/>
      <c r="H13" s="25"/>
      <c r="I13" s="726"/>
      <c r="J13" s="25"/>
      <c r="K13" s="726"/>
      <c r="L13" s="26"/>
      <c r="M13" s="25"/>
      <c r="N13" s="25"/>
      <c r="O13" s="176"/>
      <c r="P13" s="191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92"/>
      <c r="AB13" s="638"/>
      <c r="AD13" s="300" t="s">
        <v>955</v>
      </c>
      <c r="AE13" s="8"/>
      <c r="AF13" s="1"/>
      <c r="AG13" s="8"/>
      <c r="AH13" s="7"/>
      <c r="AI13" s="8"/>
      <c r="AJ13" s="308"/>
      <c r="AK13" s="307"/>
      <c r="AL13" s="308"/>
      <c r="AM13" s="307"/>
      <c r="AN13" s="308"/>
      <c r="AO13" s="307"/>
      <c r="AP13" s="637"/>
      <c r="AR13" s="317" t="s">
        <v>934</v>
      </c>
      <c r="AU13" s="1"/>
      <c r="AV13" s="36"/>
      <c r="AW13" s="37">
        <v>12</v>
      </c>
      <c r="AX13" s="38" t="s">
        <v>10</v>
      </c>
      <c r="AY13" s="1"/>
      <c r="AZ13" s="36"/>
      <c r="BA13" s="1"/>
      <c r="BB13" s="37">
        <v>11</v>
      </c>
      <c r="BC13" s="38" t="s">
        <v>9</v>
      </c>
      <c r="BD13" s="1"/>
      <c r="BF13" s="1"/>
      <c r="BG13" s="1"/>
      <c r="BH13" s="7">
        <v>8</v>
      </c>
      <c r="BI13" s="7" t="s">
        <v>582</v>
      </c>
      <c r="BJ13" s="7"/>
      <c r="BK13" s="1"/>
    </row>
    <row r="14" spans="1:63" ht="15.75" outlineLevel="1" thickBot="1">
      <c r="A14" s="210" t="s">
        <v>180</v>
      </c>
      <c r="B14" s="211" t="s">
        <v>82</v>
      </c>
      <c r="C14" s="205" t="s">
        <v>396</v>
      </c>
      <c r="D14" s="178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80"/>
      <c r="P14" s="193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5"/>
      <c r="AB14" s="638"/>
      <c r="AR14" s="317" t="s">
        <v>935</v>
      </c>
      <c r="AU14" s="1"/>
      <c r="AV14" s="1"/>
      <c r="AW14" s="37">
        <v>13</v>
      </c>
      <c r="AX14" s="38" t="s">
        <v>297</v>
      </c>
      <c r="AY14" s="140" t="s">
        <v>658</v>
      </c>
      <c r="AZ14" s="1"/>
      <c r="BA14" s="1"/>
      <c r="BB14" s="37">
        <v>20</v>
      </c>
      <c r="BC14" s="38" t="s">
        <v>298</v>
      </c>
      <c r="BD14" s="1"/>
      <c r="BF14" s="1"/>
      <c r="BG14" s="1"/>
      <c r="BH14" s="7">
        <v>9</v>
      </c>
      <c r="BI14" s="7" t="s">
        <v>583</v>
      </c>
      <c r="BJ14" s="7"/>
      <c r="BK14" s="1"/>
    </row>
    <row r="15" spans="1:63" ht="15" customHeight="1" outlineLevel="1">
      <c r="A15" s="212" t="s">
        <v>181</v>
      </c>
      <c r="B15" s="213" t="s">
        <v>83</v>
      </c>
      <c r="C15" s="291" t="s">
        <v>405</v>
      </c>
      <c r="D15" s="658"/>
      <c r="E15" s="728"/>
      <c r="F15" s="728"/>
      <c r="G15" s="728"/>
      <c r="H15" s="728"/>
      <c r="I15" s="728"/>
      <c r="J15" s="728"/>
      <c r="K15" s="728"/>
      <c r="L15" s="728"/>
      <c r="M15" s="728"/>
      <c r="N15" s="728"/>
      <c r="O15" s="657"/>
      <c r="P15" s="196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8"/>
      <c r="AB15" s="638"/>
      <c r="AD15" s="806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8"/>
      <c r="AR15" s="317" t="s">
        <v>936</v>
      </c>
      <c r="AU15" s="1"/>
      <c r="AV15" s="1"/>
      <c r="AW15" s="37">
        <v>14</v>
      </c>
      <c r="AX15" s="38" t="s">
        <v>299</v>
      </c>
      <c r="AY15" s="1"/>
      <c r="AZ15" s="1"/>
      <c r="BA15" s="1"/>
      <c r="BB15" s="37">
        <v>21</v>
      </c>
      <c r="BC15" s="38" t="s">
        <v>300</v>
      </c>
      <c r="BD15" s="1"/>
      <c r="BF15" s="1"/>
      <c r="BG15" s="1"/>
      <c r="BH15" s="7">
        <v>10</v>
      </c>
      <c r="BI15" s="7" t="s">
        <v>584</v>
      </c>
      <c r="BJ15" s="7"/>
      <c r="BK15" s="1"/>
    </row>
    <row r="16" spans="1:63" s="11" customFormat="1" outlineLevel="1">
      <c r="A16" s="214" t="s">
        <v>182</v>
      </c>
      <c r="B16" s="172" t="s">
        <v>84</v>
      </c>
      <c r="C16" s="292" t="s">
        <v>414</v>
      </c>
      <c r="D16" s="181"/>
      <c r="E16" s="4"/>
      <c r="F16" s="4"/>
      <c r="G16" s="4"/>
      <c r="H16" s="4"/>
      <c r="I16" s="4"/>
      <c r="J16" s="4"/>
      <c r="K16" s="4"/>
      <c r="L16" s="4"/>
      <c r="M16" s="4"/>
      <c r="N16" s="4"/>
      <c r="O16" s="182"/>
      <c r="P16" s="199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200"/>
      <c r="AB16" s="638"/>
      <c r="AD16" s="809"/>
      <c r="AE16" s="810"/>
      <c r="AF16" s="810"/>
      <c r="AG16" s="810"/>
      <c r="AH16" s="810"/>
      <c r="AI16" s="810"/>
      <c r="AJ16" s="810"/>
      <c r="AK16" s="810"/>
      <c r="AL16" s="810"/>
      <c r="AM16" s="810"/>
      <c r="AN16" s="810"/>
      <c r="AO16" s="810"/>
      <c r="AP16" s="811"/>
      <c r="AR16" s="317" t="s">
        <v>938</v>
      </c>
      <c r="AT16"/>
      <c r="AU16" s="644"/>
      <c r="AV16" s="1"/>
      <c r="AW16" s="38">
        <v>15</v>
      </c>
      <c r="AX16" s="38" t="s">
        <v>301</v>
      </c>
      <c r="AY16" s="140" t="s">
        <v>172</v>
      </c>
      <c r="AZ16" s="1"/>
      <c r="BA16" s="1"/>
      <c r="BB16" s="37">
        <v>22</v>
      </c>
      <c r="BC16" s="38" t="s">
        <v>302</v>
      </c>
      <c r="BD16" s="140" t="s">
        <v>1042</v>
      </c>
      <c r="BF16" s="1"/>
      <c r="BG16" s="1"/>
      <c r="BH16" s="7">
        <v>11</v>
      </c>
      <c r="BI16" s="7" t="s">
        <v>585</v>
      </c>
      <c r="BJ16" s="7" t="s">
        <v>1043</v>
      </c>
      <c r="BK16" s="1"/>
    </row>
    <row r="17" spans="1:63" outlineLevel="1">
      <c r="A17" s="214" t="s">
        <v>183</v>
      </c>
      <c r="B17" s="172" t="s">
        <v>85</v>
      </c>
      <c r="C17" s="292" t="s">
        <v>423</v>
      </c>
      <c r="D17" s="181"/>
      <c r="E17" s="4"/>
      <c r="F17" s="4"/>
      <c r="G17" s="4"/>
      <c r="H17" s="4"/>
      <c r="I17" s="4"/>
      <c r="J17" s="4"/>
      <c r="K17" s="4"/>
      <c r="L17" s="4"/>
      <c r="M17" s="4"/>
      <c r="N17" s="4"/>
      <c r="O17" s="182"/>
      <c r="P17" s="199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200"/>
      <c r="AB17" s="638"/>
      <c r="AD17" s="713" t="s">
        <v>967</v>
      </c>
      <c r="AE17" s="714">
        <v>1</v>
      </c>
      <c r="AF17" s="714">
        <v>2</v>
      </c>
      <c r="AG17" s="714">
        <v>3</v>
      </c>
      <c r="AH17" s="714">
        <v>4</v>
      </c>
      <c r="AI17" s="714">
        <v>5</v>
      </c>
      <c r="AJ17" s="714">
        <v>6</v>
      </c>
      <c r="AK17" s="714">
        <v>7</v>
      </c>
      <c r="AL17" s="714">
        <v>8</v>
      </c>
      <c r="AM17" s="714">
        <v>9</v>
      </c>
      <c r="AN17" s="714">
        <v>10</v>
      </c>
      <c r="AO17" s="714">
        <v>11</v>
      </c>
      <c r="AP17" s="714">
        <v>12</v>
      </c>
      <c r="AR17" s="317" t="s">
        <v>939</v>
      </c>
      <c r="AU17" s="1"/>
      <c r="AV17" s="1"/>
      <c r="AW17" s="37">
        <v>16</v>
      </c>
      <c r="AX17" s="38" t="s">
        <v>303</v>
      </c>
      <c r="AY17" s="1"/>
      <c r="AZ17" s="1"/>
      <c r="BA17" s="1"/>
      <c r="BB17" s="37">
        <v>23</v>
      </c>
      <c r="BC17" s="38" t="s">
        <v>304</v>
      </c>
      <c r="BD17" s="1"/>
      <c r="BF17" s="1"/>
      <c r="BG17" s="1"/>
      <c r="BH17" s="7">
        <v>12</v>
      </c>
      <c r="BI17" s="7" t="s">
        <v>591</v>
      </c>
      <c r="BJ17" s="7"/>
      <c r="BK17" s="1"/>
    </row>
    <row r="18" spans="1:63" outlineLevel="1">
      <c r="A18" s="214" t="s">
        <v>184</v>
      </c>
      <c r="B18" s="172" t="s">
        <v>86</v>
      </c>
      <c r="C18" s="292" t="s">
        <v>432</v>
      </c>
      <c r="D18" s="181"/>
      <c r="E18" s="4"/>
      <c r="F18" s="4"/>
      <c r="G18" s="4"/>
      <c r="H18" s="4"/>
      <c r="I18" s="4"/>
      <c r="J18" s="4"/>
      <c r="K18" s="4"/>
      <c r="L18" s="4"/>
      <c r="M18" s="4"/>
      <c r="N18" s="4"/>
      <c r="O18" s="182"/>
      <c r="P18" s="199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200"/>
      <c r="AB18" s="638"/>
      <c r="AD18" s="713" t="s">
        <v>924</v>
      </c>
      <c r="AE18" s="309"/>
      <c r="AF18" s="1"/>
      <c r="AG18" s="309"/>
      <c r="AH18" s="7"/>
      <c r="AI18" s="309"/>
      <c r="AJ18" s="588"/>
      <c r="AK18" s="309"/>
      <c r="AL18" s="308"/>
      <c r="AM18" s="309"/>
      <c r="AN18" s="1"/>
      <c r="AO18" s="309"/>
      <c r="AP18" s="308"/>
      <c r="AR18" s="317" t="s">
        <v>940</v>
      </c>
      <c r="AU18" s="1"/>
      <c r="AV18" s="1"/>
      <c r="AW18" s="37">
        <v>18</v>
      </c>
      <c r="AX18" s="38" t="s">
        <v>305</v>
      </c>
      <c r="AY18" s="140" t="s">
        <v>866</v>
      </c>
      <c r="AZ18" s="1"/>
      <c r="BA18" s="1"/>
      <c r="BB18" s="37">
        <v>25</v>
      </c>
      <c r="BC18" s="38" t="s">
        <v>306</v>
      </c>
      <c r="BD18" s="1"/>
      <c r="BF18" s="1"/>
      <c r="BG18" s="1"/>
      <c r="BH18" s="7">
        <v>13</v>
      </c>
      <c r="BI18" s="7" t="s">
        <v>980</v>
      </c>
      <c r="BJ18" s="7"/>
      <c r="BK18" s="1"/>
    </row>
    <row r="19" spans="1:63" outlineLevel="1">
      <c r="A19" s="214" t="s">
        <v>185</v>
      </c>
      <c r="B19" s="172" t="s">
        <v>87</v>
      </c>
      <c r="C19" s="292" t="s">
        <v>441</v>
      </c>
      <c r="D19" s="183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84"/>
      <c r="P19" s="201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202"/>
      <c r="AB19" s="638"/>
      <c r="AD19" s="713" t="s">
        <v>937</v>
      </c>
      <c r="AE19" s="309"/>
      <c r="AF19" s="1"/>
      <c r="AG19" s="309"/>
      <c r="AH19" s="7"/>
      <c r="AI19" s="309"/>
      <c r="AJ19" s="7"/>
      <c r="AK19" s="309"/>
      <c r="AL19" s="308"/>
      <c r="AM19" s="309"/>
      <c r="AN19" s="1"/>
      <c r="AO19" s="309"/>
      <c r="AP19" s="308"/>
      <c r="AR19" s="317" t="s">
        <v>941</v>
      </c>
      <c r="AU19" s="1"/>
      <c r="AV19" s="1"/>
      <c r="AW19" s="37">
        <v>19</v>
      </c>
      <c r="AX19" s="38" t="s">
        <v>307</v>
      </c>
      <c r="AY19" s="1"/>
      <c r="AZ19" s="1"/>
      <c r="BA19" s="1"/>
      <c r="BB19" s="37">
        <v>27</v>
      </c>
      <c r="BC19" s="38" t="s">
        <v>308</v>
      </c>
      <c r="BD19" s="1" t="s">
        <v>648</v>
      </c>
      <c r="BF19" s="1"/>
      <c r="BG19" s="1"/>
      <c r="BH19" s="7">
        <v>14</v>
      </c>
      <c r="BI19" s="7" t="s">
        <v>981</v>
      </c>
      <c r="BJ19" s="7"/>
      <c r="BK19" s="1"/>
    </row>
    <row r="20" spans="1:63" outlineLevel="1">
      <c r="A20" s="214" t="s">
        <v>186</v>
      </c>
      <c r="B20" s="172" t="s">
        <v>88</v>
      </c>
      <c r="C20" s="292" t="s">
        <v>450</v>
      </c>
      <c r="D20" s="183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84"/>
      <c r="P20" s="201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202"/>
      <c r="AB20" s="638"/>
      <c r="AD20" s="713" t="s">
        <v>950</v>
      </c>
      <c r="AE20" s="309"/>
      <c r="AF20" s="1"/>
      <c r="AG20" s="309"/>
      <c r="AH20" s="7"/>
      <c r="AI20" s="309"/>
      <c r="AJ20" s="7"/>
      <c r="AK20" s="309"/>
      <c r="AL20" s="308"/>
      <c r="AM20" s="309"/>
      <c r="AN20" s="1"/>
      <c r="AO20" s="309"/>
      <c r="AP20" s="308"/>
      <c r="AR20" s="317" t="s">
        <v>942</v>
      </c>
      <c r="BF20" s="1"/>
      <c r="BG20" s="1"/>
      <c r="BH20" s="7">
        <v>15</v>
      </c>
      <c r="BI20" s="7" t="s">
        <v>1022</v>
      </c>
      <c r="BJ20" s="7"/>
      <c r="BK20" s="1"/>
    </row>
    <row r="21" spans="1:63" outlineLevel="1">
      <c r="A21" s="214" t="s">
        <v>187</v>
      </c>
      <c r="B21" s="172" t="s">
        <v>89</v>
      </c>
      <c r="C21" s="292" t="s">
        <v>459</v>
      </c>
      <c r="D21" s="183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84"/>
      <c r="P21" s="201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202"/>
      <c r="AB21" s="638"/>
      <c r="AD21" s="713" t="s">
        <v>951</v>
      </c>
      <c r="AE21" s="309"/>
      <c r="AF21" s="1"/>
      <c r="AG21" s="309"/>
      <c r="AH21" s="7"/>
      <c r="AI21" s="309"/>
      <c r="AJ21" s="7"/>
      <c r="AK21" s="309"/>
      <c r="AL21" s="308"/>
      <c r="AM21" s="309"/>
      <c r="AN21" s="1"/>
      <c r="AO21" s="309"/>
      <c r="AP21" s="308"/>
      <c r="AR21" s="317" t="s">
        <v>943</v>
      </c>
      <c r="BF21" s="1"/>
      <c r="BG21" s="1"/>
      <c r="BH21" s="7">
        <v>16</v>
      </c>
      <c r="BI21" s="7" t="s">
        <v>982</v>
      </c>
      <c r="BJ21" s="7"/>
      <c r="BK21" s="1"/>
    </row>
    <row r="22" spans="1:63" ht="15.75" outlineLevel="1" thickBot="1">
      <c r="A22" s="215" t="s">
        <v>188</v>
      </c>
      <c r="B22" s="216" t="s">
        <v>90</v>
      </c>
      <c r="C22" s="293" t="s">
        <v>468</v>
      </c>
      <c r="D22" s="185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7"/>
      <c r="P22" s="203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5"/>
      <c r="AB22" s="638"/>
      <c r="AD22" s="713" t="s">
        <v>952</v>
      </c>
      <c r="AE22" s="309"/>
      <c r="AF22" s="1"/>
      <c r="AG22" s="309"/>
      <c r="AH22" s="7"/>
      <c r="AI22" s="309"/>
      <c r="AJ22" s="7"/>
      <c r="AK22" s="309"/>
      <c r="AL22" s="308"/>
      <c r="AM22" s="309"/>
      <c r="AN22" s="1"/>
      <c r="AO22" s="309"/>
      <c r="AP22" s="637"/>
      <c r="AR22" s="317" t="s">
        <v>944</v>
      </c>
      <c r="BF22" s="1"/>
      <c r="BG22" s="1"/>
      <c r="BH22" s="7">
        <v>17</v>
      </c>
      <c r="BI22" s="7" t="s">
        <v>1023</v>
      </c>
      <c r="BJ22" s="7" t="s">
        <v>1024</v>
      </c>
      <c r="BK22" s="1"/>
    </row>
    <row r="23" spans="1:63" s="12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AD23" s="713" t="s">
        <v>953</v>
      </c>
      <c r="AE23" s="309"/>
      <c r="AF23" s="1"/>
      <c r="AG23" s="309"/>
      <c r="AH23" s="7"/>
      <c r="AI23" s="309"/>
      <c r="AJ23" s="7"/>
      <c r="AK23" s="309"/>
      <c r="AL23" s="308"/>
      <c r="AM23" s="309"/>
      <c r="AN23" s="1"/>
      <c r="AO23" s="309"/>
      <c r="AP23" s="637"/>
      <c r="AR23" s="317" t="s">
        <v>945</v>
      </c>
      <c r="AT23"/>
      <c r="AV23"/>
      <c r="AW23"/>
      <c r="AX23"/>
      <c r="AY23"/>
      <c r="AZ23"/>
      <c r="BA23"/>
      <c r="BB23"/>
      <c r="BC23"/>
      <c r="BD23"/>
      <c r="BF23" s="1"/>
      <c r="BG23" s="1"/>
      <c r="BH23" s="7">
        <v>18</v>
      </c>
      <c r="BI23" s="7" t="s">
        <v>984</v>
      </c>
      <c r="BJ23" s="7" t="s">
        <v>866</v>
      </c>
      <c r="BK23" s="1"/>
    </row>
    <row r="24" spans="1:63">
      <c r="A24" s="806" t="s">
        <v>259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8"/>
      <c r="R24" s="643"/>
      <c r="S24" s="643"/>
      <c r="T24" s="643"/>
      <c r="U24" s="643"/>
      <c r="V24" s="643"/>
      <c r="W24" s="643"/>
      <c r="X24" s="643"/>
      <c r="Y24" s="643"/>
      <c r="AD24" s="713" t="s">
        <v>954</v>
      </c>
      <c r="AE24" s="309"/>
      <c r="AF24" s="17"/>
      <c r="AG24" s="309"/>
      <c r="AH24" s="7"/>
      <c r="AI24" s="309"/>
      <c r="AJ24" s="7"/>
      <c r="AK24" s="309"/>
      <c r="AL24" s="308"/>
      <c r="AM24" s="309"/>
      <c r="AN24" s="17"/>
      <c r="AO24" s="309"/>
      <c r="AP24" s="1"/>
      <c r="AR24" s="317" t="s">
        <v>946</v>
      </c>
      <c r="BF24" s="1"/>
      <c r="BG24" s="1"/>
      <c r="BH24" s="7">
        <v>19</v>
      </c>
      <c r="BI24" s="7" t="s">
        <v>986</v>
      </c>
      <c r="BJ24" s="7"/>
      <c r="BK24" s="1"/>
    </row>
    <row r="25" spans="1:63">
      <c r="A25" s="809" t="s">
        <v>968</v>
      </c>
      <c r="B25" s="810"/>
      <c r="C25" s="810"/>
      <c r="D25" s="810"/>
      <c r="E25" s="810"/>
      <c r="F25" s="810"/>
      <c r="G25" s="810"/>
      <c r="H25" s="810"/>
      <c r="I25" s="810"/>
      <c r="J25" s="810"/>
      <c r="K25" s="810"/>
      <c r="L25" s="810"/>
      <c r="M25" s="810"/>
      <c r="N25" s="810"/>
      <c r="O25" s="810"/>
      <c r="P25" s="810"/>
      <c r="Q25" s="811"/>
      <c r="R25" s="643"/>
      <c r="S25" s="643"/>
      <c r="T25" s="643"/>
      <c r="U25" s="643"/>
      <c r="V25" s="643"/>
      <c r="W25" s="643"/>
      <c r="X25" s="643"/>
      <c r="Y25" s="643"/>
      <c r="AD25" s="713" t="s">
        <v>955</v>
      </c>
      <c r="AE25" s="309"/>
      <c r="AF25" s="1"/>
      <c r="AG25" s="309"/>
      <c r="AH25" s="7"/>
      <c r="AI25" s="309"/>
      <c r="AJ25" s="7"/>
      <c r="AK25" s="309"/>
      <c r="AL25" s="308"/>
      <c r="AM25" s="309"/>
      <c r="AN25" s="1"/>
      <c r="AO25" s="309"/>
      <c r="AP25" s="637"/>
      <c r="AR25" s="317" t="s">
        <v>947</v>
      </c>
      <c r="BF25" s="1"/>
      <c r="BG25" s="1"/>
      <c r="BH25" s="7">
        <v>20</v>
      </c>
      <c r="BI25" s="7" t="s">
        <v>988</v>
      </c>
      <c r="BJ25" s="7"/>
      <c r="BK25" s="1"/>
    </row>
    <row r="26" spans="1:63" s="11" customFormat="1">
      <c r="A26" s="300" t="s">
        <v>967</v>
      </c>
      <c r="B26" s="301"/>
      <c r="C26" s="302"/>
      <c r="D26" s="301"/>
      <c r="E26" s="301"/>
      <c r="F26" s="303">
        <v>1</v>
      </c>
      <c r="G26" s="303">
        <v>2</v>
      </c>
      <c r="H26" s="303">
        <v>3</v>
      </c>
      <c r="I26" s="303">
        <v>4</v>
      </c>
      <c r="J26" s="303">
        <v>5</v>
      </c>
      <c r="K26" s="303">
        <v>6</v>
      </c>
      <c r="L26" s="303">
        <v>7</v>
      </c>
      <c r="M26" s="303">
        <v>8</v>
      </c>
      <c r="N26" s="303">
        <v>9</v>
      </c>
      <c r="O26" s="303">
        <v>10</v>
      </c>
      <c r="P26" s="303">
        <v>11</v>
      </c>
      <c r="Q26" s="303">
        <v>12</v>
      </c>
      <c r="R26" s="642"/>
      <c r="S26" s="642"/>
      <c r="T26" s="642"/>
      <c r="U26" s="642"/>
      <c r="V26" s="642"/>
      <c r="W26" s="642"/>
      <c r="X26" s="642"/>
      <c r="Y26" s="642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 s="317" t="s">
        <v>948</v>
      </c>
      <c r="AT26"/>
      <c r="AV26"/>
      <c r="BF26" s="1"/>
      <c r="BG26" s="1"/>
      <c r="BH26" s="7">
        <v>21</v>
      </c>
      <c r="BI26" s="7" t="s">
        <v>1025</v>
      </c>
      <c r="BJ26" s="7"/>
      <c r="BK26" s="1"/>
    </row>
    <row r="27" spans="1:63" ht="15.75" thickBot="1">
      <c r="A27" s="300"/>
      <c r="B27" s="304" t="s">
        <v>535</v>
      </c>
      <c r="C27" s="305"/>
      <c r="D27" s="304"/>
      <c r="E27" s="304"/>
      <c r="F27" s="306" t="s">
        <v>538</v>
      </c>
      <c r="G27" s="306" t="s">
        <v>539</v>
      </c>
      <c r="H27" s="306" t="s">
        <v>540</v>
      </c>
      <c r="I27" s="306" t="s">
        <v>541</v>
      </c>
      <c r="J27" s="306" t="s">
        <v>542</v>
      </c>
      <c r="K27" s="306" t="s">
        <v>543</v>
      </c>
      <c r="L27" s="306" t="s">
        <v>544</v>
      </c>
      <c r="M27" s="306" t="s">
        <v>545</v>
      </c>
      <c r="N27" s="306" t="s">
        <v>546</v>
      </c>
      <c r="O27" s="306" t="s">
        <v>547</v>
      </c>
      <c r="P27" s="306" t="s">
        <v>548</v>
      </c>
      <c r="Q27" s="306" t="s">
        <v>549</v>
      </c>
      <c r="R27" s="641"/>
      <c r="S27" s="641"/>
      <c r="T27" s="641"/>
      <c r="U27" s="641"/>
      <c r="V27" s="641"/>
      <c r="W27" s="641"/>
      <c r="X27" s="641"/>
      <c r="Y27" s="641"/>
      <c r="AR27" s="318" t="s">
        <v>949</v>
      </c>
      <c r="BF27" s="1"/>
      <c r="BG27" s="1"/>
      <c r="BH27" s="7">
        <v>22</v>
      </c>
      <c r="BI27" s="7" t="s">
        <v>990</v>
      </c>
      <c r="BJ27" s="7" t="s">
        <v>93</v>
      </c>
      <c r="BK27" s="1"/>
    </row>
    <row r="28" spans="1:63">
      <c r="A28" s="300"/>
      <c r="B28" s="304"/>
      <c r="C28" s="2" t="s">
        <v>162</v>
      </c>
      <c r="D28" s="2" t="s">
        <v>318</v>
      </c>
      <c r="E28" s="2" t="s">
        <v>319</v>
      </c>
      <c r="F28" s="62" t="s">
        <v>72</v>
      </c>
      <c r="G28" s="62" t="s">
        <v>16</v>
      </c>
      <c r="H28" s="62" t="s">
        <v>20</v>
      </c>
      <c r="I28" s="62" t="s">
        <v>21</v>
      </c>
      <c r="J28" s="62" t="s">
        <v>22</v>
      </c>
      <c r="K28" s="62" t="s">
        <v>24</v>
      </c>
      <c r="L28" s="62" t="s">
        <v>26</v>
      </c>
      <c r="M28" s="62" t="s">
        <v>28</v>
      </c>
      <c r="N28" s="62" t="s">
        <v>30</v>
      </c>
      <c r="O28" s="62" t="s">
        <v>32</v>
      </c>
      <c r="P28" s="62" t="s">
        <v>34</v>
      </c>
      <c r="Q28" s="62" t="s">
        <v>36</v>
      </c>
      <c r="R28" s="640"/>
      <c r="S28" s="640"/>
      <c r="T28" s="640"/>
      <c r="U28" s="640"/>
      <c r="V28" s="640"/>
      <c r="W28" s="640"/>
      <c r="X28" s="640"/>
      <c r="Y28" s="640"/>
      <c r="BF28" s="1"/>
      <c r="BG28" s="1"/>
      <c r="BH28" s="7">
        <v>23</v>
      </c>
      <c r="BI28" s="7" t="s">
        <v>304</v>
      </c>
      <c r="BJ28" s="7"/>
      <c r="BK28" s="1"/>
    </row>
    <row r="29" spans="1:63" ht="30">
      <c r="A29" s="300"/>
      <c r="B29" s="304"/>
      <c r="C29" s="2"/>
      <c r="D29" s="36"/>
      <c r="E29" s="36"/>
      <c r="F29" s="232" t="s">
        <v>15</v>
      </c>
      <c r="G29" s="232" t="s">
        <v>17</v>
      </c>
      <c r="H29" s="232" t="s">
        <v>18</v>
      </c>
      <c r="I29" s="232" t="s">
        <v>19</v>
      </c>
      <c r="J29" s="232" t="s">
        <v>23</v>
      </c>
      <c r="K29" s="232" t="s">
        <v>25</v>
      </c>
      <c r="L29" s="232" t="s">
        <v>27</v>
      </c>
      <c r="M29" s="232" t="s">
        <v>29</v>
      </c>
      <c r="N29" s="232" t="s">
        <v>31</v>
      </c>
      <c r="O29" s="232" t="s">
        <v>33</v>
      </c>
      <c r="P29" s="232" t="s">
        <v>35</v>
      </c>
      <c r="Q29" s="232" t="s">
        <v>37</v>
      </c>
      <c r="R29" s="640"/>
      <c r="S29" s="640"/>
      <c r="T29" s="640"/>
      <c r="U29" s="640"/>
      <c r="V29" s="640"/>
      <c r="W29" s="640"/>
      <c r="X29" s="640"/>
      <c r="Y29" s="640"/>
      <c r="BF29" s="1"/>
      <c r="BG29" s="1"/>
      <c r="BH29" s="7">
        <v>24</v>
      </c>
      <c r="BI29" s="7" t="s">
        <v>1026</v>
      </c>
      <c r="BJ29" s="7"/>
      <c r="BK29" s="1"/>
    </row>
    <row r="30" spans="1:63" ht="15" customHeight="1">
      <c r="A30" s="300"/>
      <c r="B30" s="304"/>
      <c r="C30" s="2" t="s">
        <v>918</v>
      </c>
      <c r="D30" s="36"/>
      <c r="E30" s="36"/>
      <c r="F30" s="232"/>
      <c r="G30" s="232" t="s">
        <v>95</v>
      </c>
      <c r="H30" s="310" t="s">
        <v>1040</v>
      </c>
      <c r="I30" s="232"/>
      <c r="J30" s="310" t="s">
        <v>1041</v>
      </c>
      <c r="K30" s="232"/>
      <c r="L30" s="232" t="s">
        <v>684</v>
      </c>
      <c r="M30" s="232" t="s">
        <v>163</v>
      </c>
      <c r="N30" s="232"/>
      <c r="O30" s="232"/>
      <c r="P30" s="232"/>
      <c r="Q30" s="232"/>
      <c r="R30" s="638"/>
      <c r="S30" s="638"/>
      <c r="T30" s="638"/>
      <c r="U30" s="638"/>
      <c r="V30" s="638"/>
      <c r="W30" s="638"/>
      <c r="X30" s="638"/>
      <c r="Y30" s="638"/>
      <c r="BF30" s="1"/>
      <c r="BG30" s="1"/>
      <c r="BH30" s="7">
        <v>25</v>
      </c>
      <c r="BI30" s="7" t="s">
        <v>306</v>
      </c>
      <c r="BJ30" s="7"/>
      <c r="BK30" s="1"/>
    </row>
    <row r="31" spans="1:63">
      <c r="A31" s="300" t="s">
        <v>924</v>
      </c>
      <c r="B31" s="8" t="s">
        <v>195</v>
      </c>
      <c r="C31" s="63" t="s">
        <v>73</v>
      </c>
      <c r="D31" s="1" t="s">
        <v>38</v>
      </c>
      <c r="E31" s="4" t="s">
        <v>625</v>
      </c>
      <c r="F31" s="8"/>
      <c r="G31" s="1"/>
      <c r="H31" s="19"/>
      <c r="I31" s="7"/>
      <c r="J31" s="8"/>
      <c r="K31" s="7"/>
      <c r="L31" s="307"/>
      <c r="M31" s="308"/>
      <c r="N31" s="307"/>
      <c r="O31" s="308"/>
      <c r="P31" s="307"/>
      <c r="Q31" s="308"/>
      <c r="R31" s="639"/>
      <c r="S31" s="639"/>
      <c r="T31" s="639"/>
      <c r="U31" s="639"/>
      <c r="V31" s="639"/>
      <c r="W31" s="639"/>
      <c r="X31" s="639"/>
      <c r="Y31" s="639"/>
      <c r="BF31" s="1"/>
      <c r="BG31" s="1"/>
      <c r="BH31" s="7">
        <v>26</v>
      </c>
      <c r="BI31" s="7" t="s">
        <v>1027</v>
      </c>
      <c r="BJ31" s="7" t="s">
        <v>206</v>
      </c>
      <c r="BK31" s="1"/>
    </row>
    <row r="32" spans="1:63">
      <c r="A32" s="300" t="s">
        <v>937</v>
      </c>
      <c r="B32" s="8" t="s">
        <v>196</v>
      </c>
      <c r="C32" s="63" t="s">
        <v>39</v>
      </c>
      <c r="D32" s="1" t="s">
        <v>40</v>
      </c>
      <c r="E32" s="4" t="s">
        <v>626</v>
      </c>
      <c r="F32" s="8"/>
      <c r="G32" s="1"/>
      <c r="H32" s="8"/>
      <c r="I32" s="7"/>
      <c r="J32" s="8"/>
      <c r="K32" s="7"/>
      <c r="L32" s="307"/>
      <c r="M32" s="308"/>
      <c r="N32" s="307"/>
      <c r="O32" s="308"/>
      <c r="P32" s="307"/>
      <c r="Q32" s="308"/>
      <c r="R32" s="638"/>
      <c r="S32" s="638"/>
      <c r="T32" s="638"/>
      <c r="U32" s="638"/>
      <c r="V32" s="638"/>
      <c r="W32" s="638"/>
      <c r="X32" s="638"/>
      <c r="Y32" s="638"/>
      <c r="BF32" s="1"/>
      <c r="BG32" s="1"/>
      <c r="BH32" s="7">
        <v>27</v>
      </c>
      <c r="BI32" s="7" t="s">
        <v>994</v>
      </c>
      <c r="BJ32" s="7" t="s">
        <v>648</v>
      </c>
      <c r="BK32" s="1"/>
    </row>
    <row r="33" spans="1:63">
      <c r="A33" s="300" t="s">
        <v>950</v>
      </c>
      <c r="B33" s="8" t="s">
        <v>197</v>
      </c>
      <c r="C33" s="63" t="s">
        <v>41</v>
      </c>
      <c r="D33" s="1" t="s">
        <v>42</v>
      </c>
      <c r="E33" s="4" t="s">
        <v>627</v>
      </c>
      <c r="F33" s="8"/>
      <c r="G33" s="1"/>
      <c r="H33" s="8"/>
      <c r="I33" s="7"/>
      <c r="J33" s="8"/>
      <c r="K33" s="308"/>
      <c r="L33" s="307"/>
      <c r="M33" s="308"/>
      <c r="N33" s="307"/>
      <c r="O33" s="308"/>
      <c r="P33" s="307"/>
      <c r="Q33" s="308"/>
      <c r="R33" s="638"/>
      <c r="S33" s="638"/>
      <c r="T33" s="638"/>
      <c r="U33" s="638"/>
      <c r="V33" s="638"/>
      <c r="W33" s="638"/>
      <c r="X33" s="638"/>
      <c r="Y33" s="638"/>
      <c r="BF33" s="1"/>
      <c r="BG33" s="1"/>
      <c r="BH33" s="7">
        <v>28</v>
      </c>
      <c r="BI33" s="7" t="s">
        <v>1028</v>
      </c>
      <c r="BJ33" s="7"/>
      <c r="BK33" s="1"/>
    </row>
    <row r="34" spans="1:63">
      <c r="A34" s="300" t="s">
        <v>951</v>
      </c>
      <c r="B34" s="8" t="s">
        <v>198</v>
      </c>
      <c r="C34" s="63" t="s">
        <v>43</v>
      </c>
      <c r="D34" s="1" t="s">
        <v>44</v>
      </c>
      <c r="E34" s="4" t="s">
        <v>628</v>
      </c>
      <c r="F34" s="8"/>
      <c r="G34" s="1"/>
      <c r="H34" s="8"/>
      <c r="I34" s="7"/>
      <c r="J34" s="8"/>
      <c r="K34" s="308"/>
      <c r="L34" s="307"/>
      <c r="M34" s="308"/>
      <c r="N34" s="307"/>
      <c r="O34" s="308"/>
      <c r="P34" s="307"/>
      <c r="Q34" s="729"/>
      <c r="R34" s="638"/>
      <c r="S34" s="638"/>
      <c r="T34" s="638"/>
      <c r="U34" s="638"/>
      <c r="V34" s="638"/>
      <c r="W34" s="638"/>
      <c r="X34" s="638"/>
      <c r="Y34" s="638"/>
      <c r="BF34" s="1"/>
      <c r="BG34" s="1"/>
      <c r="BH34" s="7">
        <v>29</v>
      </c>
      <c r="BI34" s="7" t="s">
        <v>996</v>
      </c>
      <c r="BJ34" s="7"/>
      <c r="BK34" s="1"/>
    </row>
    <row r="35" spans="1:63">
      <c r="A35" s="300" t="s">
        <v>952</v>
      </c>
      <c r="B35" s="8" t="s">
        <v>199</v>
      </c>
      <c r="C35" s="63" t="s">
        <v>45</v>
      </c>
      <c r="D35" s="1" t="s">
        <v>46</v>
      </c>
      <c r="E35" s="4" t="s">
        <v>632</v>
      </c>
      <c r="F35" s="8"/>
      <c r="G35" s="1"/>
      <c r="H35" s="8"/>
      <c r="I35" s="7"/>
      <c r="J35" s="8"/>
      <c r="K35" s="308"/>
      <c r="L35" s="307"/>
      <c r="M35" s="308"/>
      <c r="N35" s="307"/>
      <c r="O35" s="308"/>
      <c r="P35" s="307"/>
      <c r="Q35" s="637"/>
      <c r="BF35" s="1"/>
      <c r="BG35" s="1"/>
      <c r="BH35" s="7">
        <v>30</v>
      </c>
      <c r="BI35" s="7" t="s">
        <v>998</v>
      </c>
      <c r="BJ35" s="7"/>
      <c r="BK35" s="1"/>
    </row>
    <row r="36" spans="1:63">
      <c r="A36" s="300" t="s">
        <v>953</v>
      </c>
      <c r="B36" s="8" t="s">
        <v>200</v>
      </c>
      <c r="C36" s="63" t="s">
        <v>47</v>
      </c>
      <c r="D36" s="1" t="s">
        <v>48</v>
      </c>
      <c r="E36" s="4" t="s">
        <v>629</v>
      </c>
      <c r="F36" s="8"/>
      <c r="G36" s="1"/>
      <c r="H36" s="8"/>
      <c r="I36" s="7"/>
      <c r="J36" s="8"/>
      <c r="K36" s="308"/>
      <c r="L36" s="307"/>
      <c r="M36" s="308"/>
      <c r="N36" s="307"/>
      <c r="O36" s="308"/>
      <c r="P36" s="307"/>
      <c r="Q36" s="637"/>
      <c r="BF36" s="1"/>
      <c r="BG36" s="1"/>
      <c r="BH36" s="7">
        <v>31</v>
      </c>
      <c r="BI36" s="7" t="s">
        <v>1000</v>
      </c>
      <c r="BJ36" s="7" t="s">
        <v>1043</v>
      </c>
      <c r="BK36" s="1"/>
    </row>
    <row r="37" spans="1:63" ht="15" customHeight="1">
      <c r="A37" s="300" t="s">
        <v>954</v>
      </c>
      <c r="B37" s="8" t="s">
        <v>231</v>
      </c>
      <c r="C37" s="63" t="s">
        <v>49</v>
      </c>
      <c r="D37" s="1" t="s">
        <v>50</v>
      </c>
      <c r="E37" s="4" t="s">
        <v>630</v>
      </c>
      <c r="F37" s="8"/>
      <c r="G37" s="17"/>
      <c r="H37" s="8"/>
      <c r="I37" s="7"/>
      <c r="J37" s="8"/>
      <c r="K37" s="308"/>
      <c r="L37" s="307"/>
      <c r="M37" s="308"/>
      <c r="N37" s="307"/>
      <c r="O37" s="308"/>
      <c r="P37" s="307"/>
      <c r="Q37" s="1"/>
      <c r="BF37" s="1"/>
      <c r="BG37" s="1"/>
      <c r="BH37" s="7">
        <v>32</v>
      </c>
      <c r="BI37" s="7" t="s">
        <v>1029</v>
      </c>
      <c r="BJ37" s="7" t="s">
        <v>20</v>
      </c>
      <c r="BK37" s="1"/>
    </row>
    <row r="38" spans="1:63">
      <c r="A38" s="300" t="s">
        <v>955</v>
      </c>
      <c r="B38" s="8" t="s">
        <v>232</v>
      </c>
      <c r="C38" s="63" t="s">
        <v>51</v>
      </c>
      <c r="D38" s="1" t="s">
        <v>52</v>
      </c>
      <c r="E38" s="4" t="s">
        <v>631</v>
      </c>
      <c r="F38" s="8"/>
      <c r="G38" s="1"/>
      <c r="H38" s="8"/>
      <c r="I38" s="7"/>
      <c r="J38" s="8"/>
      <c r="K38" s="308"/>
      <c r="L38" s="307"/>
      <c r="M38" s="308"/>
      <c r="N38" s="307"/>
      <c r="O38" s="308"/>
      <c r="P38" s="307"/>
      <c r="Q38" s="637"/>
      <c r="BF38" s="1"/>
      <c r="BG38" s="1"/>
      <c r="BH38" s="7">
        <v>33</v>
      </c>
      <c r="BI38" s="7" t="s">
        <v>1002</v>
      </c>
      <c r="BJ38" s="7"/>
      <c r="BK38" s="1"/>
    </row>
    <row r="39" spans="1:63">
      <c r="BF39" s="1"/>
      <c r="BG39" s="1"/>
      <c r="BH39" s="7">
        <v>34</v>
      </c>
      <c r="BI39" s="7" t="s">
        <v>1030</v>
      </c>
      <c r="BJ39" s="7"/>
      <c r="BK39" s="1"/>
    </row>
    <row r="40" spans="1:63">
      <c r="AD40" s="803" t="s">
        <v>4122</v>
      </c>
      <c r="AE40" s="803"/>
      <c r="AF40" s="803"/>
      <c r="AG40" s="803"/>
      <c r="AH40" s="803"/>
      <c r="AI40" s="803"/>
      <c r="AJ40" s="803"/>
      <c r="AK40" s="803"/>
      <c r="AL40" s="803"/>
      <c r="AM40" s="803"/>
      <c r="AN40" s="803"/>
      <c r="AO40" s="803"/>
      <c r="AP40" s="803"/>
      <c r="AQ40" s="803"/>
      <c r="BF40" s="1"/>
      <c r="BG40" s="1"/>
      <c r="BH40" s="7">
        <v>35</v>
      </c>
      <c r="BI40" s="7" t="s">
        <v>1004</v>
      </c>
      <c r="BJ40" s="7"/>
      <c r="BK40" s="1"/>
    </row>
    <row r="41" spans="1:63" hidden="1" outlineLevel="1">
      <c r="AD41" s="1" t="s">
        <v>5976</v>
      </c>
      <c r="AE41" s="1"/>
      <c r="AF41" s="1" t="s">
        <v>3150</v>
      </c>
      <c r="AG41" s="1"/>
      <c r="AH41" s="1" t="s">
        <v>3149</v>
      </c>
      <c r="AI41" s="1" t="s">
        <v>3148</v>
      </c>
      <c r="AJ41" s="1" t="s">
        <v>3147</v>
      </c>
      <c r="AK41" s="1"/>
      <c r="AL41" s="1"/>
      <c r="AM41" s="1" t="s">
        <v>3150</v>
      </c>
      <c r="AN41" s="1"/>
      <c r="AO41" s="1" t="s">
        <v>3149</v>
      </c>
      <c r="AP41" s="1" t="s">
        <v>3148</v>
      </c>
      <c r="AQ41" s="1" t="s">
        <v>3147</v>
      </c>
      <c r="BF41" s="1"/>
      <c r="BG41" s="1"/>
      <c r="BH41" s="7">
        <v>36</v>
      </c>
      <c r="BI41" s="7" t="s">
        <v>1031</v>
      </c>
      <c r="BJ41" s="7" t="s">
        <v>904</v>
      </c>
      <c r="BK41" s="1"/>
    </row>
    <row r="42" spans="1:63" hidden="1" outlineLevel="1">
      <c r="AD42" s="1"/>
      <c r="AE42" s="1" t="s">
        <v>736</v>
      </c>
      <c r="AF42" s="1" t="s">
        <v>879</v>
      </c>
      <c r="AG42" s="1"/>
      <c r="AH42" s="1" t="s">
        <v>736</v>
      </c>
      <c r="AI42" s="1" t="s">
        <v>4136</v>
      </c>
      <c r="AJ42" s="1" t="s">
        <v>4137</v>
      </c>
      <c r="AK42" s="1"/>
      <c r="AL42" s="1" t="s">
        <v>784</v>
      </c>
      <c r="AM42" s="1" t="s">
        <v>649</v>
      </c>
      <c r="AN42" s="1"/>
      <c r="AO42" s="1" t="s">
        <v>784</v>
      </c>
      <c r="AP42" s="1" t="s">
        <v>4519</v>
      </c>
      <c r="AQ42" s="1" t="s">
        <v>4520</v>
      </c>
      <c r="BF42" s="1"/>
      <c r="BG42" s="1"/>
      <c r="BH42" s="7">
        <v>37</v>
      </c>
      <c r="BI42" s="7" t="s">
        <v>1006</v>
      </c>
      <c r="BJ42" s="7"/>
      <c r="BK42" s="1"/>
    </row>
    <row r="43" spans="1:63" hidden="1" outlineLevel="1">
      <c r="AD43" s="1"/>
      <c r="AE43" s="1" t="s">
        <v>737</v>
      </c>
      <c r="AF43" s="1" t="s">
        <v>903</v>
      </c>
      <c r="AG43" s="1"/>
      <c r="AH43" s="1" t="s">
        <v>737</v>
      </c>
      <c r="AI43" s="1" t="s">
        <v>4145</v>
      </c>
      <c r="AJ43" s="1" t="s">
        <v>4146</v>
      </c>
      <c r="AK43" s="1"/>
      <c r="AL43" s="1" t="s">
        <v>785</v>
      </c>
      <c r="AM43" s="1" t="s">
        <v>885</v>
      </c>
      <c r="AN43" s="1"/>
      <c r="AO43" s="1" t="s">
        <v>785</v>
      </c>
      <c r="AP43" s="1" t="s">
        <v>4527</v>
      </c>
      <c r="AQ43" s="1" t="s">
        <v>4528</v>
      </c>
      <c r="BF43" s="1"/>
      <c r="BG43" s="1"/>
      <c r="BH43" s="1">
        <v>38</v>
      </c>
      <c r="BI43" s="1" t="s">
        <v>1032</v>
      </c>
      <c r="BJ43" s="1"/>
      <c r="BK43" s="1"/>
    </row>
    <row r="44" spans="1:63" hidden="1" outlineLevel="1">
      <c r="AD44" s="1"/>
      <c r="AE44" s="1" t="s">
        <v>738</v>
      </c>
      <c r="AF44" s="1" t="s">
        <v>829</v>
      </c>
      <c r="AG44" s="1"/>
      <c r="AH44" s="1" t="s">
        <v>738</v>
      </c>
      <c r="AI44" s="1" t="s">
        <v>4154</v>
      </c>
      <c r="AJ44" s="1" t="s">
        <v>4155</v>
      </c>
      <c r="AK44" s="1"/>
      <c r="AL44" s="1" t="s">
        <v>786</v>
      </c>
      <c r="AM44" s="1" t="s">
        <v>833</v>
      </c>
      <c r="AN44" s="1"/>
      <c r="AO44" s="1" t="s">
        <v>786</v>
      </c>
      <c r="AP44" s="1" t="s">
        <v>4535</v>
      </c>
      <c r="AQ44" s="1" t="s">
        <v>4536</v>
      </c>
      <c r="BF44" s="1"/>
      <c r="BG44" s="1"/>
      <c r="BH44" s="1">
        <v>39</v>
      </c>
      <c r="BI44" s="1" t="s">
        <v>1008</v>
      </c>
      <c r="BJ44" s="1"/>
      <c r="BK44" s="1"/>
    </row>
    <row r="45" spans="1:63" hidden="1" outlineLevel="1">
      <c r="AD45" s="1"/>
      <c r="AE45" s="1" t="s">
        <v>739</v>
      </c>
      <c r="AF45" s="1" t="s">
        <v>641</v>
      </c>
      <c r="AG45" s="1"/>
      <c r="AH45" s="1" t="s">
        <v>739</v>
      </c>
      <c r="AI45" s="1" t="s">
        <v>4161</v>
      </c>
      <c r="AJ45" s="1" t="s">
        <v>4162</v>
      </c>
      <c r="AK45" s="1"/>
      <c r="AL45" s="1" t="s">
        <v>787</v>
      </c>
      <c r="AM45" s="1" t="s">
        <v>701</v>
      </c>
      <c r="AN45" s="1"/>
      <c r="AO45" s="1" t="s">
        <v>787</v>
      </c>
      <c r="AP45" s="1" t="s">
        <v>4543</v>
      </c>
      <c r="AQ45" s="1" t="s">
        <v>4544</v>
      </c>
      <c r="BF45" s="1"/>
      <c r="BG45" s="1"/>
      <c r="BH45" s="1">
        <v>40</v>
      </c>
      <c r="BI45" s="1" t="s">
        <v>1033</v>
      </c>
      <c r="BJ45" s="1"/>
      <c r="BK45" s="1"/>
    </row>
    <row r="46" spans="1:63" hidden="1" outlineLevel="1">
      <c r="AD46" s="1"/>
      <c r="AE46" s="1" t="s">
        <v>740</v>
      </c>
      <c r="AF46" s="1" t="s">
        <v>657</v>
      </c>
      <c r="AG46" s="1"/>
      <c r="AH46" s="1" t="s">
        <v>740</v>
      </c>
      <c r="AI46" s="1" t="s">
        <v>4170</v>
      </c>
      <c r="AJ46" s="1" t="s">
        <v>4171</v>
      </c>
      <c r="AK46" s="1"/>
      <c r="AL46" s="1" t="s">
        <v>788</v>
      </c>
      <c r="AM46" s="1" t="s">
        <v>691</v>
      </c>
      <c r="AN46" s="1"/>
      <c r="AO46" s="1" t="s">
        <v>788</v>
      </c>
      <c r="AP46" s="1" t="s">
        <v>4551</v>
      </c>
      <c r="AQ46" s="1" t="s">
        <v>4552</v>
      </c>
      <c r="BF46" s="1"/>
      <c r="BG46" s="1"/>
      <c r="BH46" s="140">
        <v>41</v>
      </c>
      <c r="BI46" s="140" t="s">
        <v>1009</v>
      </c>
      <c r="BJ46" s="140" t="s">
        <v>1044</v>
      </c>
      <c r="BK46" s="1"/>
    </row>
    <row r="47" spans="1:63" hidden="1" outlineLevel="1">
      <c r="AD47" s="1"/>
      <c r="AE47" s="1" t="s">
        <v>741</v>
      </c>
      <c r="AF47" s="1" t="s">
        <v>725</v>
      </c>
      <c r="AG47" s="1"/>
      <c r="AH47" s="1" t="s">
        <v>741</v>
      </c>
      <c r="AI47" s="1" t="s">
        <v>4179</v>
      </c>
      <c r="AJ47" s="1" t="s">
        <v>4180</v>
      </c>
      <c r="AK47" s="1"/>
      <c r="AL47" s="1" t="s">
        <v>789</v>
      </c>
      <c r="AM47" s="1" t="s">
        <v>731</v>
      </c>
      <c r="AN47" s="1"/>
      <c r="AO47" s="1" t="s">
        <v>789</v>
      </c>
      <c r="AP47" s="1" t="s">
        <v>4559</v>
      </c>
      <c r="AQ47" s="1" t="s">
        <v>4560</v>
      </c>
      <c r="BF47" s="1"/>
      <c r="BG47" s="1"/>
      <c r="BH47" s="1">
        <v>42</v>
      </c>
      <c r="BI47" s="1" t="s">
        <v>1034</v>
      </c>
      <c r="BJ47" s="1"/>
      <c r="BK47" s="1"/>
    </row>
    <row r="48" spans="1:63" hidden="1" outlineLevel="1">
      <c r="AD48" s="1"/>
      <c r="AE48" s="1" t="s">
        <v>742</v>
      </c>
      <c r="AF48" s="1" t="s">
        <v>671</v>
      </c>
      <c r="AG48" s="1" t="s">
        <v>2657</v>
      </c>
      <c r="AH48" s="1" t="s">
        <v>742</v>
      </c>
      <c r="AI48" s="1" t="s">
        <v>4188</v>
      </c>
      <c r="AJ48" s="1" t="s">
        <v>4189</v>
      </c>
      <c r="AK48" s="1"/>
      <c r="AL48" s="1" t="s">
        <v>790</v>
      </c>
      <c r="AM48" s="1" t="s">
        <v>849</v>
      </c>
      <c r="AN48" s="1"/>
      <c r="AO48" s="1" t="s">
        <v>790</v>
      </c>
      <c r="AP48" s="1" t="s">
        <v>4567</v>
      </c>
      <c r="AQ48" s="1" t="s">
        <v>4568</v>
      </c>
      <c r="BF48" s="1"/>
      <c r="BG48" s="1"/>
      <c r="BH48" s="1">
        <v>43</v>
      </c>
      <c r="BI48" s="1" t="s">
        <v>1012</v>
      </c>
      <c r="BJ48" s="1"/>
      <c r="BK48" s="1"/>
    </row>
    <row r="49" spans="30:63" hidden="1" outlineLevel="1">
      <c r="AD49" s="1"/>
      <c r="AE49" s="1" t="s">
        <v>743</v>
      </c>
      <c r="AF49" s="1" t="s">
        <v>717</v>
      </c>
      <c r="AG49" s="1" t="s">
        <v>2656</v>
      </c>
      <c r="AH49" s="1" t="s">
        <v>743</v>
      </c>
      <c r="AI49" s="1" t="s">
        <v>4194</v>
      </c>
      <c r="AJ49" s="1" t="s">
        <v>4195</v>
      </c>
      <c r="AK49" s="1"/>
      <c r="AL49" s="1" t="s">
        <v>791</v>
      </c>
      <c r="AM49" s="1" t="s">
        <v>893</v>
      </c>
      <c r="AN49" s="1"/>
      <c r="AO49" s="1" t="s">
        <v>791</v>
      </c>
      <c r="AP49" s="1" t="s">
        <v>4575</v>
      </c>
      <c r="AQ49" s="1" t="s">
        <v>4576</v>
      </c>
      <c r="BF49" s="1"/>
      <c r="BG49" s="1"/>
      <c r="BH49" s="1">
        <v>44</v>
      </c>
      <c r="BI49" s="1" t="s">
        <v>1035</v>
      </c>
      <c r="BJ49" s="1"/>
      <c r="BK49" s="1"/>
    </row>
    <row r="50" spans="30:63" hidden="1" outlineLevel="1">
      <c r="AD50" s="1"/>
      <c r="AE50" s="1" t="s">
        <v>744</v>
      </c>
      <c r="AF50" s="1" t="s">
        <v>847</v>
      </c>
      <c r="AG50" s="1"/>
      <c r="AH50" s="1" t="s">
        <v>744</v>
      </c>
      <c r="AI50" s="1" t="s">
        <v>4203</v>
      </c>
      <c r="AJ50" s="1" t="s">
        <v>4204</v>
      </c>
      <c r="AK50" s="1"/>
      <c r="AL50" s="1" t="s">
        <v>792</v>
      </c>
      <c r="AM50" s="1" t="s">
        <v>823</v>
      </c>
      <c r="AN50" s="1"/>
      <c r="AO50" s="1" t="s">
        <v>792</v>
      </c>
      <c r="AP50" s="1" t="s">
        <v>4582</v>
      </c>
      <c r="AQ50" s="1" t="s">
        <v>4583</v>
      </c>
      <c r="BF50" s="1"/>
      <c r="BG50" s="1"/>
      <c r="BH50" s="1">
        <v>45</v>
      </c>
      <c r="BI50" s="1" t="s">
        <v>1014</v>
      </c>
      <c r="BJ50" s="1"/>
      <c r="BK50" s="1"/>
    </row>
    <row r="51" spans="30:63" hidden="1" outlineLevel="1">
      <c r="AD51" s="1"/>
      <c r="AE51" s="1" t="s">
        <v>745</v>
      </c>
      <c r="AF51" s="1" t="s">
        <v>871</v>
      </c>
      <c r="AG51" s="1"/>
      <c r="AH51" s="1" t="s">
        <v>745</v>
      </c>
      <c r="AI51" s="1" t="s">
        <v>4211</v>
      </c>
      <c r="AJ51" s="1" t="s">
        <v>4212</v>
      </c>
      <c r="AK51" s="1"/>
      <c r="AL51" s="1" t="s">
        <v>793</v>
      </c>
      <c r="AM51" s="1" t="s">
        <v>835</v>
      </c>
      <c r="AN51" s="1"/>
      <c r="AO51" s="1" t="s">
        <v>793</v>
      </c>
      <c r="AP51" s="1" t="s">
        <v>4590</v>
      </c>
      <c r="AQ51" s="1" t="s">
        <v>4591</v>
      </c>
      <c r="BF51" s="1"/>
      <c r="BG51" s="1"/>
      <c r="BH51" s="1">
        <v>46</v>
      </c>
      <c r="BI51" s="1" t="s">
        <v>1016</v>
      </c>
      <c r="BJ51" s="1"/>
      <c r="BK51" s="1"/>
    </row>
    <row r="52" spans="30:63" hidden="1" outlineLevel="1">
      <c r="AD52" s="1"/>
      <c r="AE52" s="1" t="s">
        <v>746</v>
      </c>
      <c r="AF52" s="1" t="s">
        <v>883</v>
      </c>
      <c r="AG52" s="1"/>
      <c r="AH52" s="1" t="s">
        <v>746</v>
      </c>
      <c r="AI52" s="1" t="s">
        <v>4219</v>
      </c>
      <c r="AJ52" s="1" t="s">
        <v>4220</v>
      </c>
      <c r="AK52" s="1"/>
      <c r="AL52" s="1" t="s">
        <v>794</v>
      </c>
      <c r="AM52" s="1" t="s">
        <v>843</v>
      </c>
      <c r="AN52" s="1"/>
      <c r="AO52" s="1" t="s">
        <v>794</v>
      </c>
      <c r="AP52" s="1" t="s">
        <v>4598</v>
      </c>
      <c r="AQ52" s="1" t="s">
        <v>4599</v>
      </c>
      <c r="BF52" s="1"/>
      <c r="BG52" s="1"/>
      <c r="BH52" s="1">
        <v>47</v>
      </c>
      <c r="BI52" s="1" t="s">
        <v>1018</v>
      </c>
      <c r="BJ52" s="1"/>
      <c r="BK52" s="1"/>
    </row>
    <row r="53" spans="30:63" hidden="1" outlineLevel="1">
      <c r="AD53" s="1"/>
      <c r="AE53" s="1" t="s">
        <v>747</v>
      </c>
      <c r="AF53" s="1" t="s">
        <v>891</v>
      </c>
      <c r="AG53" s="1"/>
      <c r="AH53" s="1" t="s">
        <v>747</v>
      </c>
      <c r="AI53" s="1" t="s">
        <v>4228</v>
      </c>
      <c r="AJ53" s="1" t="s">
        <v>4229</v>
      </c>
      <c r="AK53" s="1"/>
      <c r="AL53" s="1" t="s">
        <v>795</v>
      </c>
      <c r="AM53" s="1" t="s">
        <v>851</v>
      </c>
      <c r="AN53" s="1" t="s">
        <v>171</v>
      </c>
      <c r="AO53" s="1" t="s">
        <v>795</v>
      </c>
      <c r="AP53" s="1" t="s">
        <v>4605</v>
      </c>
      <c r="AQ53" s="1" t="s">
        <v>4606</v>
      </c>
      <c r="BF53" s="1"/>
      <c r="BG53" s="1"/>
      <c r="BH53" s="1">
        <v>48</v>
      </c>
      <c r="BI53" s="1" t="s">
        <v>1036</v>
      </c>
      <c r="BJ53" s="1"/>
      <c r="BK53" s="1"/>
    </row>
    <row r="54" spans="30:63" hidden="1" outlineLevel="1">
      <c r="AD54" s="1"/>
      <c r="AE54" s="1" t="s">
        <v>748</v>
      </c>
      <c r="AF54" s="1" t="s">
        <v>907</v>
      </c>
      <c r="AG54" s="1"/>
      <c r="AH54" s="1" t="s">
        <v>748</v>
      </c>
      <c r="AI54" s="1" t="s">
        <v>4237</v>
      </c>
      <c r="AJ54" s="1" t="s">
        <v>4238</v>
      </c>
      <c r="AK54" s="1"/>
      <c r="AL54" s="1" t="s">
        <v>796</v>
      </c>
      <c r="AM54" s="1" t="s">
        <v>867</v>
      </c>
      <c r="AN54" s="1"/>
      <c r="AO54" s="1" t="s">
        <v>796</v>
      </c>
      <c r="AP54" s="1" t="s">
        <v>4613</v>
      </c>
      <c r="AQ54" s="1" t="s">
        <v>4614</v>
      </c>
    </row>
    <row r="55" spans="30:63" hidden="1" outlineLevel="1">
      <c r="AD55" s="1"/>
      <c r="AE55" s="1" t="s">
        <v>749</v>
      </c>
      <c r="AF55" s="1" t="s">
        <v>821</v>
      </c>
      <c r="AG55" s="1"/>
      <c r="AH55" s="1" t="s">
        <v>749</v>
      </c>
      <c r="AI55" s="1" t="s">
        <v>4246</v>
      </c>
      <c r="AJ55" s="1" t="s">
        <v>4247</v>
      </c>
      <c r="AK55" s="1"/>
      <c r="AL55" s="1" t="s">
        <v>797</v>
      </c>
      <c r="AM55" s="1" t="s">
        <v>895</v>
      </c>
      <c r="AN55" s="1"/>
      <c r="AO55" s="1" t="s">
        <v>797</v>
      </c>
      <c r="AP55" s="1" t="s">
        <v>4618</v>
      </c>
      <c r="AQ55" s="1" t="s">
        <v>4619</v>
      </c>
    </row>
    <row r="56" spans="30:63" hidden="1" outlineLevel="1">
      <c r="AD56" s="1"/>
      <c r="AE56" s="1" t="s">
        <v>750</v>
      </c>
      <c r="AF56" s="1" t="s">
        <v>643</v>
      </c>
      <c r="AG56" s="1"/>
      <c r="AH56" s="1" t="s">
        <v>750</v>
      </c>
      <c r="AI56" s="1" t="s">
        <v>4253</v>
      </c>
      <c r="AJ56" s="1" t="s">
        <v>4254</v>
      </c>
      <c r="AK56" s="1"/>
      <c r="AL56" s="1" t="s">
        <v>798</v>
      </c>
      <c r="AM56" s="1" t="s">
        <v>665</v>
      </c>
      <c r="AN56" s="1"/>
      <c r="AO56" s="1" t="s">
        <v>798</v>
      </c>
      <c r="AP56" s="1" t="s">
        <v>4625</v>
      </c>
      <c r="AQ56" s="1" t="s">
        <v>4626</v>
      </c>
    </row>
    <row r="57" spans="30:63" hidden="1" outlineLevel="1">
      <c r="AD57" s="1"/>
      <c r="AE57" s="1" t="s">
        <v>751</v>
      </c>
      <c r="AF57" s="1" t="s">
        <v>909</v>
      </c>
      <c r="AG57" s="1" t="s">
        <v>209</v>
      </c>
      <c r="AH57" s="1" t="s">
        <v>751</v>
      </c>
      <c r="AI57" s="1" t="s">
        <v>4262</v>
      </c>
      <c r="AJ57" s="1" t="s">
        <v>4263</v>
      </c>
      <c r="AK57" s="1"/>
      <c r="AL57" s="1" t="s">
        <v>799</v>
      </c>
      <c r="AM57" s="1" t="s">
        <v>689</v>
      </c>
      <c r="AN57" s="1" t="s">
        <v>164</v>
      </c>
      <c r="AO57" s="1" t="s">
        <v>799</v>
      </c>
      <c r="AP57" s="1" t="s">
        <v>4633</v>
      </c>
      <c r="AQ57" s="1" t="s">
        <v>4634</v>
      </c>
    </row>
    <row r="58" spans="30:63" hidden="1" outlineLevel="1">
      <c r="AD58" s="1"/>
      <c r="AE58" s="1" t="s">
        <v>752</v>
      </c>
      <c r="AF58" s="1" t="s">
        <v>655</v>
      </c>
      <c r="AG58" s="1"/>
      <c r="AH58" s="1" t="s">
        <v>752</v>
      </c>
      <c r="AI58" s="1" t="s">
        <v>4270</v>
      </c>
      <c r="AJ58" s="1" t="s">
        <v>4271</v>
      </c>
      <c r="AK58" s="1"/>
      <c r="AL58" s="1" t="s">
        <v>800</v>
      </c>
      <c r="AM58" s="1" t="s">
        <v>877</v>
      </c>
      <c r="AN58" s="1"/>
      <c r="AO58" s="1" t="s">
        <v>800</v>
      </c>
      <c r="AP58" s="1" t="s">
        <v>4641</v>
      </c>
      <c r="AQ58" s="1" t="s">
        <v>4642</v>
      </c>
    </row>
    <row r="59" spans="30:63" hidden="1" outlineLevel="1">
      <c r="AD59" s="1"/>
      <c r="AE59" s="1" t="s">
        <v>753</v>
      </c>
      <c r="AF59" s="1" t="s">
        <v>873</v>
      </c>
      <c r="AG59" s="1"/>
      <c r="AH59" s="1" t="s">
        <v>753</v>
      </c>
      <c r="AI59" s="1" t="s">
        <v>4277</v>
      </c>
      <c r="AJ59" s="1" t="s">
        <v>4278</v>
      </c>
      <c r="AK59" s="1"/>
      <c r="AL59" s="1" t="s">
        <v>801</v>
      </c>
      <c r="AM59" s="1" t="s">
        <v>723</v>
      </c>
      <c r="AN59" s="1"/>
      <c r="AO59" s="1" t="s">
        <v>801</v>
      </c>
      <c r="AP59" s="1" t="s">
        <v>4649</v>
      </c>
      <c r="AQ59" s="1" t="s">
        <v>4650</v>
      </c>
    </row>
    <row r="60" spans="30:63" hidden="1" outlineLevel="1">
      <c r="AD60" s="1"/>
      <c r="AE60" s="1" t="s">
        <v>754</v>
      </c>
      <c r="AF60" s="1" t="s">
        <v>911</v>
      </c>
      <c r="AG60" s="1"/>
      <c r="AH60" s="1" t="s">
        <v>754</v>
      </c>
      <c r="AI60" s="1" t="s">
        <v>4286</v>
      </c>
      <c r="AJ60" s="1" t="s">
        <v>4287</v>
      </c>
      <c r="AK60" s="1"/>
      <c r="AL60" s="1" t="s">
        <v>802</v>
      </c>
      <c r="AM60" s="1" t="s">
        <v>897</v>
      </c>
      <c r="AN60" s="1"/>
      <c r="AO60" s="1" t="s">
        <v>802</v>
      </c>
      <c r="AP60" s="1" t="s">
        <v>4656</v>
      </c>
      <c r="AQ60" s="1" t="s">
        <v>4657</v>
      </c>
    </row>
    <row r="61" spans="30:63" hidden="1" outlineLevel="1">
      <c r="AD61" s="1"/>
      <c r="AE61" s="1" t="s">
        <v>755</v>
      </c>
      <c r="AF61" s="1" t="s">
        <v>673</v>
      </c>
      <c r="AG61" s="1"/>
      <c r="AH61" s="1" t="s">
        <v>755</v>
      </c>
      <c r="AI61" s="1" t="s">
        <v>4293</v>
      </c>
      <c r="AJ61" s="1" t="s">
        <v>4294</v>
      </c>
      <c r="AK61" s="1"/>
      <c r="AL61" s="1" t="s">
        <v>803</v>
      </c>
      <c r="AM61" s="1" t="s">
        <v>687</v>
      </c>
      <c r="AN61" s="1"/>
      <c r="AO61" s="1" t="s">
        <v>803</v>
      </c>
      <c r="AP61" s="1" t="s">
        <v>4663</v>
      </c>
      <c r="AQ61" s="1" t="s">
        <v>4664</v>
      </c>
    </row>
    <row r="62" spans="30:63" hidden="1" outlineLevel="1">
      <c r="AD62" s="1"/>
      <c r="AE62" s="1" t="s">
        <v>756</v>
      </c>
      <c r="AF62" s="1" t="s">
        <v>707</v>
      </c>
      <c r="AG62" s="1"/>
      <c r="AH62" s="1" t="s">
        <v>756</v>
      </c>
      <c r="AI62" s="1" t="s">
        <v>4300</v>
      </c>
      <c r="AJ62" s="1" t="s">
        <v>4301</v>
      </c>
      <c r="AK62" s="1"/>
      <c r="AL62" s="1" t="s">
        <v>804</v>
      </c>
      <c r="AM62" s="1" t="s">
        <v>825</v>
      </c>
      <c r="AN62" s="1"/>
      <c r="AO62" s="1" t="s">
        <v>804</v>
      </c>
      <c r="AP62" s="1" t="s">
        <v>4670</v>
      </c>
      <c r="AQ62" s="1" t="s">
        <v>4671</v>
      </c>
    </row>
    <row r="63" spans="30:63" hidden="1" outlineLevel="1">
      <c r="AD63" s="1"/>
      <c r="AE63" s="1" t="s">
        <v>757</v>
      </c>
      <c r="AF63" s="1" t="s">
        <v>653</v>
      </c>
      <c r="AG63" s="1"/>
      <c r="AH63" s="1" t="s">
        <v>757</v>
      </c>
      <c r="AI63" s="1" t="s">
        <v>4309</v>
      </c>
      <c r="AJ63" s="1" t="s">
        <v>4310</v>
      </c>
      <c r="AK63" s="1"/>
      <c r="AL63" s="1" t="s">
        <v>805</v>
      </c>
      <c r="AM63" s="1" t="s">
        <v>819</v>
      </c>
      <c r="AN63" s="1"/>
      <c r="AO63" s="1" t="s">
        <v>805</v>
      </c>
      <c r="AP63" s="1" t="s">
        <v>4677</v>
      </c>
      <c r="AQ63" s="1" t="s">
        <v>4678</v>
      </c>
    </row>
    <row r="64" spans="30:63" hidden="1" outlineLevel="1">
      <c r="AD64" s="1"/>
      <c r="AE64" s="1" t="s">
        <v>758</v>
      </c>
      <c r="AF64" s="1" t="s">
        <v>651</v>
      </c>
      <c r="AG64" s="1"/>
      <c r="AH64" s="1" t="s">
        <v>758</v>
      </c>
      <c r="AI64" s="1" t="s">
        <v>4316</v>
      </c>
      <c r="AJ64" s="1" t="s">
        <v>4317</v>
      </c>
      <c r="AK64" s="1"/>
      <c r="AL64" s="1" t="s">
        <v>806</v>
      </c>
      <c r="AM64" s="1" t="s">
        <v>709</v>
      </c>
      <c r="AN64" s="1"/>
      <c r="AO64" s="1" t="s">
        <v>806</v>
      </c>
      <c r="AP64" s="1" t="s">
        <v>4684</v>
      </c>
      <c r="AQ64" s="1" t="s">
        <v>4685</v>
      </c>
    </row>
    <row r="65" spans="30:43" hidden="1" outlineLevel="1">
      <c r="AD65" s="1"/>
      <c r="AE65" s="1" t="s">
        <v>759</v>
      </c>
      <c r="AF65" s="1" t="s">
        <v>667</v>
      </c>
      <c r="AG65" s="1"/>
      <c r="AH65" s="1" t="s">
        <v>759</v>
      </c>
      <c r="AI65" s="1" t="s">
        <v>4325</v>
      </c>
      <c r="AJ65" s="1" t="s">
        <v>4326</v>
      </c>
      <c r="AK65" s="1"/>
      <c r="AL65" s="1" t="s">
        <v>807</v>
      </c>
      <c r="AM65" s="1" t="s">
        <v>713</v>
      </c>
      <c r="AN65" s="1"/>
      <c r="AO65" s="1" t="s">
        <v>807</v>
      </c>
      <c r="AP65" s="1" t="s">
        <v>4446</v>
      </c>
      <c r="AQ65" s="1" t="s">
        <v>4628</v>
      </c>
    </row>
    <row r="66" spans="30:43" hidden="1" outlineLevel="1">
      <c r="AD66" s="1"/>
      <c r="AE66" s="1" t="s">
        <v>760</v>
      </c>
      <c r="AF66" s="1" t="s">
        <v>711</v>
      </c>
      <c r="AG66" s="1"/>
      <c r="AH66" s="1" t="s">
        <v>760</v>
      </c>
      <c r="AI66" s="1" t="s">
        <v>4334</v>
      </c>
      <c r="AJ66" s="1" t="s">
        <v>4335</v>
      </c>
      <c r="AK66" s="1"/>
      <c r="AL66" s="1" t="s">
        <v>233</v>
      </c>
      <c r="AM66" s="1" t="s">
        <v>721</v>
      </c>
      <c r="AN66" s="1"/>
      <c r="AO66" s="1" t="s">
        <v>233</v>
      </c>
      <c r="AP66" s="1" t="s">
        <v>4696</v>
      </c>
      <c r="AQ66" s="1" t="s">
        <v>4697</v>
      </c>
    </row>
    <row r="67" spans="30:43" hidden="1" outlineLevel="1">
      <c r="AD67" s="1"/>
      <c r="AE67" s="1" t="s">
        <v>761</v>
      </c>
      <c r="AF67" s="1" t="s">
        <v>679</v>
      </c>
      <c r="AG67" s="1" t="s">
        <v>203</v>
      </c>
      <c r="AH67" s="1" t="s">
        <v>761</v>
      </c>
      <c r="AI67" s="1" t="s">
        <v>4341</v>
      </c>
      <c r="AJ67" s="1" t="s">
        <v>4342</v>
      </c>
      <c r="AK67" s="1"/>
      <c r="AL67" s="1" t="s">
        <v>234</v>
      </c>
      <c r="AM67" s="1" t="s">
        <v>837</v>
      </c>
      <c r="AN67" s="1"/>
      <c r="AO67" s="1" t="s">
        <v>234</v>
      </c>
      <c r="AP67" s="1" t="s">
        <v>4703</v>
      </c>
      <c r="AQ67" s="1" t="s">
        <v>4704</v>
      </c>
    </row>
    <row r="68" spans="30:43" hidden="1" outlineLevel="1">
      <c r="AD68" s="1"/>
      <c r="AE68" s="1" t="s">
        <v>762</v>
      </c>
      <c r="AF68" s="1" t="s">
        <v>839</v>
      </c>
      <c r="AG68" s="1"/>
      <c r="AH68" s="1" t="s">
        <v>762</v>
      </c>
      <c r="AI68" s="1" t="s">
        <v>4349</v>
      </c>
      <c r="AJ68" s="1" t="s">
        <v>4350</v>
      </c>
      <c r="AK68" s="1"/>
      <c r="AL68" s="1" t="s">
        <v>235</v>
      </c>
      <c r="AM68" s="1" t="s">
        <v>827</v>
      </c>
      <c r="AN68" s="1"/>
      <c r="AO68" s="1" t="s">
        <v>235</v>
      </c>
      <c r="AP68" s="1" t="s">
        <v>4710</v>
      </c>
      <c r="AQ68" s="1" t="s">
        <v>4711</v>
      </c>
    </row>
    <row r="69" spans="30:43" hidden="1" outlineLevel="1">
      <c r="AD69" s="1"/>
      <c r="AE69" s="1" t="s">
        <v>763</v>
      </c>
      <c r="AF69" s="1" t="s">
        <v>855</v>
      </c>
      <c r="AG69" s="1" t="s">
        <v>201</v>
      </c>
      <c r="AH69" s="1" t="s">
        <v>763</v>
      </c>
      <c r="AI69" s="1" t="s">
        <v>4357</v>
      </c>
      <c r="AJ69" s="1" t="s">
        <v>4358</v>
      </c>
      <c r="AK69" s="1"/>
      <c r="AL69" s="1" t="s">
        <v>236</v>
      </c>
      <c r="AM69" s="1" t="s">
        <v>705</v>
      </c>
      <c r="AN69" s="1" t="s">
        <v>169</v>
      </c>
      <c r="AO69" s="1" t="s">
        <v>236</v>
      </c>
      <c r="AP69" s="1" t="s">
        <v>4717</v>
      </c>
      <c r="AQ69" s="1" t="s">
        <v>4718</v>
      </c>
    </row>
    <row r="70" spans="30:43" hidden="1" outlineLevel="1">
      <c r="AD70" s="1"/>
      <c r="AE70" s="1" t="s">
        <v>764</v>
      </c>
      <c r="AF70" s="1" t="s">
        <v>863</v>
      </c>
      <c r="AG70" s="1"/>
      <c r="AH70" s="1" t="s">
        <v>764</v>
      </c>
      <c r="AI70" s="1" t="s">
        <v>4365</v>
      </c>
      <c r="AJ70" s="1" t="s">
        <v>4366</v>
      </c>
      <c r="AK70" s="1"/>
      <c r="AL70" s="1" t="s">
        <v>237</v>
      </c>
      <c r="AM70" s="1" t="s">
        <v>913</v>
      </c>
      <c r="AN70" s="1" t="s">
        <v>209</v>
      </c>
      <c r="AO70" s="1" t="s">
        <v>237</v>
      </c>
      <c r="AP70" s="1" t="s">
        <v>4723</v>
      </c>
      <c r="AQ70" s="1" t="s">
        <v>4724</v>
      </c>
    </row>
    <row r="71" spans="30:43" hidden="1" outlineLevel="1">
      <c r="AD71" s="1"/>
      <c r="AE71" s="1" t="s">
        <v>765</v>
      </c>
      <c r="AF71" s="1" t="s">
        <v>693</v>
      </c>
      <c r="AG71" s="1"/>
      <c r="AH71" s="1" t="s">
        <v>765</v>
      </c>
      <c r="AI71" s="1" t="s">
        <v>4373</v>
      </c>
      <c r="AJ71" s="1" t="s">
        <v>4374</v>
      </c>
      <c r="AK71" s="1"/>
      <c r="AL71" s="1" t="s">
        <v>238</v>
      </c>
      <c r="AM71" s="1" t="s">
        <v>685</v>
      </c>
      <c r="AN71" s="1" t="s">
        <v>26</v>
      </c>
      <c r="AO71" s="1" t="s">
        <v>238</v>
      </c>
      <c r="AP71" s="1" t="s">
        <v>4730</v>
      </c>
      <c r="AQ71" s="1" t="s">
        <v>4731</v>
      </c>
    </row>
    <row r="72" spans="30:43" hidden="1" outlineLevel="1">
      <c r="AD72" s="1"/>
      <c r="AE72" s="1" t="s">
        <v>766</v>
      </c>
      <c r="AF72" s="1" t="s">
        <v>663</v>
      </c>
      <c r="AG72" s="1"/>
      <c r="AH72" s="1" t="s">
        <v>766</v>
      </c>
      <c r="AI72" s="1" t="s">
        <v>4381</v>
      </c>
      <c r="AJ72" s="1" t="s">
        <v>4382</v>
      </c>
      <c r="AK72" s="1"/>
      <c r="AL72" s="1" t="s">
        <v>239</v>
      </c>
      <c r="AM72" s="1" t="s">
        <v>677</v>
      </c>
      <c r="AN72" s="1" t="s">
        <v>20</v>
      </c>
      <c r="AO72" s="1" t="s">
        <v>239</v>
      </c>
      <c r="AP72" s="1" t="s">
        <v>4737</v>
      </c>
      <c r="AQ72" s="1" t="s">
        <v>4738</v>
      </c>
    </row>
    <row r="73" spans="30:43" hidden="1" outlineLevel="1">
      <c r="AD73" s="1"/>
      <c r="AE73" s="1" t="s">
        <v>767</v>
      </c>
      <c r="AF73" s="1" t="s">
        <v>659</v>
      </c>
      <c r="AG73" s="1" t="s">
        <v>201</v>
      </c>
      <c r="AH73" s="1" t="s">
        <v>767</v>
      </c>
      <c r="AI73" s="1" t="s">
        <v>4389</v>
      </c>
      <c r="AJ73" s="1" t="s">
        <v>4390</v>
      </c>
      <c r="AK73" s="1"/>
      <c r="AL73" s="1" t="s">
        <v>240</v>
      </c>
      <c r="AM73" s="1" t="s">
        <v>675</v>
      </c>
      <c r="AN73" s="1"/>
      <c r="AO73" s="1" t="s">
        <v>240</v>
      </c>
      <c r="AP73" s="1" t="s">
        <v>4743</v>
      </c>
      <c r="AQ73" s="1" t="s">
        <v>4744</v>
      </c>
    </row>
    <row r="74" spans="30:43" hidden="1" outlineLevel="1">
      <c r="AD74" s="1"/>
      <c r="AE74" s="1" t="s">
        <v>768</v>
      </c>
      <c r="AF74" s="1" t="s">
        <v>645</v>
      </c>
      <c r="AG74" s="1"/>
      <c r="AH74" s="1" t="s">
        <v>768</v>
      </c>
      <c r="AI74" s="1" t="s">
        <v>4397</v>
      </c>
      <c r="AJ74" s="1" t="s">
        <v>4398</v>
      </c>
      <c r="AK74" s="1"/>
      <c r="AL74" s="1" t="s">
        <v>241</v>
      </c>
      <c r="AM74" s="1" t="s">
        <v>715</v>
      </c>
      <c r="AN74" s="1" t="s">
        <v>171</v>
      </c>
      <c r="AO74" s="1" t="s">
        <v>241</v>
      </c>
      <c r="AP74" s="1" t="s">
        <v>4749</v>
      </c>
      <c r="AQ74" s="1" t="s">
        <v>4750</v>
      </c>
    </row>
    <row r="75" spans="30:43" hidden="1" outlineLevel="1">
      <c r="AD75" s="1"/>
      <c r="AE75" s="1" t="s">
        <v>769</v>
      </c>
      <c r="AF75" s="1" t="s">
        <v>733</v>
      </c>
      <c r="AG75" s="1"/>
      <c r="AH75" s="1" t="s">
        <v>769</v>
      </c>
      <c r="AI75" s="1" t="s">
        <v>4405</v>
      </c>
      <c r="AJ75" s="1" t="s">
        <v>4406</v>
      </c>
      <c r="AK75" s="1"/>
      <c r="AL75" s="1" t="s">
        <v>242</v>
      </c>
      <c r="AM75" s="1" t="s">
        <v>899</v>
      </c>
      <c r="AN75" s="1"/>
      <c r="AO75" s="1" t="s">
        <v>242</v>
      </c>
      <c r="AP75" s="1" t="s">
        <v>4755</v>
      </c>
      <c r="AQ75" s="1" t="s">
        <v>4756</v>
      </c>
    </row>
    <row r="76" spans="30:43" hidden="1" outlineLevel="1">
      <c r="AD76" s="1"/>
      <c r="AE76" s="1" t="s">
        <v>770</v>
      </c>
      <c r="AF76" s="1" t="s">
        <v>901</v>
      </c>
      <c r="AG76" s="1"/>
      <c r="AH76" s="1" t="s">
        <v>770</v>
      </c>
      <c r="AI76" s="1" t="s">
        <v>4413</v>
      </c>
      <c r="AJ76" s="1" t="s">
        <v>4414</v>
      </c>
      <c r="AK76" s="1"/>
      <c r="AL76" s="1" t="s">
        <v>243</v>
      </c>
      <c r="AM76" s="1" t="s">
        <v>831</v>
      </c>
      <c r="AN76" s="1"/>
      <c r="AO76" s="1" t="s">
        <v>243</v>
      </c>
      <c r="AP76" s="1" t="s">
        <v>4761</v>
      </c>
      <c r="AQ76" s="1" t="s">
        <v>4762</v>
      </c>
    </row>
    <row r="77" spans="30:43" hidden="1" outlineLevel="1">
      <c r="AD77" s="1"/>
      <c r="AE77" s="1" t="s">
        <v>771</v>
      </c>
      <c r="AF77" s="1" t="s">
        <v>859</v>
      </c>
      <c r="AG77" s="1"/>
      <c r="AH77" s="1" t="s">
        <v>771</v>
      </c>
      <c r="AI77" s="1" t="s">
        <v>4421</v>
      </c>
      <c r="AJ77" s="1" t="s">
        <v>2617</v>
      </c>
      <c r="AK77" s="1"/>
      <c r="AL77" s="1" t="s">
        <v>244</v>
      </c>
      <c r="AM77" s="1" t="s">
        <v>889</v>
      </c>
      <c r="AN77" s="1"/>
      <c r="AO77" s="1" t="s">
        <v>244</v>
      </c>
      <c r="AP77" s="1" t="s">
        <v>4767</v>
      </c>
      <c r="AQ77" s="1" t="s">
        <v>4768</v>
      </c>
    </row>
    <row r="78" spans="30:43" hidden="1" outlineLevel="1">
      <c r="AD78" s="1"/>
      <c r="AE78" s="1" t="s">
        <v>772</v>
      </c>
      <c r="AF78" s="1" t="s">
        <v>719</v>
      </c>
      <c r="AG78" s="1"/>
      <c r="AH78" s="1" t="s">
        <v>772</v>
      </c>
      <c r="AI78" s="1" t="s">
        <v>4428</v>
      </c>
      <c r="AJ78" s="1" t="s">
        <v>4429</v>
      </c>
      <c r="AK78" s="1"/>
      <c r="AL78" s="1" t="s">
        <v>245</v>
      </c>
      <c r="AM78" s="1" t="s">
        <v>841</v>
      </c>
      <c r="AN78" s="1"/>
      <c r="AO78" s="1" t="s">
        <v>245</v>
      </c>
      <c r="AP78" s="1" t="s">
        <v>4773</v>
      </c>
      <c r="AQ78" s="1" t="s">
        <v>4774</v>
      </c>
    </row>
    <row r="79" spans="30:43" hidden="1" outlineLevel="1">
      <c r="AD79" s="1"/>
      <c r="AE79" s="1" t="s">
        <v>773</v>
      </c>
      <c r="AF79" s="1" t="s">
        <v>681</v>
      </c>
      <c r="AG79" s="1" t="s">
        <v>201</v>
      </c>
      <c r="AH79" s="1" t="s">
        <v>773</v>
      </c>
      <c r="AI79" s="1" t="s">
        <v>4436</v>
      </c>
      <c r="AJ79" s="1" t="s">
        <v>4437</v>
      </c>
      <c r="AK79" s="1"/>
      <c r="AL79" s="1" t="s">
        <v>246</v>
      </c>
      <c r="AM79" s="1" t="s">
        <v>853</v>
      </c>
      <c r="AN79" s="1"/>
      <c r="AO79" s="1" t="s">
        <v>246</v>
      </c>
      <c r="AP79" s="1" t="s">
        <v>4780</v>
      </c>
      <c r="AQ79" s="1" t="s">
        <v>4781</v>
      </c>
    </row>
    <row r="80" spans="30:43" hidden="1" outlineLevel="1">
      <c r="AD80" s="1"/>
      <c r="AE80" s="1" t="s">
        <v>774</v>
      </c>
      <c r="AF80" s="1" t="s">
        <v>735</v>
      </c>
      <c r="AG80" s="1" t="s">
        <v>204</v>
      </c>
      <c r="AH80" s="1" t="s">
        <v>774</v>
      </c>
      <c r="AI80" s="1" t="s">
        <v>4444</v>
      </c>
      <c r="AJ80" s="1" t="s">
        <v>4445</v>
      </c>
      <c r="AK80" s="1"/>
      <c r="AL80" s="1" t="s">
        <v>247</v>
      </c>
      <c r="AM80" s="1" t="s">
        <v>881</v>
      </c>
      <c r="AN80" s="1"/>
      <c r="AO80" s="1" t="s">
        <v>247</v>
      </c>
      <c r="AP80" s="1" t="s">
        <v>4787</v>
      </c>
      <c r="AQ80" s="1" t="s">
        <v>4788</v>
      </c>
    </row>
    <row r="81" spans="30:43" hidden="1" outlineLevel="1">
      <c r="AD81" s="1"/>
      <c r="AE81" s="1" t="s">
        <v>775</v>
      </c>
      <c r="AF81" s="1" t="s">
        <v>661</v>
      </c>
      <c r="AG81" s="1"/>
      <c r="AH81" s="1" t="s">
        <v>775</v>
      </c>
      <c r="AI81" s="1" t="s">
        <v>4452</v>
      </c>
      <c r="AJ81" s="1" t="s">
        <v>4453</v>
      </c>
      <c r="AK81" s="1"/>
      <c r="AL81" s="1" t="s">
        <v>248</v>
      </c>
      <c r="AM81" s="1" t="s">
        <v>703</v>
      </c>
      <c r="AN81" s="1" t="s">
        <v>203</v>
      </c>
      <c r="AO81" s="1" t="s">
        <v>248</v>
      </c>
      <c r="AP81" s="1" t="s">
        <v>4792</v>
      </c>
      <c r="AQ81" s="1" t="s">
        <v>4793</v>
      </c>
    </row>
    <row r="82" spans="30:43" hidden="1" outlineLevel="1">
      <c r="AD82" s="1"/>
      <c r="AE82" s="1" t="s">
        <v>776</v>
      </c>
      <c r="AF82" s="1" t="s">
        <v>695</v>
      </c>
      <c r="AG82" s="1"/>
      <c r="AH82" s="1" t="s">
        <v>776</v>
      </c>
      <c r="AI82" s="1" t="s">
        <v>4460</v>
      </c>
      <c r="AJ82" s="1" t="s">
        <v>4461</v>
      </c>
      <c r="AK82" s="1"/>
      <c r="AL82" s="1" t="s">
        <v>249</v>
      </c>
      <c r="AM82" s="1" t="s">
        <v>669</v>
      </c>
      <c r="AN82" s="1"/>
      <c r="AO82" s="1" t="s">
        <v>249</v>
      </c>
      <c r="AP82" s="1" t="s">
        <v>4798</v>
      </c>
      <c r="AQ82" s="1" t="s">
        <v>4799</v>
      </c>
    </row>
    <row r="83" spans="30:43" hidden="1" outlineLevel="1">
      <c r="AD83" s="1"/>
      <c r="AE83" s="1" t="s">
        <v>777</v>
      </c>
      <c r="AF83" s="1" t="s">
        <v>683</v>
      </c>
      <c r="AG83" s="1"/>
      <c r="AH83" s="1" t="s">
        <v>777</v>
      </c>
      <c r="AI83" s="1" t="s">
        <v>4468</v>
      </c>
      <c r="AJ83" s="1" t="s">
        <v>4469</v>
      </c>
      <c r="AK83" s="1"/>
      <c r="AL83" s="1" t="s">
        <v>250</v>
      </c>
      <c r="AM83" s="1" t="s">
        <v>697</v>
      </c>
      <c r="AN83" s="1"/>
      <c r="AO83" s="1" t="s">
        <v>250</v>
      </c>
      <c r="AP83" s="1" t="s">
        <v>4804</v>
      </c>
      <c r="AQ83" s="1" t="s">
        <v>4805</v>
      </c>
    </row>
    <row r="84" spans="30:43" hidden="1" outlineLevel="1">
      <c r="AD84" s="1"/>
      <c r="AE84" s="1" t="s">
        <v>778</v>
      </c>
      <c r="AF84" s="1" t="s">
        <v>729</v>
      </c>
      <c r="AG84" s="1"/>
      <c r="AH84" s="1" t="s">
        <v>778</v>
      </c>
      <c r="AI84" s="1" t="s">
        <v>4475</v>
      </c>
      <c r="AJ84" s="1" t="s">
        <v>4476</v>
      </c>
      <c r="AK84" s="1"/>
      <c r="AL84" s="1" t="s">
        <v>251</v>
      </c>
      <c r="AM84" s="1" t="s">
        <v>869</v>
      </c>
      <c r="AN84" s="1"/>
      <c r="AO84" s="1" t="s">
        <v>251</v>
      </c>
      <c r="AP84" s="1" t="s">
        <v>4810</v>
      </c>
      <c r="AQ84" s="1" t="s">
        <v>4811</v>
      </c>
    </row>
    <row r="85" spans="30:43" hidden="1" outlineLevel="1">
      <c r="AD85" s="1"/>
      <c r="AE85" s="1" t="s">
        <v>779</v>
      </c>
      <c r="AF85" s="1" t="s">
        <v>699</v>
      </c>
      <c r="AG85" s="1"/>
      <c r="AH85" s="1" t="s">
        <v>779</v>
      </c>
      <c r="AI85" s="1" t="s">
        <v>4483</v>
      </c>
      <c r="AJ85" s="1" t="s">
        <v>4484</v>
      </c>
      <c r="AK85" s="1"/>
      <c r="AL85" s="1" t="s">
        <v>252</v>
      </c>
      <c r="AM85" s="1" t="s">
        <v>875</v>
      </c>
      <c r="AN85" s="1"/>
      <c r="AO85" s="1" t="s">
        <v>252</v>
      </c>
      <c r="AP85" s="1" t="s">
        <v>4816</v>
      </c>
      <c r="AQ85" s="1" t="s">
        <v>4817</v>
      </c>
    </row>
    <row r="86" spans="30:43" hidden="1" outlineLevel="1">
      <c r="AD86" s="1"/>
      <c r="AE86" s="1" t="s">
        <v>780</v>
      </c>
      <c r="AF86" s="1" t="s">
        <v>887</v>
      </c>
      <c r="AG86" s="1"/>
      <c r="AH86" s="1" t="s">
        <v>780</v>
      </c>
      <c r="AI86" s="1" t="s">
        <v>4489</v>
      </c>
      <c r="AJ86" s="1" t="s">
        <v>4490</v>
      </c>
      <c r="AK86" s="1"/>
      <c r="AL86" s="1" t="s">
        <v>253</v>
      </c>
      <c r="AM86" s="1" t="s">
        <v>905</v>
      </c>
      <c r="AN86" s="1"/>
      <c r="AO86" s="1" t="s">
        <v>253</v>
      </c>
      <c r="AP86" s="1" t="s">
        <v>4823</v>
      </c>
      <c r="AQ86" s="1" t="s">
        <v>4824</v>
      </c>
    </row>
    <row r="87" spans="30:43" hidden="1" outlineLevel="1">
      <c r="AD87" s="1"/>
      <c r="AE87" s="1" t="s">
        <v>781</v>
      </c>
      <c r="AF87" s="1" t="s">
        <v>727</v>
      </c>
      <c r="AG87" s="1"/>
      <c r="AH87" s="1" t="s">
        <v>781</v>
      </c>
      <c r="AI87" s="1" t="s">
        <v>4497</v>
      </c>
      <c r="AJ87" s="1" t="s">
        <v>4498</v>
      </c>
      <c r="AK87" s="1"/>
      <c r="AL87" s="1" t="s">
        <v>254</v>
      </c>
      <c r="AM87" s="1" t="s">
        <v>865</v>
      </c>
      <c r="AN87" s="1"/>
      <c r="AO87" s="1" t="s">
        <v>254</v>
      </c>
      <c r="AP87" s="1" t="s">
        <v>4830</v>
      </c>
      <c r="AQ87" s="1" t="s">
        <v>4831</v>
      </c>
    </row>
    <row r="88" spans="30:43" hidden="1" outlineLevel="1">
      <c r="AD88" s="1"/>
      <c r="AE88" s="1" t="s">
        <v>782</v>
      </c>
      <c r="AF88" s="1" t="s">
        <v>647</v>
      </c>
      <c r="AG88" s="1"/>
      <c r="AH88" s="1" t="s">
        <v>782</v>
      </c>
      <c r="AI88" s="1" t="s">
        <v>4505</v>
      </c>
      <c r="AJ88" s="1" t="s">
        <v>4506</v>
      </c>
      <c r="AK88" s="1"/>
      <c r="AL88" s="1" t="s">
        <v>255</v>
      </c>
      <c r="AM88" s="1" t="s">
        <v>857</v>
      </c>
      <c r="AN88" s="1"/>
      <c r="AO88" s="1" t="s">
        <v>255</v>
      </c>
      <c r="AP88" s="1" t="s">
        <v>2976</v>
      </c>
      <c r="AQ88" s="1" t="s">
        <v>2821</v>
      </c>
    </row>
    <row r="89" spans="30:43" hidden="1" outlineLevel="1">
      <c r="AD89" s="1"/>
      <c r="AE89" s="1" t="s">
        <v>783</v>
      </c>
      <c r="AF89" s="1" t="s">
        <v>861</v>
      </c>
      <c r="AG89" s="1"/>
      <c r="AH89" s="1" t="s">
        <v>783</v>
      </c>
      <c r="AI89" s="1" t="s">
        <v>4512</v>
      </c>
      <c r="AJ89" s="1" t="s">
        <v>4513</v>
      </c>
      <c r="AK89" s="1"/>
      <c r="AL89" s="1" t="s">
        <v>256</v>
      </c>
      <c r="AM89" s="1" t="s">
        <v>845</v>
      </c>
      <c r="AN89" s="1"/>
      <c r="AO89" s="1" t="s">
        <v>256</v>
      </c>
      <c r="AP89" s="1" t="s">
        <v>4841</v>
      </c>
      <c r="AQ89" s="1" t="s">
        <v>4842</v>
      </c>
    </row>
    <row r="90" spans="30:43" collapsed="1"/>
    <row r="91" spans="30:43">
      <c r="AD91" s="803" t="s">
        <v>5977</v>
      </c>
      <c r="AE91" s="803"/>
      <c r="AF91" s="803"/>
      <c r="AG91" s="803"/>
      <c r="AH91" s="803"/>
      <c r="AI91" s="803"/>
      <c r="AJ91" s="803"/>
      <c r="AK91" s="803"/>
    </row>
    <row r="92" spans="30:43" hidden="1" outlineLevel="1">
      <c r="AD92" s="1"/>
      <c r="AE92" s="1"/>
      <c r="AF92" s="1" t="s">
        <v>3150</v>
      </c>
      <c r="AG92" s="1" t="s">
        <v>3150</v>
      </c>
      <c r="AH92" s="1"/>
      <c r="AI92" s="1" t="s">
        <v>3149</v>
      </c>
      <c r="AJ92" s="1" t="s">
        <v>3881</v>
      </c>
      <c r="AK92" s="1" t="s">
        <v>3882</v>
      </c>
    </row>
    <row r="93" spans="30:43" hidden="1" outlineLevel="1">
      <c r="AD93" s="1" t="s">
        <v>924</v>
      </c>
      <c r="AE93" s="1" t="s">
        <v>736</v>
      </c>
      <c r="AF93" s="1" t="s">
        <v>3883</v>
      </c>
      <c r="AG93" s="1" t="s">
        <v>3884</v>
      </c>
      <c r="AH93" s="1"/>
      <c r="AI93" s="1" t="s">
        <v>3883</v>
      </c>
      <c r="AJ93" s="1" t="s">
        <v>3885</v>
      </c>
      <c r="AK93" s="1" t="s">
        <v>3886</v>
      </c>
    </row>
    <row r="94" spans="30:43" hidden="1" outlineLevel="1">
      <c r="AD94" s="1" t="s">
        <v>924</v>
      </c>
      <c r="AE94" s="1" t="s">
        <v>737</v>
      </c>
      <c r="AF94" s="1" t="s">
        <v>3887</v>
      </c>
      <c r="AG94" s="1" t="s">
        <v>3888</v>
      </c>
      <c r="AH94" s="1"/>
      <c r="AI94" s="1" t="s">
        <v>3887</v>
      </c>
      <c r="AJ94" s="1" t="s">
        <v>3889</v>
      </c>
      <c r="AK94" s="1" t="s">
        <v>3890</v>
      </c>
    </row>
    <row r="95" spans="30:43" hidden="1" outlineLevel="1">
      <c r="AD95" s="1" t="s">
        <v>924</v>
      </c>
      <c r="AE95" s="1" t="s">
        <v>738</v>
      </c>
      <c r="AF95" s="1" t="s">
        <v>3891</v>
      </c>
      <c r="AG95" s="1" t="s">
        <v>3892</v>
      </c>
      <c r="AH95" s="1"/>
      <c r="AI95" s="1" t="s">
        <v>3891</v>
      </c>
      <c r="AJ95" s="1" t="s">
        <v>3893</v>
      </c>
      <c r="AK95" s="1" t="s">
        <v>3894</v>
      </c>
    </row>
    <row r="96" spans="30:43" hidden="1" outlineLevel="1">
      <c r="AD96" s="1" t="s">
        <v>924</v>
      </c>
      <c r="AE96" s="1" t="s">
        <v>739</v>
      </c>
      <c r="AF96" s="1" t="s">
        <v>3895</v>
      </c>
      <c r="AG96" s="1" t="s">
        <v>3896</v>
      </c>
      <c r="AH96" s="1"/>
      <c r="AI96" s="1" t="s">
        <v>3895</v>
      </c>
      <c r="AJ96" s="1" t="s">
        <v>3897</v>
      </c>
      <c r="AK96" s="1" t="s">
        <v>3898</v>
      </c>
    </row>
    <row r="97" spans="30:37" hidden="1" outlineLevel="1">
      <c r="AD97" s="1" t="s">
        <v>924</v>
      </c>
      <c r="AE97" s="1" t="s">
        <v>740</v>
      </c>
      <c r="AF97" s="1" t="s">
        <v>3899</v>
      </c>
      <c r="AG97" s="1" t="s">
        <v>3900</v>
      </c>
      <c r="AH97" s="1"/>
      <c r="AI97" s="1" t="s">
        <v>3899</v>
      </c>
      <c r="AJ97" s="1" t="s">
        <v>3901</v>
      </c>
      <c r="AK97" s="1" t="s">
        <v>3902</v>
      </c>
    </row>
    <row r="98" spans="30:37" hidden="1" outlineLevel="1">
      <c r="AD98" s="1" t="s">
        <v>924</v>
      </c>
      <c r="AE98" s="1" t="s">
        <v>741</v>
      </c>
      <c r="AF98" s="1" t="s">
        <v>3903</v>
      </c>
      <c r="AG98" s="1" t="s">
        <v>3904</v>
      </c>
      <c r="AH98" s="1"/>
      <c r="AI98" s="1" t="s">
        <v>3903</v>
      </c>
      <c r="AJ98" s="1" t="s">
        <v>3905</v>
      </c>
      <c r="AK98" s="1" t="s">
        <v>3906</v>
      </c>
    </row>
    <row r="99" spans="30:37" hidden="1" outlineLevel="1">
      <c r="AD99" s="1" t="s">
        <v>924</v>
      </c>
      <c r="AE99" s="1" t="s">
        <v>742</v>
      </c>
      <c r="AF99" s="1" t="s">
        <v>3907</v>
      </c>
      <c r="AG99" s="1" t="s">
        <v>3908</v>
      </c>
      <c r="AH99" s="1"/>
      <c r="AI99" s="1" t="s">
        <v>3907</v>
      </c>
      <c r="AJ99" s="1" t="s">
        <v>3909</v>
      </c>
      <c r="AK99" s="1" t="s">
        <v>3910</v>
      </c>
    </row>
    <row r="100" spans="30:37" hidden="1" outlineLevel="1">
      <c r="AD100" s="1" t="s">
        <v>924</v>
      </c>
      <c r="AE100" s="1" t="s">
        <v>743</v>
      </c>
      <c r="AF100" s="1" t="s">
        <v>3911</v>
      </c>
      <c r="AG100" s="1" t="s">
        <v>3912</v>
      </c>
      <c r="AH100" s="1"/>
      <c r="AI100" s="1" t="s">
        <v>3911</v>
      </c>
      <c r="AJ100" s="1" t="s">
        <v>3913</v>
      </c>
      <c r="AK100" s="1" t="s">
        <v>3914</v>
      </c>
    </row>
    <row r="101" spans="30:37" hidden="1" outlineLevel="1">
      <c r="AD101" s="1" t="s">
        <v>924</v>
      </c>
      <c r="AE101" s="1" t="s">
        <v>744</v>
      </c>
      <c r="AF101" s="1" t="s">
        <v>3915</v>
      </c>
      <c r="AG101" s="1" t="s">
        <v>3916</v>
      </c>
      <c r="AH101" s="1"/>
      <c r="AI101" s="1" t="s">
        <v>3915</v>
      </c>
      <c r="AJ101" s="1" t="s">
        <v>3917</v>
      </c>
      <c r="AK101" s="1" t="s">
        <v>3918</v>
      </c>
    </row>
    <row r="102" spans="30:37" hidden="1" outlineLevel="1">
      <c r="AD102" s="1" t="s">
        <v>924</v>
      </c>
      <c r="AE102" s="1" t="s">
        <v>745</v>
      </c>
      <c r="AF102" s="1" t="s">
        <v>3919</v>
      </c>
      <c r="AG102" s="1" t="s">
        <v>3920</v>
      </c>
      <c r="AH102" s="1"/>
      <c r="AI102" s="1" t="s">
        <v>3919</v>
      </c>
      <c r="AJ102" s="1" t="s">
        <v>3921</v>
      </c>
      <c r="AK102" s="1" t="s">
        <v>3922</v>
      </c>
    </row>
    <row r="103" spans="30:37" hidden="1" outlineLevel="1">
      <c r="AD103" s="1" t="s">
        <v>924</v>
      </c>
      <c r="AE103" s="1" t="s">
        <v>746</v>
      </c>
      <c r="AF103" s="1" t="s">
        <v>3923</v>
      </c>
      <c r="AG103" s="1" t="s">
        <v>3924</v>
      </c>
      <c r="AH103" s="1"/>
      <c r="AI103" s="1" t="s">
        <v>3923</v>
      </c>
      <c r="AJ103" s="1" t="s">
        <v>3925</v>
      </c>
      <c r="AK103" s="1" t="s">
        <v>3926</v>
      </c>
    </row>
    <row r="104" spans="30:37" hidden="1" outlineLevel="1">
      <c r="AD104" s="1" t="s">
        <v>924</v>
      </c>
      <c r="AE104" s="1" t="s">
        <v>747</v>
      </c>
      <c r="AF104" s="1" t="s">
        <v>3927</v>
      </c>
      <c r="AG104" s="1" t="s">
        <v>3928</v>
      </c>
      <c r="AH104" s="1"/>
      <c r="AI104" s="1" t="s">
        <v>3927</v>
      </c>
      <c r="AJ104" s="1" t="s">
        <v>3929</v>
      </c>
      <c r="AK104" s="1" t="s">
        <v>3930</v>
      </c>
    </row>
    <row r="105" spans="30:37" hidden="1" outlineLevel="1">
      <c r="AD105" s="1" t="s">
        <v>924</v>
      </c>
      <c r="AE105" s="1" t="s">
        <v>748</v>
      </c>
      <c r="AF105" s="1" t="s">
        <v>3931</v>
      </c>
      <c r="AG105" s="1" t="s">
        <v>3932</v>
      </c>
      <c r="AH105" s="1"/>
      <c r="AI105" s="1" t="s">
        <v>3931</v>
      </c>
      <c r="AJ105" s="1" t="s">
        <v>3933</v>
      </c>
      <c r="AK105" s="1" t="s">
        <v>3934</v>
      </c>
    </row>
    <row r="106" spans="30:37" hidden="1" outlineLevel="1">
      <c r="AD106" s="1" t="s">
        <v>924</v>
      </c>
      <c r="AE106" s="1" t="s">
        <v>749</v>
      </c>
      <c r="AF106" s="1" t="s">
        <v>3935</v>
      </c>
      <c r="AG106" s="1" t="s">
        <v>3936</v>
      </c>
      <c r="AH106" s="1"/>
      <c r="AI106" s="1" t="s">
        <v>3935</v>
      </c>
      <c r="AJ106" s="1" t="s">
        <v>3937</v>
      </c>
      <c r="AK106" s="1" t="s">
        <v>3938</v>
      </c>
    </row>
    <row r="107" spans="30:37" hidden="1" outlineLevel="1">
      <c r="AD107" s="1" t="s">
        <v>924</v>
      </c>
      <c r="AE107" s="1" t="s">
        <v>750</v>
      </c>
      <c r="AF107" s="1" t="s">
        <v>3939</v>
      </c>
      <c r="AG107" s="1" t="s">
        <v>3940</v>
      </c>
      <c r="AH107" s="1"/>
      <c r="AI107" s="1" t="s">
        <v>3939</v>
      </c>
      <c r="AJ107" s="1" t="s">
        <v>3941</v>
      </c>
      <c r="AK107" s="1" t="s">
        <v>3942</v>
      </c>
    </row>
    <row r="108" spans="30:37" hidden="1" outlineLevel="1">
      <c r="AD108" s="1" t="s">
        <v>924</v>
      </c>
      <c r="AE108" s="1" t="s">
        <v>751</v>
      </c>
      <c r="AF108" s="1" t="s">
        <v>3943</v>
      </c>
      <c r="AG108" s="1" t="s">
        <v>3944</v>
      </c>
      <c r="AH108" s="1"/>
      <c r="AI108" s="1" t="s">
        <v>3943</v>
      </c>
      <c r="AJ108" s="1" t="s">
        <v>3945</v>
      </c>
      <c r="AK108" s="1" t="s">
        <v>3946</v>
      </c>
    </row>
    <row r="109" spans="30:37" hidden="1" outlineLevel="1">
      <c r="AD109" s="1" t="s">
        <v>924</v>
      </c>
      <c r="AE109" s="1" t="s">
        <v>752</v>
      </c>
      <c r="AF109" s="1" t="s">
        <v>3947</v>
      </c>
      <c r="AG109" s="1" t="s">
        <v>3948</v>
      </c>
      <c r="AH109" s="1"/>
      <c r="AI109" s="1" t="s">
        <v>3947</v>
      </c>
      <c r="AJ109" s="1" t="s">
        <v>3949</v>
      </c>
      <c r="AK109" s="1" t="s">
        <v>3950</v>
      </c>
    </row>
    <row r="110" spans="30:37" hidden="1" outlineLevel="1">
      <c r="AD110" s="1" t="s">
        <v>924</v>
      </c>
      <c r="AE110" s="1" t="s">
        <v>753</v>
      </c>
      <c r="AF110" s="1" t="s">
        <v>3951</v>
      </c>
      <c r="AG110" s="1" t="s">
        <v>3952</v>
      </c>
      <c r="AH110" s="1"/>
      <c r="AI110" s="1" t="s">
        <v>3951</v>
      </c>
      <c r="AJ110" s="1" t="s">
        <v>3953</v>
      </c>
      <c r="AK110" s="1" t="s">
        <v>3954</v>
      </c>
    </row>
    <row r="111" spans="30:37" hidden="1" outlineLevel="1">
      <c r="AD111" s="1" t="s">
        <v>924</v>
      </c>
      <c r="AE111" s="1" t="s">
        <v>754</v>
      </c>
      <c r="AF111" s="1" t="s">
        <v>3955</v>
      </c>
      <c r="AG111" s="1" t="s">
        <v>3954</v>
      </c>
      <c r="AH111" s="1"/>
      <c r="AI111" s="1" t="s">
        <v>3955</v>
      </c>
      <c r="AJ111" s="1" t="s">
        <v>3956</v>
      </c>
      <c r="AK111" s="1" t="s">
        <v>3952</v>
      </c>
    </row>
    <row r="112" spans="30:37" hidden="1" outlineLevel="1">
      <c r="AD112" s="1" t="s">
        <v>924</v>
      </c>
      <c r="AE112" s="1" t="s">
        <v>755</v>
      </c>
      <c r="AF112" s="1" t="s">
        <v>3957</v>
      </c>
      <c r="AG112" s="1" t="s">
        <v>3958</v>
      </c>
      <c r="AH112" s="1"/>
      <c r="AI112" s="1" t="s">
        <v>3957</v>
      </c>
      <c r="AJ112" s="1" t="s">
        <v>3959</v>
      </c>
      <c r="AK112" s="1" t="s">
        <v>3960</v>
      </c>
    </row>
    <row r="113" spans="30:37" hidden="1" outlineLevel="1">
      <c r="AD113" s="1" t="s">
        <v>924</v>
      </c>
      <c r="AE113" s="1" t="s">
        <v>756</v>
      </c>
      <c r="AF113" s="1" t="s">
        <v>3961</v>
      </c>
      <c r="AG113" s="1" t="s">
        <v>3962</v>
      </c>
      <c r="AH113" s="1"/>
      <c r="AI113" s="1" t="s">
        <v>3961</v>
      </c>
      <c r="AJ113" s="1" t="s">
        <v>3963</v>
      </c>
      <c r="AK113" s="1" t="s">
        <v>3964</v>
      </c>
    </row>
    <row r="114" spans="30:37" hidden="1" outlineLevel="1">
      <c r="AD114" s="1" t="s">
        <v>924</v>
      </c>
      <c r="AE114" s="1" t="s">
        <v>757</v>
      </c>
      <c r="AF114" s="1" t="s">
        <v>3965</v>
      </c>
      <c r="AG114" s="1" t="s">
        <v>3966</v>
      </c>
      <c r="AH114" s="1"/>
      <c r="AI114" s="1" t="s">
        <v>3965</v>
      </c>
      <c r="AJ114" s="1" t="s">
        <v>3967</v>
      </c>
      <c r="AK114" s="1" t="s">
        <v>3968</v>
      </c>
    </row>
    <row r="115" spans="30:37" hidden="1" outlineLevel="1">
      <c r="AD115" s="1" t="s">
        <v>924</v>
      </c>
      <c r="AE115" s="1" t="s">
        <v>758</v>
      </c>
      <c r="AF115" s="1" t="s">
        <v>3969</v>
      </c>
      <c r="AG115" s="1" t="s">
        <v>3970</v>
      </c>
      <c r="AH115" s="1"/>
      <c r="AI115" s="1" t="s">
        <v>3969</v>
      </c>
      <c r="AJ115" s="1" t="s">
        <v>3971</v>
      </c>
      <c r="AK115" s="1" t="s">
        <v>3972</v>
      </c>
    </row>
    <row r="116" spans="30:37" hidden="1" outlineLevel="1">
      <c r="AD116" s="1" t="s">
        <v>924</v>
      </c>
      <c r="AE116" s="1" t="s">
        <v>759</v>
      </c>
      <c r="AF116" s="1" t="s">
        <v>3973</v>
      </c>
      <c r="AG116" s="1" t="s">
        <v>3974</v>
      </c>
      <c r="AH116" s="1"/>
      <c r="AI116" s="1" t="s">
        <v>3973</v>
      </c>
      <c r="AJ116" s="1" t="s">
        <v>3975</v>
      </c>
      <c r="AK116" s="1" t="s">
        <v>3976</v>
      </c>
    </row>
    <row r="117" spans="30:37" hidden="1" outlineLevel="1">
      <c r="AD117" s="1" t="s">
        <v>924</v>
      </c>
      <c r="AE117" s="1" t="s">
        <v>760</v>
      </c>
      <c r="AF117" s="1" t="s">
        <v>3977</v>
      </c>
      <c r="AG117" s="1" t="s">
        <v>3978</v>
      </c>
      <c r="AH117" s="1"/>
      <c r="AI117" s="1" t="s">
        <v>3977</v>
      </c>
      <c r="AJ117" s="1" t="s">
        <v>3979</v>
      </c>
      <c r="AK117" s="1" t="s">
        <v>3980</v>
      </c>
    </row>
    <row r="118" spans="30:37" hidden="1" outlineLevel="1">
      <c r="AD118" s="1" t="s">
        <v>924</v>
      </c>
      <c r="AE118" s="1" t="s">
        <v>761</v>
      </c>
      <c r="AF118" s="1" t="s">
        <v>3981</v>
      </c>
      <c r="AG118" s="1" t="s">
        <v>3982</v>
      </c>
      <c r="AH118" s="1"/>
      <c r="AI118" s="1" t="s">
        <v>3981</v>
      </c>
      <c r="AJ118" s="1" t="s">
        <v>3983</v>
      </c>
      <c r="AK118" s="1" t="s">
        <v>3984</v>
      </c>
    </row>
    <row r="119" spans="30:37" hidden="1" outlineLevel="1">
      <c r="AD119" s="1" t="s">
        <v>924</v>
      </c>
      <c r="AE119" s="1" t="s">
        <v>762</v>
      </c>
      <c r="AF119" s="1" t="s">
        <v>3985</v>
      </c>
      <c r="AG119" s="1" t="s">
        <v>3986</v>
      </c>
      <c r="AH119" s="1"/>
      <c r="AI119" s="1" t="s">
        <v>3985</v>
      </c>
      <c r="AJ119" s="1" t="s">
        <v>3987</v>
      </c>
      <c r="AK119" s="1" t="s">
        <v>3988</v>
      </c>
    </row>
    <row r="120" spans="30:37" hidden="1" outlineLevel="1">
      <c r="AD120" s="1" t="s">
        <v>924</v>
      </c>
      <c r="AE120" s="1" t="s">
        <v>763</v>
      </c>
      <c r="AF120" s="1" t="s">
        <v>3989</v>
      </c>
      <c r="AG120" s="1" t="s">
        <v>3990</v>
      </c>
      <c r="AH120" s="1"/>
      <c r="AI120" s="1" t="s">
        <v>3989</v>
      </c>
      <c r="AJ120" s="1" t="s">
        <v>3991</v>
      </c>
      <c r="AK120" s="1" t="s">
        <v>3992</v>
      </c>
    </row>
    <row r="121" spans="30:37" hidden="1" outlineLevel="1">
      <c r="AD121" s="1" t="s">
        <v>924</v>
      </c>
      <c r="AE121" s="1" t="s">
        <v>764</v>
      </c>
      <c r="AF121" s="1" t="s">
        <v>3993</v>
      </c>
      <c r="AG121" s="1" t="s">
        <v>3994</v>
      </c>
      <c r="AH121" s="1"/>
      <c r="AI121" s="1" t="s">
        <v>3993</v>
      </c>
      <c r="AJ121" s="1" t="s">
        <v>3995</v>
      </c>
      <c r="AK121" s="1" t="s">
        <v>3996</v>
      </c>
    </row>
    <row r="122" spans="30:37" hidden="1" outlineLevel="1">
      <c r="AD122" s="1" t="s">
        <v>924</v>
      </c>
      <c r="AE122" s="1" t="s">
        <v>765</v>
      </c>
      <c r="AF122" s="1" t="s">
        <v>3997</v>
      </c>
      <c r="AG122" s="1" t="s">
        <v>3898</v>
      </c>
      <c r="AH122" s="1"/>
      <c r="AI122" s="1" t="s">
        <v>3997</v>
      </c>
      <c r="AJ122" s="1" t="s">
        <v>3998</v>
      </c>
      <c r="AK122" s="1" t="s">
        <v>3896</v>
      </c>
    </row>
    <row r="123" spans="30:37" hidden="1" outlineLevel="1">
      <c r="AD123" s="1" t="s">
        <v>924</v>
      </c>
      <c r="AE123" s="1" t="s">
        <v>766</v>
      </c>
      <c r="AF123" s="1" t="s">
        <v>3999</v>
      </c>
      <c r="AG123" s="1" t="s">
        <v>4000</v>
      </c>
      <c r="AH123" s="1"/>
      <c r="AI123" s="1" t="s">
        <v>3999</v>
      </c>
      <c r="AJ123" s="1" t="s">
        <v>4001</v>
      </c>
      <c r="AK123" s="1" t="s">
        <v>4002</v>
      </c>
    </row>
    <row r="124" spans="30:37" hidden="1" outlineLevel="1">
      <c r="AD124" s="1" t="s">
        <v>924</v>
      </c>
      <c r="AE124" s="1" t="s">
        <v>767</v>
      </c>
      <c r="AF124" s="1" t="s">
        <v>4003</v>
      </c>
      <c r="AG124" s="1" t="s">
        <v>3926</v>
      </c>
      <c r="AH124" s="1"/>
      <c r="AI124" s="1" t="s">
        <v>4003</v>
      </c>
      <c r="AJ124" s="1" t="s">
        <v>4004</v>
      </c>
      <c r="AK124" s="1" t="s">
        <v>3924</v>
      </c>
    </row>
    <row r="125" spans="30:37" hidden="1" outlineLevel="1">
      <c r="AD125" s="1" t="s">
        <v>924</v>
      </c>
      <c r="AE125" s="1" t="s">
        <v>768</v>
      </c>
      <c r="AF125" s="1" t="s">
        <v>4005</v>
      </c>
      <c r="AG125" s="1" t="s">
        <v>4006</v>
      </c>
      <c r="AH125" s="1"/>
      <c r="AI125" s="1" t="s">
        <v>4005</v>
      </c>
      <c r="AJ125" s="1" t="s">
        <v>4007</v>
      </c>
      <c r="AK125" s="1" t="s">
        <v>4008</v>
      </c>
    </row>
    <row r="126" spans="30:37" hidden="1" outlineLevel="1">
      <c r="AD126" s="1" t="s">
        <v>924</v>
      </c>
      <c r="AE126" s="1" t="s">
        <v>769</v>
      </c>
      <c r="AF126" s="1" t="s">
        <v>4009</v>
      </c>
      <c r="AG126" s="1" t="s">
        <v>4010</v>
      </c>
      <c r="AH126" s="1"/>
      <c r="AI126" s="1" t="s">
        <v>4009</v>
      </c>
      <c r="AJ126" s="1" t="s">
        <v>4011</v>
      </c>
      <c r="AK126" s="1" t="s">
        <v>4012</v>
      </c>
    </row>
    <row r="127" spans="30:37" hidden="1" outlineLevel="1">
      <c r="AD127" s="1" t="s">
        <v>924</v>
      </c>
      <c r="AE127" s="1" t="s">
        <v>770</v>
      </c>
      <c r="AF127" s="1" t="s">
        <v>4013</v>
      </c>
      <c r="AG127" s="1" t="s">
        <v>4014</v>
      </c>
      <c r="AH127" s="1"/>
      <c r="AI127" s="1" t="s">
        <v>4013</v>
      </c>
      <c r="AJ127" s="1" t="s">
        <v>4015</v>
      </c>
      <c r="AK127" s="1" t="s">
        <v>4016</v>
      </c>
    </row>
    <row r="128" spans="30:37" hidden="1" outlineLevel="1">
      <c r="AD128" s="1" t="s">
        <v>924</v>
      </c>
      <c r="AE128" s="1" t="s">
        <v>771</v>
      </c>
      <c r="AF128" s="1" t="s">
        <v>4017</v>
      </c>
      <c r="AG128" s="1" t="s">
        <v>4018</v>
      </c>
      <c r="AH128" s="1"/>
      <c r="AI128" s="1" t="s">
        <v>4017</v>
      </c>
      <c r="AJ128" s="1" t="s">
        <v>4019</v>
      </c>
      <c r="AK128" s="1" t="s">
        <v>4020</v>
      </c>
    </row>
    <row r="129" spans="30:37" hidden="1" outlineLevel="1">
      <c r="AD129" s="1" t="s">
        <v>924</v>
      </c>
      <c r="AE129" s="1" t="s">
        <v>772</v>
      </c>
      <c r="AF129" s="1" t="s">
        <v>4021</v>
      </c>
      <c r="AG129" s="1" t="s">
        <v>4008</v>
      </c>
      <c r="AH129" s="1"/>
      <c r="AI129" s="1" t="s">
        <v>4021</v>
      </c>
      <c r="AJ129" s="1" t="s">
        <v>4022</v>
      </c>
      <c r="AK129" s="1" t="s">
        <v>4023</v>
      </c>
    </row>
    <row r="130" spans="30:37" hidden="1" outlineLevel="1">
      <c r="AD130" s="1" t="s">
        <v>924</v>
      </c>
      <c r="AE130" s="1" t="s">
        <v>773</v>
      </c>
      <c r="AF130" s="1" t="s">
        <v>4024</v>
      </c>
      <c r="AG130" s="1" t="s">
        <v>4025</v>
      </c>
      <c r="AH130" s="1"/>
      <c r="AI130" s="1" t="s">
        <v>4024</v>
      </c>
      <c r="AJ130" s="1" t="s">
        <v>4026</v>
      </c>
      <c r="AK130" s="1" t="s">
        <v>4027</v>
      </c>
    </row>
    <row r="131" spans="30:37" hidden="1" outlineLevel="1">
      <c r="AD131" s="1" t="s">
        <v>924</v>
      </c>
      <c r="AE131" s="1" t="s">
        <v>774</v>
      </c>
      <c r="AF131" s="1" t="s">
        <v>4028</v>
      </c>
      <c r="AG131" s="1" t="s">
        <v>4029</v>
      </c>
      <c r="AH131" s="1"/>
      <c r="AI131" s="1" t="s">
        <v>4028</v>
      </c>
      <c r="AJ131" s="1" t="s">
        <v>4030</v>
      </c>
      <c r="AK131" s="1" t="s">
        <v>4031</v>
      </c>
    </row>
    <row r="132" spans="30:37" hidden="1" outlineLevel="1">
      <c r="AD132" s="1" t="s">
        <v>924</v>
      </c>
      <c r="AE132" s="1" t="s">
        <v>775</v>
      </c>
      <c r="AF132" s="1" t="s">
        <v>4032</v>
      </c>
      <c r="AG132" s="1" t="s">
        <v>4033</v>
      </c>
      <c r="AH132" s="1"/>
      <c r="AI132" s="1" t="s">
        <v>4032</v>
      </c>
      <c r="AJ132" s="1" t="s">
        <v>4034</v>
      </c>
      <c r="AK132" s="1" t="s">
        <v>4035</v>
      </c>
    </row>
    <row r="133" spans="30:37" hidden="1" outlineLevel="1">
      <c r="AD133" s="1" t="s">
        <v>924</v>
      </c>
      <c r="AE133" s="1" t="s">
        <v>776</v>
      </c>
      <c r="AF133" s="1" t="s">
        <v>4036</v>
      </c>
      <c r="AG133" s="1" t="s">
        <v>4037</v>
      </c>
      <c r="AH133" s="1"/>
      <c r="AI133" s="1" t="s">
        <v>4036</v>
      </c>
      <c r="AJ133" s="1" t="s">
        <v>4038</v>
      </c>
      <c r="AK133" s="1" t="s">
        <v>4039</v>
      </c>
    </row>
    <row r="134" spans="30:37" hidden="1" outlineLevel="1">
      <c r="AD134" s="1" t="s">
        <v>924</v>
      </c>
      <c r="AE134" s="1" t="s">
        <v>777</v>
      </c>
      <c r="AF134" s="1" t="s">
        <v>4040</v>
      </c>
      <c r="AG134" s="1" t="s">
        <v>4041</v>
      </c>
      <c r="AH134" s="1"/>
      <c r="AI134" s="1" t="s">
        <v>4040</v>
      </c>
      <c r="AJ134" s="1" t="s">
        <v>4042</v>
      </c>
      <c r="AK134" s="1" t="s">
        <v>4043</v>
      </c>
    </row>
    <row r="135" spans="30:37" hidden="1" outlineLevel="1">
      <c r="AD135" s="1" t="s">
        <v>924</v>
      </c>
      <c r="AE135" s="1" t="s">
        <v>778</v>
      </c>
      <c r="AF135" s="1" t="s">
        <v>4044</v>
      </c>
      <c r="AG135" s="1" t="s">
        <v>3980</v>
      </c>
      <c r="AH135" s="1"/>
      <c r="AI135" s="1" t="s">
        <v>4044</v>
      </c>
      <c r="AJ135" s="1" t="s">
        <v>4045</v>
      </c>
      <c r="AK135" s="1" t="s">
        <v>3978</v>
      </c>
    </row>
    <row r="136" spans="30:37" hidden="1" outlineLevel="1">
      <c r="AD136" s="1" t="s">
        <v>924</v>
      </c>
      <c r="AE136" s="1" t="s">
        <v>779</v>
      </c>
      <c r="AF136" s="1" t="s">
        <v>4046</v>
      </c>
      <c r="AG136" s="1" t="s">
        <v>4047</v>
      </c>
      <c r="AH136" s="1"/>
      <c r="AI136" s="1" t="s">
        <v>4046</v>
      </c>
      <c r="AJ136" s="1" t="s">
        <v>4048</v>
      </c>
      <c r="AK136" s="1" t="s">
        <v>4049</v>
      </c>
    </row>
    <row r="137" spans="30:37" hidden="1" outlineLevel="1">
      <c r="AD137" s="1" t="s">
        <v>924</v>
      </c>
      <c r="AE137" s="1" t="s">
        <v>780</v>
      </c>
      <c r="AF137" s="1" t="s">
        <v>4050</v>
      </c>
      <c r="AG137" s="1" t="s">
        <v>4051</v>
      </c>
      <c r="AH137" s="1"/>
      <c r="AI137" s="1" t="s">
        <v>4050</v>
      </c>
      <c r="AJ137" s="1" t="s">
        <v>4052</v>
      </c>
      <c r="AK137" s="1" t="s">
        <v>4053</v>
      </c>
    </row>
    <row r="138" spans="30:37" hidden="1" outlineLevel="1">
      <c r="AD138" s="1" t="s">
        <v>924</v>
      </c>
      <c r="AE138" s="1" t="s">
        <v>781</v>
      </c>
      <c r="AF138" s="1" t="s">
        <v>4054</v>
      </c>
      <c r="AG138" s="1" t="s">
        <v>4055</v>
      </c>
      <c r="AH138" s="1"/>
      <c r="AI138" s="1" t="s">
        <v>4054</v>
      </c>
      <c r="AJ138" s="1" t="s">
        <v>4056</v>
      </c>
      <c r="AK138" s="1" t="s">
        <v>4057</v>
      </c>
    </row>
    <row r="139" spans="30:37" hidden="1" outlineLevel="1">
      <c r="AD139" s="1" t="s">
        <v>924</v>
      </c>
      <c r="AE139" s="1" t="s">
        <v>782</v>
      </c>
      <c r="AF139" s="1" t="s">
        <v>4058</v>
      </c>
      <c r="AG139" s="1" t="s">
        <v>4059</v>
      </c>
      <c r="AH139" s="1"/>
      <c r="AI139" s="1" t="s">
        <v>4058</v>
      </c>
      <c r="AJ139" s="1" t="s">
        <v>4060</v>
      </c>
      <c r="AK139" s="1" t="s">
        <v>4061</v>
      </c>
    </row>
    <row r="140" spans="30:37" hidden="1" outlineLevel="1">
      <c r="AD140" s="1" t="s">
        <v>924</v>
      </c>
      <c r="AE140" s="1" t="s">
        <v>783</v>
      </c>
      <c r="AF140" s="1" t="s">
        <v>4062</v>
      </c>
      <c r="AG140" s="1" t="s">
        <v>4063</v>
      </c>
      <c r="AH140" s="1"/>
      <c r="AI140" s="1" t="s">
        <v>4062</v>
      </c>
      <c r="AJ140" s="1" t="s">
        <v>4064</v>
      </c>
      <c r="AK140" s="1" t="s">
        <v>4065</v>
      </c>
    </row>
    <row r="141" spans="30:37" hidden="1" outlineLevel="1">
      <c r="AD141" s="1" t="s">
        <v>924</v>
      </c>
      <c r="AE141" s="1" t="s">
        <v>784</v>
      </c>
      <c r="AF141" s="1" t="s">
        <v>4066</v>
      </c>
      <c r="AG141" s="1" t="s">
        <v>4067</v>
      </c>
      <c r="AH141" s="1"/>
      <c r="AI141" s="1" t="s">
        <v>4066</v>
      </c>
      <c r="AJ141" s="1" t="s">
        <v>4068</v>
      </c>
      <c r="AK141" s="1" t="s">
        <v>4069</v>
      </c>
    </row>
    <row r="142" spans="30:37" hidden="1" outlineLevel="1">
      <c r="AD142" s="1" t="s">
        <v>924</v>
      </c>
      <c r="AE142" s="1" t="s">
        <v>785</v>
      </c>
      <c r="AF142" s="1" t="s">
        <v>4070</v>
      </c>
      <c r="AG142" s="1" t="s">
        <v>4071</v>
      </c>
      <c r="AH142" s="1"/>
      <c r="AI142" s="1" t="s">
        <v>4070</v>
      </c>
      <c r="AJ142" s="1" t="s">
        <v>4072</v>
      </c>
      <c r="AK142" s="1" t="s">
        <v>4073</v>
      </c>
    </row>
    <row r="143" spans="30:37" hidden="1" outlineLevel="1">
      <c r="AD143" s="1" t="s">
        <v>924</v>
      </c>
      <c r="AE143" s="1" t="s">
        <v>786</v>
      </c>
      <c r="AF143" s="1" t="s">
        <v>4074</v>
      </c>
      <c r="AG143" s="1" t="s">
        <v>4075</v>
      </c>
      <c r="AH143" s="1"/>
      <c r="AI143" s="1" t="s">
        <v>4074</v>
      </c>
      <c r="AJ143" s="1" t="s">
        <v>4076</v>
      </c>
      <c r="AK143" s="1" t="s">
        <v>4077</v>
      </c>
    </row>
    <row r="144" spans="30:37" hidden="1" outlineLevel="1">
      <c r="AD144" s="1" t="s">
        <v>924</v>
      </c>
      <c r="AE144" s="1" t="s">
        <v>787</v>
      </c>
      <c r="AF144" s="1" t="s">
        <v>4078</v>
      </c>
      <c r="AG144" s="1" t="s">
        <v>4079</v>
      </c>
      <c r="AH144" s="1"/>
      <c r="AI144" s="1" t="s">
        <v>4078</v>
      </c>
      <c r="AJ144" s="1" t="s">
        <v>4080</v>
      </c>
      <c r="AK144" s="1" t="s">
        <v>4081</v>
      </c>
    </row>
    <row r="145" spans="30:37" hidden="1" outlineLevel="1">
      <c r="AD145" s="1" t="s">
        <v>924</v>
      </c>
      <c r="AE145" s="1" t="s">
        <v>788</v>
      </c>
      <c r="AF145" s="1" t="s">
        <v>4082</v>
      </c>
      <c r="AG145" s="1" t="s">
        <v>4083</v>
      </c>
      <c r="AH145" s="1"/>
      <c r="AI145" s="1" t="s">
        <v>4082</v>
      </c>
      <c r="AJ145" s="1" t="s">
        <v>4084</v>
      </c>
      <c r="AK145" s="1" t="s">
        <v>4085</v>
      </c>
    </row>
    <row r="146" spans="30:37" hidden="1" outlineLevel="1">
      <c r="AD146" s="1" t="s">
        <v>924</v>
      </c>
      <c r="AE146" s="1" t="s">
        <v>789</v>
      </c>
      <c r="AF146" s="1" t="s">
        <v>4086</v>
      </c>
      <c r="AG146" s="1" t="s">
        <v>4087</v>
      </c>
      <c r="AH146" s="1"/>
      <c r="AI146" s="1" t="s">
        <v>4086</v>
      </c>
      <c r="AJ146" s="1" t="s">
        <v>4088</v>
      </c>
      <c r="AK146" s="1" t="s">
        <v>4089</v>
      </c>
    </row>
    <row r="147" spans="30:37" hidden="1" outlineLevel="1">
      <c r="AD147" s="1" t="s">
        <v>924</v>
      </c>
      <c r="AE147" s="1" t="s">
        <v>790</v>
      </c>
      <c r="AF147" s="1" t="s">
        <v>4090</v>
      </c>
      <c r="AG147" s="1" t="s">
        <v>4091</v>
      </c>
      <c r="AH147" s="1"/>
      <c r="AI147" s="1" t="s">
        <v>4090</v>
      </c>
      <c r="AJ147" s="1" t="s">
        <v>4092</v>
      </c>
      <c r="AK147" s="1" t="s">
        <v>4093</v>
      </c>
    </row>
    <row r="148" spans="30:37" hidden="1" outlineLevel="1">
      <c r="AD148" s="1" t="s">
        <v>924</v>
      </c>
      <c r="AE148" s="1" t="s">
        <v>791</v>
      </c>
      <c r="AF148" s="1" t="s">
        <v>4094</v>
      </c>
      <c r="AG148" s="1" t="s">
        <v>4095</v>
      </c>
      <c r="AH148" s="1"/>
      <c r="AI148" s="1" t="s">
        <v>4094</v>
      </c>
      <c r="AJ148" s="1" t="s">
        <v>4096</v>
      </c>
      <c r="AK148" s="1" t="s">
        <v>4097</v>
      </c>
    </row>
    <row r="149" spans="30:37" hidden="1" outlineLevel="1">
      <c r="AD149" s="1" t="s">
        <v>924</v>
      </c>
      <c r="AE149" s="1" t="s">
        <v>792</v>
      </c>
      <c r="AF149" s="1" t="s">
        <v>4098</v>
      </c>
      <c r="AG149" s="1" t="s">
        <v>4099</v>
      </c>
      <c r="AH149" s="1"/>
      <c r="AI149" s="1" t="s">
        <v>4098</v>
      </c>
      <c r="AJ149" s="1" t="s">
        <v>4100</v>
      </c>
      <c r="AK149" s="1" t="s">
        <v>4101</v>
      </c>
    </row>
    <row r="150" spans="30:37" hidden="1" outlineLevel="1">
      <c r="AD150" s="1" t="s">
        <v>924</v>
      </c>
      <c r="AE150" s="1" t="s">
        <v>793</v>
      </c>
      <c r="AF150" s="1" t="s">
        <v>4102</v>
      </c>
      <c r="AG150" s="1" t="s">
        <v>4103</v>
      </c>
      <c r="AH150" s="1"/>
      <c r="AI150" s="1" t="s">
        <v>4102</v>
      </c>
      <c r="AJ150" s="1" t="s">
        <v>4104</v>
      </c>
      <c r="AK150" s="1" t="s">
        <v>4105</v>
      </c>
    </row>
    <row r="151" spans="30:37" hidden="1" outlineLevel="1">
      <c r="AD151" s="1" t="s">
        <v>924</v>
      </c>
      <c r="AE151" s="1" t="s">
        <v>794</v>
      </c>
      <c r="AF151" s="1" t="s">
        <v>4106</v>
      </c>
      <c r="AG151" s="1" t="s">
        <v>4107</v>
      </c>
      <c r="AH151" s="1"/>
      <c r="AI151" s="1" t="s">
        <v>4106</v>
      </c>
      <c r="AJ151" s="1" t="s">
        <v>4108</v>
      </c>
      <c r="AK151" s="1" t="s">
        <v>4109</v>
      </c>
    </row>
    <row r="152" spans="30:37" hidden="1" outlineLevel="1">
      <c r="AD152" s="1" t="s">
        <v>924</v>
      </c>
      <c r="AE152" s="1" t="s">
        <v>795</v>
      </c>
      <c r="AF152" s="1" t="s">
        <v>4110</v>
      </c>
      <c r="AG152" s="1" t="s">
        <v>4111</v>
      </c>
      <c r="AH152" s="1"/>
      <c r="AI152" s="1" t="s">
        <v>4110</v>
      </c>
      <c r="AJ152" s="1" t="s">
        <v>4112</v>
      </c>
      <c r="AK152" s="1" t="s">
        <v>4113</v>
      </c>
    </row>
    <row r="153" spans="30:37" hidden="1" outlineLevel="1">
      <c r="AD153" s="1" t="s">
        <v>924</v>
      </c>
      <c r="AE153" s="1" t="s">
        <v>796</v>
      </c>
      <c r="AF153" s="1" t="s">
        <v>4114</v>
      </c>
      <c r="AG153" s="1" t="s">
        <v>4115</v>
      </c>
      <c r="AH153" s="1"/>
      <c r="AI153" s="1" t="s">
        <v>4114</v>
      </c>
      <c r="AJ153" s="1" t="s">
        <v>4116</v>
      </c>
      <c r="AK153" s="1" t="s">
        <v>4117</v>
      </c>
    </row>
    <row r="154" spans="30:37" hidden="1" outlineLevel="1">
      <c r="AD154" s="1" t="s">
        <v>924</v>
      </c>
      <c r="AE154" s="1" t="s">
        <v>797</v>
      </c>
      <c r="AF154" s="1" t="s">
        <v>4118</v>
      </c>
      <c r="AG154" s="1" t="s">
        <v>4119</v>
      </c>
      <c r="AH154" s="1"/>
      <c r="AI154" s="1" t="s">
        <v>4118</v>
      </c>
      <c r="AJ154" s="1" t="s">
        <v>4120</v>
      </c>
      <c r="AK154" s="1" t="s">
        <v>4121</v>
      </c>
    </row>
    <row r="155" spans="30:37" hidden="1" outlineLevel="1">
      <c r="AD155" s="1" t="s">
        <v>924</v>
      </c>
      <c r="AE155" s="1" t="s">
        <v>798</v>
      </c>
      <c r="AF155" s="1" t="s">
        <v>4124</v>
      </c>
      <c r="AG155" s="1" t="s">
        <v>4125</v>
      </c>
      <c r="AH155" s="1"/>
      <c r="AI155" s="1" t="s">
        <v>4124</v>
      </c>
      <c r="AJ155" s="1" t="s">
        <v>4126</v>
      </c>
      <c r="AK155" s="1" t="s">
        <v>4127</v>
      </c>
    </row>
    <row r="156" spans="30:37" hidden="1" outlineLevel="1">
      <c r="AD156" s="1" t="s">
        <v>924</v>
      </c>
      <c r="AE156" s="1" t="s">
        <v>799</v>
      </c>
      <c r="AF156" s="1" t="s">
        <v>4132</v>
      </c>
      <c r="AG156" s="1" t="s">
        <v>4133</v>
      </c>
      <c r="AH156" s="1"/>
      <c r="AI156" s="1" t="s">
        <v>4132</v>
      </c>
      <c r="AJ156" s="1" t="s">
        <v>4134</v>
      </c>
      <c r="AK156" s="1" t="s">
        <v>4135</v>
      </c>
    </row>
    <row r="157" spans="30:37" hidden="1" outlineLevel="1">
      <c r="AD157" s="1" t="s">
        <v>924</v>
      </c>
      <c r="AE157" s="1" t="s">
        <v>800</v>
      </c>
      <c r="AF157" s="1" t="s">
        <v>4141</v>
      </c>
      <c r="AG157" s="1" t="s">
        <v>4142</v>
      </c>
      <c r="AH157" s="1"/>
      <c r="AI157" s="1" t="s">
        <v>4141</v>
      </c>
      <c r="AJ157" s="1" t="s">
        <v>4143</v>
      </c>
      <c r="AK157" s="1" t="s">
        <v>4144</v>
      </c>
    </row>
    <row r="158" spans="30:37" hidden="1" outlineLevel="1">
      <c r="AD158" s="1" t="s">
        <v>924</v>
      </c>
      <c r="AE158" s="1" t="s">
        <v>801</v>
      </c>
      <c r="AF158" s="1" t="s">
        <v>4150</v>
      </c>
      <c r="AG158" s="1" t="s">
        <v>4151</v>
      </c>
      <c r="AH158" s="1"/>
      <c r="AI158" s="1" t="s">
        <v>4150</v>
      </c>
      <c r="AJ158" s="1" t="s">
        <v>4152</v>
      </c>
      <c r="AK158" s="1" t="s">
        <v>4153</v>
      </c>
    </row>
    <row r="159" spans="30:37" hidden="1" outlineLevel="1">
      <c r="AD159" s="1" t="s">
        <v>924</v>
      </c>
      <c r="AE159" s="1" t="s">
        <v>802</v>
      </c>
      <c r="AF159" s="1" t="s">
        <v>4159</v>
      </c>
      <c r="AG159" s="1" t="s">
        <v>4085</v>
      </c>
      <c r="AH159" s="1"/>
      <c r="AI159" s="1" t="s">
        <v>4159</v>
      </c>
      <c r="AJ159" s="1" t="s">
        <v>4160</v>
      </c>
      <c r="AK159" s="1" t="s">
        <v>4083</v>
      </c>
    </row>
    <row r="160" spans="30:37" hidden="1" outlineLevel="1">
      <c r="AD160" s="1" t="s">
        <v>924</v>
      </c>
      <c r="AE160" s="1" t="s">
        <v>803</v>
      </c>
      <c r="AF160" s="1" t="s">
        <v>4166</v>
      </c>
      <c r="AG160" s="1" t="s">
        <v>4167</v>
      </c>
      <c r="AH160" s="1"/>
      <c r="AI160" s="1" t="s">
        <v>4166</v>
      </c>
      <c r="AJ160" s="1" t="s">
        <v>4168</v>
      </c>
      <c r="AK160" s="1" t="s">
        <v>4169</v>
      </c>
    </row>
    <row r="161" spans="30:37" hidden="1" outlineLevel="1">
      <c r="AD161" s="1" t="s">
        <v>924</v>
      </c>
      <c r="AE161" s="1" t="s">
        <v>804</v>
      </c>
      <c r="AF161" s="1" t="s">
        <v>4175</v>
      </c>
      <c r="AG161" s="1" t="s">
        <v>4176</v>
      </c>
      <c r="AH161" s="1"/>
      <c r="AI161" s="1" t="s">
        <v>4175</v>
      </c>
      <c r="AJ161" s="1" t="s">
        <v>4177</v>
      </c>
      <c r="AK161" s="1" t="s">
        <v>4178</v>
      </c>
    </row>
    <row r="162" spans="30:37" hidden="1" outlineLevel="1">
      <c r="AD162" s="1" t="s">
        <v>924</v>
      </c>
      <c r="AE162" s="1" t="s">
        <v>805</v>
      </c>
      <c r="AF162" s="1" t="s">
        <v>4184</v>
      </c>
      <c r="AG162" s="1" t="s">
        <v>4185</v>
      </c>
      <c r="AH162" s="1"/>
      <c r="AI162" s="1" t="s">
        <v>4184</v>
      </c>
      <c r="AJ162" s="1" t="s">
        <v>4186</v>
      </c>
      <c r="AK162" s="1" t="s">
        <v>4187</v>
      </c>
    </row>
    <row r="163" spans="30:37" hidden="1" outlineLevel="1">
      <c r="AD163" s="1" t="s">
        <v>924</v>
      </c>
      <c r="AE163" s="1" t="s">
        <v>806</v>
      </c>
      <c r="AF163" s="1" t="s">
        <v>4191</v>
      </c>
      <c r="AG163" s="1" t="s">
        <v>4192</v>
      </c>
      <c r="AH163" s="1"/>
      <c r="AI163" s="1" t="s">
        <v>4191</v>
      </c>
      <c r="AJ163" s="1" t="s">
        <v>4193</v>
      </c>
      <c r="AK163" s="1" t="s">
        <v>4193</v>
      </c>
    </row>
    <row r="164" spans="30:37" hidden="1" outlineLevel="1">
      <c r="AD164" s="1" t="s">
        <v>924</v>
      </c>
      <c r="AE164" s="1" t="s">
        <v>807</v>
      </c>
      <c r="AF164" s="1" t="s">
        <v>4199</v>
      </c>
      <c r="AG164" s="1" t="s">
        <v>4200</v>
      </c>
      <c r="AH164" s="1"/>
      <c r="AI164" s="1" t="s">
        <v>4199</v>
      </c>
      <c r="AJ164" s="1" t="s">
        <v>4201</v>
      </c>
      <c r="AK164" s="1" t="s">
        <v>4202</v>
      </c>
    </row>
    <row r="165" spans="30:37" hidden="1" outlineLevel="1">
      <c r="AD165" s="1" t="s">
        <v>924</v>
      </c>
      <c r="AE165" s="1" t="s">
        <v>233</v>
      </c>
      <c r="AF165" s="1" t="s">
        <v>4207</v>
      </c>
      <c r="AG165" s="1" t="s">
        <v>4208</v>
      </c>
      <c r="AH165" s="1"/>
      <c r="AI165" s="1" t="s">
        <v>4207</v>
      </c>
      <c r="AJ165" s="1" t="s">
        <v>4209</v>
      </c>
      <c r="AK165" s="1" t="s">
        <v>4210</v>
      </c>
    </row>
    <row r="166" spans="30:37" hidden="1" outlineLevel="1">
      <c r="AD166" s="1" t="s">
        <v>924</v>
      </c>
      <c r="AE166" s="1" t="s">
        <v>234</v>
      </c>
      <c r="AF166" s="1" t="s">
        <v>4215</v>
      </c>
      <c r="AG166" s="1" t="s">
        <v>4216</v>
      </c>
      <c r="AH166" s="1"/>
      <c r="AI166" s="1" t="s">
        <v>4215</v>
      </c>
      <c r="AJ166" s="1" t="s">
        <v>4217</v>
      </c>
      <c r="AK166" s="1" t="s">
        <v>4218</v>
      </c>
    </row>
    <row r="167" spans="30:37" hidden="1" outlineLevel="1">
      <c r="AD167" s="1" t="s">
        <v>924</v>
      </c>
      <c r="AE167" s="1" t="s">
        <v>235</v>
      </c>
      <c r="AF167" s="1" t="s">
        <v>4224</v>
      </c>
      <c r="AG167" s="1" t="s">
        <v>4225</v>
      </c>
      <c r="AH167" s="1"/>
      <c r="AI167" s="1" t="s">
        <v>4224</v>
      </c>
      <c r="AJ167" s="1" t="s">
        <v>4226</v>
      </c>
      <c r="AK167" s="1" t="s">
        <v>4227</v>
      </c>
    </row>
    <row r="168" spans="30:37" hidden="1" outlineLevel="1">
      <c r="AD168" s="1" t="s">
        <v>924</v>
      </c>
      <c r="AE168" s="1" t="s">
        <v>236</v>
      </c>
      <c r="AF168" s="1" t="s">
        <v>4233</v>
      </c>
      <c r="AG168" s="1" t="s">
        <v>4234</v>
      </c>
      <c r="AH168" s="1"/>
      <c r="AI168" s="1" t="s">
        <v>4233</v>
      </c>
      <c r="AJ168" s="1" t="s">
        <v>4235</v>
      </c>
      <c r="AK168" s="1" t="s">
        <v>4236</v>
      </c>
    </row>
    <row r="169" spans="30:37" hidden="1" outlineLevel="1">
      <c r="AD169" s="1" t="s">
        <v>924</v>
      </c>
      <c r="AE169" s="1" t="s">
        <v>237</v>
      </c>
      <c r="AF169" s="1" t="s">
        <v>4242</v>
      </c>
      <c r="AG169" s="1" t="s">
        <v>4243</v>
      </c>
      <c r="AH169" s="1"/>
      <c r="AI169" s="1" t="s">
        <v>4242</v>
      </c>
      <c r="AJ169" s="1" t="s">
        <v>4244</v>
      </c>
      <c r="AK169" s="1" t="s">
        <v>4245</v>
      </c>
    </row>
    <row r="170" spans="30:37" hidden="1" outlineLevel="1">
      <c r="AD170" s="1" t="s">
        <v>924</v>
      </c>
      <c r="AE170" s="1" t="s">
        <v>238</v>
      </c>
      <c r="AF170" s="1" t="s">
        <v>4251</v>
      </c>
      <c r="AG170" s="1" t="s">
        <v>4035</v>
      </c>
      <c r="AH170" s="1"/>
      <c r="AI170" s="1" t="s">
        <v>4251</v>
      </c>
      <c r="AJ170" s="1" t="s">
        <v>4252</v>
      </c>
      <c r="AK170" s="1" t="s">
        <v>4033</v>
      </c>
    </row>
    <row r="171" spans="30:37" hidden="1" outlineLevel="1">
      <c r="AD171" s="1" t="s">
        <v>924</v>
      </c>
      <c r="AE171" s="1" t="s">
        <v>239</v>
      </c>
      <c r="AF171" s="1" t="s">
        <v>4258</v>
      </c>
      <c r="AG171" s="1" t="s">
        <v>4259</v>
      </c>
      <c r="AH171" s="1"/>
      <c r="AI171" s="1" t="s">
        <v>4258</v>
      </c>
      <c r="AJ171" s="1" t="s">
        <v>4260</v>
      </c>
      <c r="AK171" s="1" t="s">
        <v>4261</v>
      </c>
    </row>
    <row r="172" spans="30:37" hidden="1" outlineLevel="1">
      <c r="AD172" s="1" t="s">
        <v>924</v>
      </c>
      <c r="AE172" s="1" t="s">
        <v>240</v>
      </c>
      <c r="AF172" s="1" t="s">
        <v>4266</v>
      </c>
      <c r="AG172" s="1" t="s">
        <v>4267</v>
      </c>
      <c r="AH172" s="1"/>
      <c r="AI172" s="1" t="s">
        <v>4266</v>
      </c>
      <c r="AJ172" s="1" t="s">
        <v>4268</v>
      </c>
      <c r="AK172" s="1" t="s">
        <v>4269</v>
      </c>
    </row>
    <row r="173" spans="30:37" hidden="1" outlineLevel="1">
      <c r="AD173" s="1" t="s">
        <v>924</v>
      </c>
      <c r="AE173" s="1" t="s">
        <v>241</v>
      </c>
      <c r="AF173" s="1" t="s">
        <v>4275</v>
      </c>
      <c r="AG173" s="1" t="s">
        <v>3922</v>
      </c>
      <c r="AH173" s="1"/>
      <c r="AI173" s="1" t="s">
        <v>4275</v>
      </c>
      <c r="AJ173" s="1" t="s">
        <v>4276</v>
      </c>
      <c r="AK173" s="1" t="s">
        <v>3920</v>
      </c>
    </row>
    <row r="174" spans="30:37" hidden="1" outlineLevel="1">
      <c r="AD174" s="1" t="s">
        <v>924</v>
      </c>
      <c r="AE174" s="1" t="s">
        <v>242</v>
      </c>
      <c r="AF174" s="1" t="s">
        <v>4282</v>
      </c>
      <c r="AG174" s="1" t="s">
        <v>4283</v>
      </c>
      <c r="AH174" s="1"/>
      <c r="AI174" s="1" t="s">
        <v>4282</v>
      </c>
      <c r="AJ174" s="1" t="s">
        <v>4284</v>
      </c>
      <c r="AK174" s="1" t="s">
        <v>4285</v>
      </c>
    </row>
    <row r="175" spans="30:37" hidden="1" outlineLevel="1">
      <c r="AD175" s="1" t="s">
        <v>924</v>
      </c>
      <c r="AE175" s="1" t="s">
        <v>243</v>
      </c>
      <c r="AF175" s="1" t="s">
        <v>4291</v>
      </c>
      <c r="AG175" s="1" t="s">
        <v>4144</v>
      </c>
      <c r="AH175" s="1"/>
      <c r="AI175" s="1" t="s">
        <v>4291</v>
      </c>
      <c r="AJ175" s="1" t="s">
        <v>4292</v>
      </c>
      <c r="AK175" s="1" t="s">
        <v>4142</v>
      </c>
    </row>
    <row r="176" spans="30:37" hidden="1" outlineLevel="1">
      <c r="AD176" s="1" t="s">
        <v>924</v>
      </c>
      <c r="AE176" s="1" t="s">
        <v>244</v>
      </c>
      <c r="AF176" s="1" t="s">
        <v>4298</v>
      </c>
      <c r="AG176" s="1" t="s">
        <v>3906</v>
      </c>
      <c r="AH176" s="1"/>
      <c r="AI176" s="1" t="s">
        <v>4298</v>
      </c>
      <c r="AJ176" s="1" t="s">
        <v>4299</v>
      </c>
      <c r="AK176" s="1" t="s">
        <v>3904</v>
      </c>
    </row>
    <row r="177" spans="30:37" hidden="1" outlineLevel="1">
      <c r="AD177" s="1" t="s">
        <v>924</v>
      </c>
      <c r="AE177" s="1" t="s">
        <v>245</v>
      </c>
      <c r="AF177" s="1" t="s">
        <v>4305</v>
      </c>
      <c r="AG177" s="1" t="s">
        <v>4306</v>
      </c>
      <c r="AH177" s="1"/>
      <c r="AI177" s="1" t="s">
        <v>4305</v>
      </c>
      <c r="AJ177" s="1" t="s">
        <v>4307</v>
      </c>
      <c r="AK177" s="1" t="s">
        <v>4308</v>
      </c>
    </row>
    <row r="178" spans="30:37" hidden="1" outlineLevel="1">
      <c r="AD178" s="1" t="s">
        <v>924</v>
      </c>
      <c r="AE178" s="1" t="s">
        <v>246</v>
      </c>
      <c r="AF178" s="1" t="s">
        <v>4314</v>
      </c>
      <c r="AG178" s="1" t="s">
        <v>4187</v>
      </c>
      <c r="AH178" s="1"/>
      <c r="AI178" s="1" t="s">
        <v>4314</v>
      </c>
      <c r="AJ178" s="1" t="s">
        <v>4315</v>
      </c>
      <c r="AK178" s="1" t="s">
        <v>4185</v>
      </c>
    </row>
    <row r="179" spans="30:37" hidden="1" outlineLevel="1">
      <c r="AD179" s="1" t="s">
        <v>924</v>
      </c>
      <c r="AE179" s="1" t="s">
        <v>247</v>
      </c>
      <c r="AF179" s="1" t="s">
        <v>4321</v>
      </c>
      <c r="AG179" s="1" t="s">
        <v>4322</v>
      </c>
      <c r="AH179" s="1"/>
      <c r="AI179" s="1" t="s">
        <v>4321</v>
      </c>
      <c r="AJ179" s="1" t="s">
        <v>4323</v>
      </c>
      <c r="AK179" s="1" t="s">
        <v>4324</v>
      </c>
    </row>
    <row r="180" spans="30:37" hidden="1" outlineLevel="1">
      <c r="AD180" s="1" t="s">
        <v>924</v>
      </c>
      <c r="AE180" s="1" t="s">
        <v>248</v>
      </c>
      <c r="AF180" s="1" t="s">
        <v>4330</v>
      </c>
      <c r="AG180" s="1" t="s">
        <v>4331</v>
      </c>
      <c r="AH180" s="1"/>
      <c r="AI180" s="1" t="s">
        <v>4330</v>
      </c>
      <c r="AJ180" s="1" t="s">
        <v>4332</v>
      </c>
      <c r="AK180" s="1" t="s">
        <v>4333</v>
      </c>
    </row>
    <row r="181" spans="30:37" hidden="1" outlineLevel="1">
      <c r="AD181" s="1" t="s">
        <v>924</v>
      </c>
      <c r="AE181" s="1" t="s">
        <v>249</v>
      </c>
      <c r="AF181" s="1" t="s">
        <v>4338</v>
      </c>
      <c r="AG181" s="1" t="s">
        <v>4002</v>
      </c>
      <c r="AH181" s="1"/>
      <c r="AI181" s="1" t="s">
        <v>4338</v>
      </c>
      <c r="AJ181" s="1" t="s">
        <v>4339</v>
      </c>
      <c r="AK181" s="1" t="s">
        <v>4340</v>
      </c>
    </row>
    <row r="182" spans="30:37" hidden="1" outlineLevel="1">
      <c r="AD182" s="1" t="s">
        <v>924</v>
      </c>
      <c r="AE182" s="1" t="s">
        <v>250</v>
      </c>
      <c r="AF182" s="1" t="s">
        <v>4345</v>
      </c>
      <c r="AG182" s="1" t="s">
        <v>4346</v>
      </c>
      <c r="AH182" s="1"/>
      <c r="AI182" s="1" t="s">
        <v>4345</v>
      </c>
      <c r="AJ182" s="1" t="s">
        <v>4347</v>
      </c>
      <c r="AK182" s="1" t="s">
        <v>4348</v>
      </c>
    </row>
    <row r="183" spans="30:37" hidden="1" outlineLevel="1">
      <c r="AD183" s="1" t="s">
        <v>924</v>
      </c>
      <c r="AE183" s="1" t="s">
        <v>251</v>
      </c>
      <c r="AF183" s="1" t="s">
        <v>4353</v>
      </c>
      <c r="AG183" s="1" t="s">
        <v>4354</v>
      </c>
      <c r="AH183" s="1"/>
      <c r="AI183" s="1" t="s">
        <v>4353</v>
      </c>
      <c r="AJ183" s="1" t="s">
        <v>4355</v>
      </c>
      <c r="AK183" s="1" t="s">
        <v>4356</v>
      </c>
    </row>
    <row r="184" spans="30:37" hidden="1" outlineLevel="1">
      <c r="AD184" s="1" t="s">
        <v>924</v>
      </c>
      <c r="AE184" s="1" t="s">
        <v>252</v>
      </c>
      <c r="AF184" s="1" t="s">
        <v>4361</v>
      </c>
      <c r="AG184" s="1" t="s">
        <v>4362</v>
      </c>
      <c r="AH184" s="1"/>
      <c r="AI184" s="1" t="s">
        <v>4361</v>
      </c>
      <c r="AJ184" s="1" t="s">
        <v>4363</v>
      </c>
      <c r="AK184" s="1" t="s">
        <v>4364</v>
      </c>
    </row>
    <row r="185" spans="30:37" hidden="1" outlineLevel="1">
      <c r="AD185" s="1" t="s">
        <v>924</v>
      </c>
      <c r="AE185" s="1" t="s">
        <v>253</v>
      </c>
      <c r="AF185" s="1" t="s">
        <v>4369</v>
      </c>
      <c r="AG185" s="1" t="s">
        <v>4370</v>
      </c>
      <c r="AH185" s="1"/>
      <c r="AI185" s="1" t="s">
        <v>4369</v>
      </c>
      <c r="AJ185" s="1" t="s">
        <v>4371</v>
      </c>
      <c r="AK185" s="1" t="s">
        <v>4372</v>
      </c>
    </row>
    <row r="186" spans="30:37" hidden="1" outlineLevel="1">
      <c r="AD186" s="1" t="s">
        <v>924</v>
      </c>
      <c r="AE186" s="1" t="s">
        <v>254</v>
      </c>
      <c r="AF186" s="1" t="s">
        <v>4377</v>
      </c>
      <c r="AG186" s="1" t="s">
        <v>4378</v>
      </c>
      <c r="AH186" s="1"/>
      <c r="AI186" s="1" t="s">
        <v>4377</v>
      </c>
      <c r="AJ186" s="1" t="s">
        <v>4379</v>
      </c>
      <c r="AK186" s="1" t="s">
        <v>4380</v>
      </c>
    </row>
    <row r="187" spans="30:37" hidden="1" outlineLevel="1">
      <c r="AD187" s="1" t="s">
        <v>924</v>
      </c>
      <c r="AE187" s="1" t="s">
        <v>255</v>
      </c>
      <c r="AF187" s="1" t="s">
        <v>4385</v>
      </c>
      <c r="AG187" s="1" t="s">
        <v>4386</v>
      </c>
      <c r="AH187" s="1"/>
      <c r="AI187" s="1" t="s">
        <v>4385</v>
      </c>
      <c r="AJ187" s="1" t="s">
        <v>4387</v>
      </c>
      <c r="AK187" s="1" t="s">
        <v>4388</v>
      </c>
    </row>
    <row r="188" spans="30:37" hidden="1" outlineLevel="1">
      <c r="AD188" s="1" t="s">
        <v>924</v>
      </c>
      <c r="AE188" s="1" t="s">
        <v>256</v>
      </c>
      <c r="AF188" s="1" t="s">
        <v>4393</v>
      </c>
      <c r="AG188" s="1" t="s">
        <v>4394</v>
      </c>
      <c r="AH188" s="1"/>
      <c r="AI188" s="1" t="s">
        <v>4393</v>
      </c>
      <c r="AJ188" s="1" t="s">
        <v>4395</v>
      </c>
      <c r="AK188" s="1" t="s">
        <v>4396</v>
      </c>
    </row>
    <row r="189" spans="30:37" hidden="1" outlineLevel="1">
      <c r="AD189" s="1" t="s">
        <v>937</v>
      </c>
      <c r="AE189" s="1" t="s">
        <v>736</v>
      </c>
      <c r="AF189" s="1" t="s">
        <v>4401</v>
      </c>
      <c r="AG189" s="1" t="s">
        <v>4402</v>
      </c>
      <c r="AH189" s="1"/>
      <c r="AI189" s="1" t="s">
        <v>4401</v>
      </c>
      <c r="AJ189" s="51" t="s">
        <v>4403</v>
      </c>
      <c r="AK189" s="1" t="s">
        <v>4404</v>
      </c>
    </row>
    <row r="190" spans="30:37" hidden="1" outlineLevel="1">
      <c r="AD190" s="1" t="s">
        <v>937</v>
      </c>
      <c r="AE190" s="1" t="s">
        <v>737</v>
      </c>
      <c r="AF190" s="1" t="s">
        <v>4409</v>
      </c>
      <c r="AG190" s="1" t="s">
        <v>4410</v>
      </c>
      <c r="AH190" s="1"/>
      <c r="AI190" s="1" t="s">
        <v>4409</v>
      </c>
      <c r="AJ190" s="51" t="s">
        <v>4411</v>
      </c>
      <c r="AK190" s="1" t="s">
        <v>4412</v>
      </c>
    </row>
    <row r="191" spans="30:37" hidden="1" outlineLevel="1">
      <c r="AD191" s="1" t="s">
        <v>937</v>
      </c>
      <c r="AE191" s="1" t="s">
        <v>738</v>
      </c>
      <c r="AF191" s="1" t="s">
        <v>4417</v>
      </c>
      <c r="AG191" s="1" t="s">
        <v>4418</v>
      </c>
      <c r="AH191" s="1"/>
      <c r="AI191" s="1" t="s">
        <v>4417</v>
      </c>
      <c r="AJ191" s="51" t="s">
        <v>4419</v>
      </c>
      <c r="AK191" s="1" t="s">
        <v>4420</v>
      </c>
    </row>
    <row r="192" spans="30:37" hidden="1" outlineLevel="1">
      <c r="AD192" s="1" t="s">
        <v>937</v>
      </c>
      <c r="AE192" s="1" t="s">
        <v>739</v>
      </c>
      <c r="AF192" s="1" t="s">
        <v>4424</v>
      </c>
      <c r="AG192" s="1" t="s">
        <v>4425</v>
      </c>
      <c r="AH192" s="1"/>
      <c r="AI192" s="1" t="s">
        <v>4424</v>
      </c>
      <c r="AJ192" s="51" t="s">
        <v>4426</v>
      </c>
      <c r="AK192" s="1" t="s">
        <v>4427</v>
      </c>
    </row>
    <row r="193" spans="30:37" hidden="1" outlineLevel="1">
      <c r="AD193" s="1" t="s">
        <v>937</v>
      </c>
      <c r="AE193" s="1" t="s">
        <v>740</v>
      </c>
      <c r="AF193" s="1" t="s">
        <v>4432</v>
      </c>
      <c r="AG193" s="1" t="s">
        <v>4433</v>
      </c>
      <c r="AH193" s="1"/>
      <c r="AI193" s="1" t="s">
        <v>4432</v>
      </c>
      <c r="AJ193" s="51" t="s">
        <v>4434</v>
      </c>
      <c r="AK193" s="1" t="s">
        <v>4435</v>
      </c>
    </row>
    <row r="194" spans="30:37" hidden="1" outlineLevel="1">
      <c r="AD194" s="1" t="s">
        <v>937</v>
      </c>
      <c r="AE194" s="1" t="s">
        <v>741</v>
      </c>
      <c r="AF194" s="1" t="s">
        <v>4440</v>
      </c>
      <c r="AG194" s="1" t="s">
        <v>4441</v>
      </c>
      <c r="AH194" s="1"/>
      <c r="AI194" s="1" t="s">
        <v>4440</v>
      </c>
      <c r="AJ194" s="51" t="s">
        <v>4442</v>
      </c>
      <c r="AK194" s="1" t="s">
        <v>4443</v>
      </c>
    </row>
    <row r="195" spans="30:37" hidden="1" outlineLevel="1">
      <c r="AD195" s="1" t="s">
        <v>937</v>
      </c>
      <c r="AE195" s="1" t="s">
        <v>742</v>
      </c>
      <c r="AF195" s="1" t="s">
        <v>4448</v>
      </c>
      <c r="AG195" s="1" t="s">
        <v>4449</v>
      </c>
      <c r="AH195" s="1"/>
      <c r="AI195" s="1" t="s">
        <v>4448</v>
      </c>
      <c r="AJ195" s="51" t="s">
        <v>4450</v>
      </c>
      <c r="AK195" s="1" t="s">
        <v>4451</v>
      </c>
    </row>
    <row r="196" spans="30:37" hidden="1" outlineLevel="1">
      <c r="AD196" s="1" t="s">
        <v>937</v>
      </c>
      <c r="AE196" s="1" t="s">
        <v>743</v>
      </c>
      <c r="AF196" s="1" t="s">
        <v>4456</v>
      </c>
      <c r="AG196" s="1" t="s">
        <v>4457</v>
      </c>
      <c r="AH196" s="1"/>
      <c r="AI196" s="1" t="s">
        <v>4456</v>
      </c>
      <c r="AJ196" s="51" t="s">
        <v>4458</v>
      </c>
      <c r="AK196" s="1" t="s">
        <v>4459</v>
      </c>
    </row>
    <row r="197" spans="30:37" hidden="1" outlineLevel="1">
      <c r="AD197" s="1" t="s">
        <v>937</v>
      </c>
      <c r="AE197" s="1" t="s">
        <v>744</v>
      </c>
      <c r="AF197" s="1" t="s">
        <v>4464</v>
      </c>
      <c r="AG197" s="1" t="s">
        <v>4465</v>
      </c>
      <c r="AH197" s="1"/>
      <c r="AI197" s="1" t="s">
        <v>4464</v>
      </c>
      <c r="AJ197" s="51" t="s">
        <v>4466</v>
      </c>
      <c r="AK197" s="1" t="s">
        <v>4467</v>
      </c>
    </row>
    <row r="198" spans="30:37" hidden="1" outlineLevel="1">
      <c r="AD198" s="1" t="s">
        <v>937</v>
      </c>
      <c r="AE198" s="1" t="s">
        <v>745</v>
      </c>
      <c r="AF198" s="1" t="s">
        <v>4472</v>
      </c>
      <c r="AG198" s="1" t="s">
        <v>4473</v>
      </c>
      <c r="AH198" s="1"/>
      <c r="AI198" s="1" t="s">
        <v>4472</v>
      </c>
      <c r="AJ198" s="51" t="s">
        <v>4474</v>
      </c>
      <c r="AK198" s="1" t="s">
        <v>3966</v>
      </c>
    </row>
    <row r="199" spans="30:37" hidden="1" outlineLevel="1">
      <c r="AD199" s="1" t="s">
        <v>937</v>
      </c>
      <c r="AE199" s="1" t="s">
        <v>746</v>
      </c>
      <c r="AF199" s="1" t="s">
        <v>4479</v>
      </c>
      <c r="AG199" s="1" t="s">
        <v>4480</v>
      </c>
      <c r="AH199" s="1"/>
      <c r="AI199" s="1" t="s">
        <v>4479</v>
      </c>
      <c r="AJ199" s="51" t="s">
        <v>4481</v>
      </c>
      <c r="AK199" s="1" t="s">
        <v>4482</v>
      </c>
    </row>
    <row r="200" spans="30:37" hidden="1" outlineLevel="1">
      <c r="AD200" s="1" t="s">
        <v>937</v>
      </c>
      <c r="AE200" s="1" t="s">
        <v>747</v>
      </c>
      <c r="AF200" s="1" t="s">
        <v>4487</v>
      </c>
      <c r="AG200" s="1" t="s">
        <v>4308</v>
      </c>
      <c r="AH200" s="1"/>
      <c r="AI200" s="1" t="s">
        <v>4487</v>
      </c>
      <c r="AJ200" s="51" t="s">
        <v>4488</v>
      </c>
      <c r="AK200" s="1" t="s">
        <v>3990</v>
      </c>
    </row>
    <row r="201" spans="30:37" hidden="1" outlineLevel="1">
      <c r="AD201" s="1" t="s">
        <v>937</v>
      </c>
      <c r="AE201" s="1" t="s">
        <v>748</v>
      </c>
      <c r="AF201" s="1" t="s">
        <v>4493</v>
      </c>
      <c r="AG201" s="1" t="s">
        <v>4494</v>
      </c>
      <c r="AH201" s="1"/>
      <c r="AI201" s="1" t="s">
        <v>4493</v>
      </c>
      <c r="AJ201" s="51" t="s">
        <v>4495</v>
      </c>
      <c r="AK201" s="1" t="s">
        <v>4496</v>
      </c>
    </row>
    <row r="202" spans="30:37" hidden="1" outlineLevel="1">
      <c r="AD202" s="1" t="s">
        <v>937</v>
      </c>
      <c r="AE202" s="1" t="s">
        <v>749</v>
      </c>
      <c r="AF202" s="1" t="s">
        <v>4501</v>
      </c>
      <c r="AG202" s="1" t="s">
        <v>4502</v>
      </c>
      <c r="AH202" s="1"/>
      <c r="AI202" s="1" t="s">
        <v>4501</v>
      </c>
      <c r="AJ202" s="51" t="s">
        <v>4503</v>
      </c>
      <c r="AK202" s="1" t="s">
        <v>4504</v>
      </c>
    </row>
    <row r="203" spans="30:37" hidden="1" outlineLevel="1">
      <c r="AD203" s="1" t="s">
        <v>937</v>
      </c>
      <c r="AE203" s="1" t="s">
        <v>750</v>
      </c>
      <c r="AF203" s="1" t="s">
        <v>4509</v>
      </c>
      <c r="AG203" s="1" t="s">
        <v>3914</v>
      </c>
      <c r="AH203" s="1"/>
      <c r="AI203" s="1" t="s">
        <v>4509</v>
      </c>
      <c r="AJ203" s="51" t="s">
        <v>4510</v>
      </c>
      <c r="AK203" s="1" t="s">
        <v>4511</v>
      </c>
    </row>
    <row r="204" spans="30:37" hidden="1" outlineLevel="1">
      <c r="AD204" s="1" t="s">
        <v>937</v>
      </c>
      <c r="AE204" s="1" t="s">
        <v>751</v>
      </c>
      <c r="AF204" s="1" t="s">
        <v>4516</v>
      </c>
      <c r="AG204" s="1" t="s">
        <v>4496</v>
      </c>
      <c r="AH204" s="1"/>
      <c r="AI204" s="1" t="s">
        <v>4516</v>
      </c>
      <c r="AJ204" s="51" t="s">
        <v>4517</v>
      </c>
      <c r="AK204" s="1" t="s">
        <v>4518</v>
      </c>
    </row>
    <row r="205" spans="30:37" hidden="1" outlineLevel="1">
      <c r="AD205" s="1" t="s">
        <v>937</v>
      </c>
      <c r="AE205" s="1" t="s">
        <v>752</v>
      </c>
      <c r="AF205" s="1" t="s">
        <v>4523</v>
      </c>
      <c r="AG205" s="1" t="s">
        <v>4524</v>
      </c>
      <c r="AH205" s="1"/>
      <c r="AI205" s="1" t="s">
        <v>4523</v>
      </c>
      <c r="AJ205" s="51" t="s">
        <v>4525</v>
      </c>
      <c r="AK205" s="1" t="s">
        <v>4526</v>
      </c>
    </row>
    <row r="206" spans="30:37" hidden="1" outlineLevel="1">
      <c r="AD206" s="1" t="s">
        <v>937</v>
      </c>
      <c r="AE206" s="1" t="s">
        <v>753</v>
      </c>
      <c r="AF206" s="1" t="s">
        <v>4531</v>
      </c>
      <c r="AG206" s="1" t="s">
        <v>4532</v>
      </c>
      <c r="AH206" s="1"/>
      <c r="AI206" s="1" t="s">
        <v>4531</v>
      </c>
      <c r="AJ206" s="51" t="s">
        <v>4533</v>
      </c>
      <c r="AK206" s="1" t="s">
        <v>4534</v>
      </c>
    </row>
    <row r="207" spans="30:37" hidden="1" outlineLevel="1">
      <c r="AD207" s="1" t="s">
        <v>937</v>
      </c>
      <c r="AE207" s="1" t="s">
        <v>754</v>
      </c>
      <c r="AF207" s="1" t="s">
        <v>4539</v>
      </c>
      <c r="AG207" s="1" t="s">
        <v>4540</v>
      </c>
      <c r="AH207" s="1"/>
      <c r="AI207" s="1" t="s">
        <v>4539</v>
      </c>
      <c r="AJ207" s="51" t="s">
        <v>4541</v>
      </c>
      <c r="AK207" s="1" t="s">
        <v>4542</v>
      </c>
    </row>
    <row r="208" spans="30:37" hidden="1" outlineLevel="1">
      <c r="AD208" s="1" t="s">
        <v>937</v>
      </c>
      <c r="AE208" s="1" t="s">
        <v>755</v>
      </c>
      <c r="AF208" s="1" t="s">
        <v>4547</v>
      </c>
      <c r="AG208" s="1" t="s">
        <v>4548</v>
      </c>
      <c r="AH208" s="1"/>
      <c r="AI208" s="1" t="s">
        <v>4547</v>
      </c>
      <c r="AJ208" s="51" t="s">
        <v>4549</v>
      </c>
      <c r="AK208" s="1" t="s">
        <v>4550</v>
      </c>
    </row>
    <row r="209" spans="30:37" hidden="1" outlineLevel="1">
      <c r="AD209" s="1" t="s">
        <v>937</v>
      </c>
      <c r="AE209" s="1" t="s">
        <v>756</v>
      </c>
      <c r="AF209" s="1" t="s">
        <v>4555</v>
      </c>
      <c r="AG209" s="1" t="s">
        <v>4556</v>
      </c>
      <c r="AH209" s="1"/>
      <c r="AI209" s="1" t="s">
        <v>4555</v>
      </c>
      <c r="AJ209" s="51" t="s">
        <v>4557</v>
      </c>
      <c r="AK209" s="1" t="s">
        <v>4558</v>
      </c>
    </row>
    <row r="210" spans="30:37" hidden="1" outlineLevel="1">
      <c r="AD210" s="1" t="s">
        <v>937</v>
      </c>
      <c r="AE210" s="1" t="s">
        <v>757</v>
      </c>
      <c r="AF210" s="1" t="s">
        <v>4563</v>
      </c>
      <c r="AG210" s="1" t="s">
        <v>4564</v>
      </c>
      <c r="AH210" s="1"/>
      <c r="AI210" s="1" t="s">
        <v>4563</v>
      </c>
      <c r="AJ210" s="51" t="s">
        <v>4565</v>
      </c>
      <c r="AK210" s="1" t="s">
        <v>4566</v>
      </c>
    </row>
    <row r="211" spans="30:37" hidden="1" outlineLevel="1">
      <c r="AD211" s="1" t="s">
        <v>937</v>
      </c>
      <c r="AE211" s="1" t="s">
        <v>758</v>
      </c>
      <c r="AF211" s="1" t="s">
        <v>4571</v>
      </c>
      <c r="AG211" s="1" t="s">
        <v>4572</v>
      </c>
      <c r="AH211" s="1"/>
      <c r="AI211" s="1" t="s">
        <v>4571</v>
      </c>
      <c r="AJ211" s="51" t="s">
        <v>4573</v>
      </c>
      <c r="AK211" s="1" t="s">
        <v>4574</v>
      </c>
    </row>
    <row r="212" spans="30:37" hidden="1" outlineLevel="1">
      <c r="AD212" s="1" t="s">
        <v>937</v>
      </c>
      <c r="AE212" s="1" t="s">
        <v>759</v>
      </c>
      <c r="AF212" s="1" t="s">
        <v>4579</v>
      </c>
      <c r="AG212" s="1" t="s">
        <v>3964</v>
      </c>
      <c r="AH212" s="1"/>
      <c r="AI212" s="1" t="s">
        <v>4579</v>
      </c>
      <c r="AJ212" s="51" t="s">
        <v>4580</v>
      </c>
      <c r="AK212" s="1" t="s">
        <v>4581</v>
      </c>
    </row>
    <row r="213" spans="30:37" hidden="1" outlineLevel="1">
      <c r="AD213" s="1" t="s">
        <v>937</v>
      </c>
      <c r="AE213" s="1" t="s">
        <v>760</v>
      </c>
      <c r="AF213" s="1" t="s">
        <v>4586</v>
      </c>
      <c r="AG213" s="1" t="s">
        <v>4587</v>
      </c>
      <c r="AH213" s="1"/>
      <c r="AI213" s="1" t="s">
        <v>4586</v>
      </c>
      <c r="AJ213" s="51" t="s">
        <v>4588</v>
      </c>
      <c r="AK213" s="1" t="s">
        <v>4589</v>
      </c>
    </row>
    <row r="214" spans="30:37" hidden="1" outlineLevel="1">
      <c r="AD214" s="1" t="s">
        <v>937</v>
      </c>
      <c r="AE214" s="1" t="s">
        <v>761</v>
      </c>
      <c r="AF214" s="1" t="s">
        <v>4594</v>
      </c>
      <c r="AG214" s="1" t="s">
        <v>4595</v>
      </c>
      <c r="AH214" s="1"/>
      <c r="AI214" s="1" t="s">
        <v>4594</v>
      </c>
      <c r="AJ214" s="51" t="s">
        <v>4596</v>
      </c>
      <c r="AK214" s="1" t="s">
        <v>4597</v>
      </c>
    </row>
    <row r="215" spans="30:37" hidden="1" outlineLevel="1">
      <c r="AD215" s="1" t="s">
        <v>937</v>
      </c>
      <c r="AE215" s="1" t="s">
        <v>762</v>
      </c>
      <c r="AF215" s="1" t="s">
        <v>4602</v>
      </c>
      <c r="AG215" s="1" t="s">
        <v>4603</v>
      </c>
      <c r="AH215" s="1"/>
      <c r="AI215" s="1" t="s">
        <v>4602</v>
      </c>
      <c r="AJ215" s="51" t="s">
        <v>4604</v>
      </c>
      <c r="AK215" s="1" t="s">
        <v>4587</v>
      </c>
    </row>
    <row r="216" spans="30:37" hidden="1" outlineLevel="1">
      <c r="AD216" s="1" t="s">
        <v>937</v>
      </c>
      <c r="AE216" s="1" t="s">
        <v>763</v>
      </c>
      <c r="AF216" s="1" t="s">
        <v>4609</v>
      </c>
      <c r="AG216" s="1" t="s">
        <v>4610</v>
      </c>
      <c r="AH216" s="1"/>
      <c r="AI216" s="1" t="s">
        <v>4609</v>
      </c>
      <c r="AJ216" s="51" t="s">
        <v>4611</v>
      </c>
      <c r="AK216" s="1" t="s">
        <v>4612</v>
      </c>
    </row>
    <row r="217" spans="30:37" hidden="1" outlineLevel="1">
      <c r="AD217" s="1" t="s">
        <v>937</v>
      </c>
      <c r="AE217" s="1" t="s">
        <v>764</v>
      </c>
      <c r="AF217" s="1" t="s">
        <v>4616</v>
      </c>
      <c r="AG217" s="1" t="s">
        <v>4443</v>
      </c>
      <c r="AH217" s="1"/>
      <c r="AI217" s="1" t="s">
        <v>4616</v>
      </c>
      <c r="AJ217" s="51" t="s">
        <v>4617</v>
      </c>
      <c r="AK217" s="1" t="s">
        <v>4095</v>
      </c>
    </row>
    <row r="218" spans="30:37" hidden="1" outlineLevel="1">
      <c r="AD218" s="1" t="s">
        <v>937</v>
      </c>
      <c r="AE218" s="1" t="s">
        <v>765</v>
      </c>
      <c r="AF218" s="1" t="s">
        <v>4622</v>
      </c>
      <c r="AG218" s="1" t="s">
        <v>4324</v>
      </c>
      <c r="AH218" s="1"/>
      <c r="AI218" s="1" t="s">
        <v>4622</v>
      </c>
      <c r="AJ218" s="51" t="s">
        <v>4623</v>
      </c>
      <c r="AK218" s="1" t="s">
        <v>4624</v>
      </c>
    </row>
    <row r="219" spans="30:37" hidden="1" outlineLevel="1">
      <c r="AD219" s="1" t="s">
        <v>937</v>
      </c>
      <c r="AE219" s="1" t="s">
        <v>766</v>
      </c>
      <c r="AF219" s="1" t="s">
        <v>4629</v>
      </c>
      <c r="AG219" s="1" t="s">
        <v>4630</v>
      </c>
      <c r="AH219" s="1"/>
      <c r="AI219" s="1" t="s">
        <v>4629</v>
      </c>
      <c r="AJ219" s="51" t="s">
        <v>4631</v>
      </c>
      <c r="AK219" s="1" t="s">
        <v>4632</v>
      </c>
    </row>
    <row r="220" spans="30:37" hidden="1" outlineLevel="1">
      <c r="AD220" s="1" t="s">
        <v>937</v>
      </c>
      <c r="AE220" s="1" t="s">
        <v>767</v>
      </c>
      <c r="AF220" s="1" t="s">
        <v>4637</v>
      </c>
      <c r="AG220" s="1" t="s">
        <v>4638</v>
      </c>
      <c r="AH220" s="1"/>
      <c r="AI220" s="1" t="s">
        <v>4637</v>
      </c>
      <c r="AJ220" s="51" t="s">
        <v>4639</v>
      </c>
      <c r="AK220" s="1" t="s">
        <v>4640</v>
      </c>
    </row>
    <row r="221" spans="30:37" hidden="1" outlineLevel="1">
      <c r="AD221" s="1" t="s">
        <v>937</v>
      </c>
      <c r="AE221" s="1" t="s">
        <v>768</v>
      </c>
      <c r="AF221" s="1" t="s">
        <v>4645</v>
      </c>
      <c r="AG221" s="1" t="s">
        <v>4646</v>
      </c>
      <c r="AH221" s="1"/>
      <c r="AI221" s="1" t="s">
        <v>4645</v>
      </c>
      <c r="AJ221" s="51" t="s">
        <v>4647</v>
      </c>
      <c r="AK221" s="1" t="s">
        <v>4648</v>
      </c>
    </row>
    <row r="222" spans="30:37" hidden="1" outlineLevel="1">
      <c r="AD222" s="1" t="s">
        <v>937</v>
      </c>
      <c r="AE222" s="1" t="s">
        <v>769</v>
      </c>
      <c r="AF222" s="1" t="s">
        <v>4653</v>
      </c>
      <c r="AG222" s="1" t="s">
        <v>4654</v>
      </c>
      <c r="AH222" s="1"/>
      <c r="AI222" s="1" t="s">
        <v>4653</v>
      </c>
      <c r="AJ222" s="51" t="s">
        <v>4655</v>
      </c>
      <c r="AK222" s="1" t="s">
        <v>4063</v>
      </c>
    </row>
    <row r="223" spans="30:37" hidden="1" outlineLevel="1">
      <c r="AD223" s="1" t="s">
        <v>937</v>
      </c>
      <c r="AE223" s="1" t="s">
        <v>770</v>
      </c>
      <c r="AF223" s="1" t="s">
        <v>4660</v>
      </c>
      <c r="AG223" s="1" t="s">
        <v>4661</v>
      </c>
      <c r="AH223" s="1"/>
      <c r="AI223" s="1" t="s">
        <v>4660</v>
      </c>
      <c r="AJ223" s="51" t="s">
        <v>4662</v>
      </c>
      <c r="AK223" s="1" t="s">
        <v>4564</v>
      </c>
    </row>
    <row r="224" spans="30:37" hidden="1" outlineLevel="1">
      <c r="AD224" s="1" t="s">
        <v>937</v>
      </c>
      <c r="AE224" s="1" t="s">
        <v>771</v>
      </c>
      <c r="AF224" s="1" t="s">
        <v>4667</v>
      </c>
      <c r="AG224" s="1" t="s">
        <v>4668</v>
      </c>
      <c r="AH224" s="1"/>
      <c r="AI224" s="1" t="s">
        <v>4667</v>
      </c>
      <c r="AJ224" s="51" t="s">
        <v>4669</v>
      </c>
      <c r="AK224" s="1" t="s">
        <v>4465</v>
      </c>
    </row>
    <row r="225" spans="30:37" hidden="1" outlineLevel="1">
      <c r="AD225" s="1" t="s">
        <v>937</v>
      </c>
      <c r="AE225" s="1" t="s">
        <v>772</v>
      </c>
      <c r="AF225" s="1" t="s">
        <v>4674</v>
      </c>
      <c r="AG225" s="1" t="s">
        <v>4261</v>
      </c>
      <c r="AH225" s="1"/>
      <c r="AI225" s="1" t="s">
        <v>4674</v>
      </c>
      <c r="AJ225" s="51" t="s">
        <v>4675</v>
      </c>
      <c r="AK225" s="1" t="s">
        <v>4676</v>
      </c>
    </row>
    <row r="226" spans="30:37" hidden="1" outlineLevel="1">
      <c r="AD226" s="1" t="s">
        <v>937</v>
      </c>
      <c r="AE226" s="1" t="s">
        <v>773</v>
      </c>
      <c r="AF226" s="1" t="s">
        <v>4681</v>
      </c>
      <c r="AG226" s="1" t="s">
        <v>4682</v>
      </c>
      <c r="AH226" s="1"/>
      <c r="AI226" s="1" t="s">
        <v>4681</v>
      </c>
      <c r="AJ226" s="51" t="s">
        <v>4683</v>
      </c>
      <c r="AK226" s="1" t="s">
        <v>4532</v>
      </c>
    </row>
    <row r="227" spans="30:37" hidden="1" outlineLevel="1">
      <c r="AD227" s="1" t="s">
        <v>937</v>
      </c>
      <c r="AE227" s="1" t="s">
        <v>774</v>
      </c>
      <c r="AF227" s="1" t="s">
        <v>4688</v>
      </c>
      <c r="AG227" s="1" t="s">
        <v>4689</v>
      </c>
      <c r="AH227" s="1"/>
      <c r="AI227" s="1" t="s">
        <v>4688</v>
      </c>
      <c r="AJ227" s="51" t="s">
        <v>4690</v>
      </c>
      <c r="AK227" s="1" t="s">
        <v>4691</v>
      </c>
    </row>
    <row r="228" spans="30:37" hidden="1" outlineLevel="1">
      <c r="AD228" s="1" t="s">
        <v>937</v>
      </c>
      <c r="AE228" s="1" t="s">
        <v>775</v>
      </c>
      <c r="AF228" s="1" t="s">
        <v>4694</v>
      </c>
      <c r="AG228" s="1" t="s">
        <v>4435</v>
      </c>
      <c r="AH228" s="1"/>
      <c r="AI228" s="1" t="s">
        <v>4694</v>
      </c>
      <c r="AJ228" s="51" t="s">
        <v>4695</v>
      </c>
      <c r="AK228" s="1" t="s">
        <v>4502</v>
      </c>
    </row>
    <row r="229" spans="30:37" hidden="1" outlineLevel="1">
      <c r="AD229" s="1" t="s">
        <v>937</v>
      </c>
      <c r="AE229" s="1" t="s">
        <v>776</v>
      </c>
      <c r="AF229" s="1" t="s">
        <v>4699</v>
      </c>
      <c r="AG229" s="1" t="s">
        <v>4700</v>
      </c>
      <c r="AH229" s="1"/>
      <c r="AI229" s="1" t="s">
        <v>4699</v>
      </c>
      <c r="AJ229" s="51" t="s">
        <v>4701</v>
      </c>
      <c r="AK229" s="1" t="s">
        <v>4702</v>
      </c>
    </row>
    <row r="230" spans="30:37" hidden="1" outlineLevel="1">
      <c r="AD230" s="1" t="s">
        <v>937</v>
      </c>
      <c r="AE230" s="1" t="s">
        <v>777</v>
      </c>
      <c r="AF230" s="1" t="s">
        <v>4706</v>
      </c>
      <c r="AG230" s="1" t="s">
        <v>4707</v>
      </c>
      <c r="AH230" s="1"/>
      <c r="AI230" s="1" t="s">
        <v>4706</v>
      </c>
      <c r="AJ230" s="51" t="s">
        <v>4708</v>
      </c>
      <c r="AK230" s="1" t="s">
        <v>4709</v>
      </c>
    </row>
    <row r="231" spans="30:37" hidden="1" outlineLevel="1">
      <c r="AD231" s="1" t="s">
        <v>937</v>
      </c>
      <c r="AE231" s="1" t="s">
        <v>778</v>
      </c>
      <c r="AF231" s="1" t="s">
        <v>4713</v>
      </c>
      <c r="AG231" s="1" t="s">
        <v>4714</v>
      </c>
      <c r="AH231" s="1"/>
      <c r="AI231" s="1" t="s">
        <v>4713</v>
      </c>
      <c r="AJ231" s="51" t="s">
        <v>4715</v>
      </c>
      <c r="AK231" s="1" t="s">
        <v>4716</v>
      </c>
    </row>
    <row r="232" spans="30:37" hidden="1" outlineLevel="1">
      <c r="AD232" s="1" t="s">
        <v>937</v>
      </c>
      <c r="AE232" s="1" t="s">
        <v>779</v>
      </c>
      <c r="AF232" s="1" t="s">
        <v>4720</v>
      </c>
      <c r="AG232" s="1" t="s">
        <v>4721</v>
      </c>
      <c r="AH232" s="1"/>
      <c r="AI232" s="1" t="s">
        <v>4720</v>
      </c>
      <c r="AJ232" s="51" t="s">
        <v>4722</v>
      </c>
      <c r="AK232" s="1" t="s">
        <v>4638</v>
      </c>
    </row>
    <row r="233" spans="30:37" hidden="1" outlineLevel="1">
      <c r="AD233" s="1" t="s">
        <v>937</v>
      </c>
      <c r="AE233" s="1" t="s">
        <v>780</v>
      </c>
      <c r="AF233" s="1" t="s">
        <v>4726</v>
      </c>
      <c r="AG233" s="1" t="s">
        <v>4727</v>
      </c>
      <c r="AH233" s="1"/>
      <c r="AI233" s="1" t="s">
        <v>4726</v>
      </c>
      <c r="AJ233" s="51" t="s">
        <v>4728</v>
      </c>
      <c r="AK233" s="1" t="s">
        <v>4729</v>
      </c>
    </row>
    <row r="234" spans="30:37" hidden="1" outlineLevel="1">
      <c r="AD234" s="1" t="s">
        <v>937</v>
      </c>
      <c r="AE234" s="1" t="s">
        <v>781</v>
      </c>
      <c r="AF234" s="1" t="s">
        <v>4733</v>
      </c>
      <c r="AG234" s="1" t="s">
        <v>4734</v>
      </c>
      <c r="AH234" s="1"/>
      <c r="AI234" s="1" t="s">
        <v>4733</v>
      </c>
      <c r="AJ234" s="51" t="s">
        <v>4735</v>
      </c>
      <c r="AK234" s="1" t="s">
        <v>4736</v>
      </c>
    </row>
    <row r="235" spans="30:37" hidden="1" outlineLevel="1">
      <c r="AD235" s="1" t="s">
        <v>937</v>
      </c>
      <c r="AE235" s="1" t="s">
        <v>782</v>
      </c>
      <c r="AF235" s="1" t="s">
        <v>4740</v>
      </c>
      <c r="AG235" s="1" t="s">
        <v>4741</v>
      </c>
      <c r="AH235" s="1"/>
      <c r="AI235" s="1" t="s">
        <v>4740</v>
      </c>
      <c r="AJ235" s="51" t="s">
        <v>4742</v>
      </c>
      <c r="AK235" s="1" t="s">
        <v>4111</v>
      </c>
    </row>
    <row r="236" spans="30:37" hidden="1" outlineLevel="1">
      <c r="AD236" s="1" t="s">
        <v>937</v>
      </c>
      <c r="AE236" s="1" t="s">
        <v>783</v>
      </c>
      <c r="AF236" s="1" t="s">
        <v>4746</v>
      </c>
      <c r="AG236" s="1" t="s">
        <v>4747</v>
      </c>
      <c r="AH236" s="1"/>
      <c r="AI236" s="1" t="s">
        <v>4746</v>
      </c>
      <c r="AJ236" s="51" t="s">
        <v>4748</v>
      </c>
      <c r="AK236" s="1" t="s">
        <v>4322</v>
      </c>
    </row>
    <row r="237" spans="30:37" hidden="1" outlineLevel="1">
      <c r="AD237" s="1" t="s">
        <v>937</v>
      </c>
      <c r="AE237" s="1" t="s">
        <v>784</v>
      </c>
      <c r="AF237" s="1" t="s">
        <v>4752</v>
      </c>
      <c r="AG237" s="1" t="s">
        <v>4356</v>
      </c>
      <c r="AH237" s="1"/>
      <c r="AI237" s="1" t="s">
        <v>4752</v>
      </c>
      <c r="AJ237" s="51" t="s">
        <v>4753</v>
      </c>
      <c r="AK237" s="1" t="s">
        <v>4754</v>
      </c>
    </row>
    <row r="238" spans="30:37" hidden="1" outlineLevel="1">
      <c r="AD238" s="1" t="s">
        <v>937</v>
      </c>
      <c r="AE238" s="1" t="s">
        <v>785</v>
      </c>
      <c r="AF238" s="1" t="s">
        <v>4758</v>
      </c>
      <c r="AG238" s="1" t="s">
        <v>4153</v>
      </c>
      <c r="AH238" s="1"/>
      <c r="AI238" s="1" t="s">
        <v>4758</v>
      </c>
      <c r="AJ238" s="51" t="s">
        <v>4759</v>
      </c>
      <c r="AK238" s="1" t="s">
        <v>4760</v>
      </c>
    </row>
    <row r="239" spans="30:37" hidden="1" outlineLevel="1">
      <c r="AD239" s="1" t="s">
        <v>937</v>
      </c>
      <c r="AE239" s="1" t="s">
        <v>786</v>
      </c>
      <c r="AF239" s="1" t="s">
        <v>4764</v>
      </c>
      <c r="AG239" s="1" t="s">
        <v>3972</v>
      </c>
      <c r="AH239" s="1"/>
      <c r="AI239" s="1" t="s">
        <v>4764</v>
      </c>
      <c r="AJ239" s="51" t="s">
        <v>4765</v>
      </c>
      <c r="AK239" s="1" t="s">
        <v>4766</v>
      </c>
    </row>
    <row r="240" spans="30:37" hidden="1" outlineLevel="1">
      <c r="AD240" s="1" t="s">
        <v>937</v>
      </c>
      <c r="AE240" s="1" t="s">
        <v>787</v>
      </c>
      <c r="AF240" s="1" t="s">
        <v>4770</v>
      </c>
      <c r="AG240" s="1" t="s">
        <v>4771</v>
      </c>
      <c r="AH240" s="1"/>
      <c r="AI240" s="1" t="s">
        <v>4770</v>
      </c>
      <c r="AJ240" s="51" t="s">
        <v>4772</v>
      </c>
      <c r="AK240" s="1" t="s">
        <v>4700</v>
      </c>
    </row>
    <row r="241" spans="30:37" hidden="1" outlineLevel="1">
      <c r="AD241" s="1" t="s">
        <v>937</v>
      </c>
      <c r="AE241" s="1" t="s">
        <v>788</v>
      </c>
      <c r="AF241" s="1" t="s">
        <v>4776</v>
      </c>
      <c r="AG241" s="1" t="s">
        <v>4777</v>
      </c>
      <c r="AH241" s="1"/>
      <c r="AI241" s="1" t="s">
        <v>4776</v>
      </c>
      <c r="AJ241" s="51" t="s">
        <v>4778</v>
      </c>
      <c r="AK241" s="1" t="s">
        <v>4779</v>
      </c>
    </row>
    <row r="242" spans="30:37" hidden="1" outlineLevel="1">
      <c r="AD242" s="1" t="s">
        <v>937</v>
      </c>
      <c r="AE242" s="1" t="s">
        <v>789</v>
      </c>
      <c r="AF242" s="1" t="s">
        <v>4783</v>
      </c>
      <c r="AG242" s="1" t="s">
        <v>4784</v>
      </c>
      <c r="AH242" s="1"/>
      <c r="AI242" s="1" t="s">
        <v>4783</v>
      </c>
      <c r="AJ242" s="51" t="s">
        <v>4785</v>
      </c>
      <c r="AK242" s="1" t="s">
        <v>4786</v>
      </c>
    </row>
    <row r="243" spans="30:37" hidden="1" outlineLevel="1">
      <c r="AD243" s="1" t="s">
        <v>937</v>
      </c>
      <c r="AE243" s="1" t="s">
        <v>790</v>
      </c>
      <c r="AF243" s="1" t="s">
        <v>4790</v>
      </c>
      <c r="AG243" s="1" t="s">
        <v>4404</v>
      </c>
      <c r="AH243" s="1"/>
      <c r="AI243" s="1" t="s">
        <v>4790</v>
      </c>
      <c r="AJ243" s="51" t="s">
        <v>4791</v>
      </c>
      <c r="AK243" s="1" t="s">
        <v>4689</v>
      </c>
    </row>
    <row r="244" spans="30:37" hidden="1" outlineLevel="1">
      <c r="AD244" s="1" t="s">
        <v>937</v>
      </c>
      <c r="AE244" s="1" t="s">
        <v>791</v>
      </c>
      <c r="AF244" s="1" t="s">
        <v>4795</v>
      </c>
      <c r="AG244" s="1" t="s">
        <v>4766</v>
      </c>
      <c r="AH244" s="1"/>
      <c r="AI244" s="1" t="s">
        <v>4795</v>
      </c>
      <c r="AJ244" s="51" t="s">
        <v>4796</v>
      </c>
      <c r="AK244" s="1" t="s">
        <v>4797</v>
      </c>
    </row>
    <row r="245" spans="30:37" hidden="1" outlineLevel="1">
      <c r="AD245" s="1" t="s">
        <v>937</v>
      </c>
      <c r="AE245" s="1" t="s">
        <v>792</v>
      </c>
      <c r="AF245" s="1" t="s">
        <v>4801</v>
      </c>
      <c r="AG245" s="1" t="s">
        <v>4802</v>
      </c>
      <c r="AH245" s="1"/>
      <c r="AI245" s="1" t="s">
        <v>4801</v>
      </c>
      <c r="AJ245" s="51" t="s">
        <v>4803</v>
      </c>
      <c r="AK245" s="1" t="s">
        <v>4091</v>
      </c>
    </row>
    <row r="246" spans="30:37" hidden="1" outlineLevel="1">
      <c r="AD246" s="1" t="s">
        <v>937</v>
      </c>
      <c r="AE246" s="1" t="s">
        <v>793</v>
      </c>
      <c r="AF246" s="1" t="s">
        <v>4807</v>
      </c>
      <c r="AG246" s="1" t="s">
        <v>4808</v>
      </c>
      <c r="AH246" s="1"/>
      <c r="AI246" s="1" t="s">
        <v>4807</v>
      </c>
      <c r="AJ246" s="51" t="s">
        <v>4809</v>
      </c>
      <c r="AK246" s="1" t="s">
        <v>4354</v>
      </c>
    </row>
    <row r="247" spans="30:37" hidden="1" outlineLevel="1">
      <c r="AD247" s="1" t="s">
        <v>937</v>
      </c>
      <c r="AE247" s="1" t="s">
        <v>794</v>
      </c>
      <c r="AF247" s="1" t="s">
        <v>4813</v>
      </c>
      <c r="AG247" s="1" t="s">
        <v>4760</v>
      </c>
      <c r="AH247" s="1"/>
      <c r="AI247" s="1" t="s">
        <v>4813</v>
      </c>
      <c r="AJ247" s="51" t="s">
        <v>4814</v>
      </c>
      <c r="AK247" s="1" t="s">
        <v>4815</v>
      </c>
    </row>
    <row r="248" spans="30:37" hidden="1" outlineLevel="1">
      <c r="AD248" s="1" t="s">
        <v>937</v>
      </c>
      <c r="AE248" s="1" t="s">
        <v>795</v>
      </c>
      <c r="AF248" s="1" t="s">
        <v>4819</v>
      </c>
      <c r="AG248" s="1" t="s">
        <v>4820</v>
      </c>
      <c r="AH248" s="1"/>
      <c r="AI248" s="1" t="s">
        <v>4819</v>
      </c>
      <c r="AJ248" s="51" t="s">
        <v>4821</v>
      </c>
      <c r="AK248" s="1" t="s">
        <v>4822</v>
      </c>
    </row>
    <row r="249" spans="30:37" hidden="1" outlineLevel="1">
      <c r="AD249" s="1" t="s">
        <v>937</v>
      </c>
      <c r="AE249" s="1" t="s">
        <v>796</v>
      </c>
      <c r="AF249" s="1" t="s">
        <v>4826</v>
      </c>
      <c r="AG249" s="1" t="s">
        <v>4827</v>
      </c>
      <c r="AH249" s="1"/>
      <c r="AI249" s="1" t="s">
        <v>4826</v>
      </c>
      <c r="AJ249" s="51" t="s">
        <v>4828</v>
      </c>
      <c r="AK249" s="1" t="s">
        <v>4829</v>
      </c>
    </row>
    <row r="250" spans="30:37" hidden="1" outlineLevel="1">
      <c r="AD250" s="1" t="s">
        <v>937</v>
      </c>
      <c r="AE250" s="1" t="s">
        <v>797</v>
      </c>
      <c r="AF250" s="1" t="s">
        <v>4833</v>
      </c>
      <c r="AG250" s="1" t="s">
        <v>4640</v>
      </c>
      <c r="AH250" s="1"/>
      <c r="AI250" s="1" t="s">
        <v>4833</v>
      </c>
      <c r="AJ250" s="51" t="s">
        <v>4834</v>
      </c>
      <c r="AK250" s="1" t="s">
        <v>4835</v>
      </c>
    </row>
    <row r="251" spans="30:37" hidden="1" outlineLevel="1">
      <c r="AD251" s="1" t="s">
        <v>937</v>
      </c>
      <c r="AE251" s="1" t="s">
        <v>798</v>
      </c>
      <c r="AF251" s="1" t="s">
        <v>4837</v>
      </c>
      <c r="AG251" s="1" t="s">
        <v>4838</v>
      </c>
      <c r="AH251" s="1"/>
      <c r="AI251" s="1" t="s">
        <v>4837</v>
      </c>
      <c r="AJ251" s="51" t="s">
        <v>4839</v>
      </c>
      <c r="AK251" s="1" t="s">
        <v>4840</v>
      </c>
    </row>
    <row r="252" spans="30:37" hidden="1" outlineLevel="1">
      <c r="AD252" s="1" t="s">
        <v>937</v>
      </c>
      <c r="AE252" s="1" t="s">
        <v>799</v>
      </c>
      <c r="AF252" s="1" t="s">
        <v>4844</v>
      </c>
      <c r="AG252" s="1" t="s">
        <v>4845</v>
      </c>
      <c r="AH252" s="1"/>
      <c r="AI252" s="1" t="s">
        <v>4844</v>
      </c>
      <c r="AJ252" s="51" t="s">
        <v>4846</v>
      </c>
      <c r="AK252" s="1" t="s">
        <v>4847</v>
      </c>
    </row>
    <row r="253" spans="30:37" hidden="1" outlineLevel="1">
      <c r="AD253" s="1" t="s">
        <v>937</v>
      </c>
      <c r="AE253" s="1" t="s">
        <v>800</v>
      </c>
      <c r="AF253" s="1" t="s">
        <v>4852</v>
      </c>
      <c r="AG253" s="1" t="s">
        <v>4853</v>
      </c>
      <c r="AH253" s="1"/>
      <c r="AI253" s="1" t="s">
        <v>4852</v>
      </c>
      <c r="AJ253" s="51" t="s">
        <v>4854</v>
      </c>
      <c r="AK253" s="1" t="s">
        <v>4855</v>
      </c>
    </row>
    <row r="254" spans="30:37" hidden="1" outlineLevel="1">
      <c r="AD254" s="1" t="s">
        <v>937</v>
      </c>
      <c r="AE254" s="1" t="s">
        <v>801</v>
      </c>
      <c r="AF254" s="1" t="s">
        <v>4860</v>
      </c>
      <c r="AG254" s="1" t="s">
        <v>4861</v>
      </c>
      <c r="AH254" s="1"/>
      <c r="AI254" s="1" t="s">
        <v>4860</v>
      </c>
      <c r="AJ254" s="51" t="s">
        <v>4862</v>
      </c>
      <c r="AK254" s="1" t="s">
        <v>4259</v>
      </c>
    </row>
    <row r="255" spans="30:37" hidden="1" outlineLevel="1">
      <c r="AD255" s="1" t="s">
        <v>937</v>
      </c>
      <c r="AE255" s="1" t="s">
        <v>802</v>
      </c>
      <c r="AF255" s="1" t="s">
        <v>4867</v>
      </c>
      <c r="AG255" s="1" t="s">
        <v>4729</v>
      </c>
      <c r="AH255" s="1"/>
      <c r="AI255" s="1" t="s">
        <v>4867</v>
      </c>
      <c r="AJ255" s="51" t="s">
        <v>4868</v>
      </c>
      <c r="AK255" s="1" t="s">
        <v>4646</v>
      </c>
    </row>
    <row r="256" spans="30:37" hidden="1" outlineLevel="1">
      <c r="AD256" s="1" t="s">
        <v>937</v>
      </c>
      <c r="AE256" s="1" t="s">
        <v>803</v>
      </c>
      <c r="AF256" s="1" t="s">
        <v>4873</v>
      </c>
      <c r="AG256" s="1" t="s">
        <v>4069</v>
      </c>
      <c r="AH256" s="1"/>
      <c r="AI256" s="1" t="s">
        <v>4873</v>
      </c>
      <c r="AJ256" s="51" t="s">
        <v>4874</v>
      </c>
      <c r="AK256" s="1" t="s">
        <v>4875</v>
      </c>
    </row>
    <row r="257" spans="30:37" hidden="1" outlineLevel="1">
      <c r="AD257" s="1" t="s">
        <v>937</v>
      </c>
      <c r="AE257" s="1" t="s">
        <v>804</v>
      </c>
      <c r="AF257" s="1" t="s">
        <v>4880</v>
      </c>
      <c r="AG257" s="1" t="s">
        <v>4648</v>
      </c>
      <c r="AH257" s="1"/>
      <c r="AI257" s="1" t="s">
        <v>4880</v>
      </c>
      <c r="AJ257" s="51" t="s">
        <v>4881</v>
      </c>
      <c r="AK257" s="1" t="s">
        <v>4882</v>
      </c>
    </row>
    <row r="258" spans="30:37" hidden="1" outlineLevel="1">
      <c r="AD258" s="1" t="s">
        <v>937</v>
      </c>
      <c r="AE258" s="1" t="s">
        <v>805</v>
      </c>
      <c r="AF258" s="1" t="s">
        <v>4887</v>
      </c>
      <c r="AG258" s="1" t="s">
        <v>4888</v>
      </c>
      <c r="AH258" s="1"/>
      <c r="AI258" s="1" t="s">
        <v>4887</v>
      </c>
      <c r="AJ258" s="51" t="s">
        <v>4889</v>
      </c>
      <c r="AK258" s="1" t="s">
        <v>4890</v>
      </c>
    </row>
    <row r="259" spans="30:37" hidden="1" outlineLevel="1">
      <c r="AD259" s="1" t="s">
        <v>937</v>
      </c>
      <c r="AE259" s="1" t="s">
        <v>806</v>
      </c>
      <c r="AF259" s="1" t="s">
        <v>4895</v>
      </c>
      <c r="AG259" s="1" t="s">
        <v>4210</v>
      </c>
      <c r="AH259" s="1"/>
      <c r="AI259" s="1" t="s">
        <v>4895</v>
      </c>
      <c r="AJ259" s="51" t="s">
        <v>4896</v>
      </c>
      <c r="AK259" s="1" t="s">
        <v>4897</v>
      </c>
    </row>
    <row r="260" spans="30:37" hidden="1" outlineLevel="1">
      <c r="AD260" s="1" t="s">
        <v>937</v>
      </c>
      <c r="AE260" s="1" t="s">
        <v>807</v>
      </c>
      <c r="AF260" s="1" t="s">
        <v>4902</v>
      </c>
      <c r="AG260" s="1" t="s">
        <v>4754</v>
      </c>
      <c r="AH260" s="1"/>
      <c r="AI260" s="1" t="s">
        <v>4902</v>
      </c>
      <c r="AJ260" s="51" t="s">
        <v>4903</v>
      </c>
      <c r="AK260" s="1" t="s">
        <v>4904</v>
      </c>
    </row>
    <row r="261" spans="30:37" hidden="1" outlineLevel="1">
      <c r="AD261" s="1" t="s">
        <v>937</v>
      </c>
      <c r="AE261" s="1" t="s">
        <v>233</v>
      </c>
      <c r="AF261" s="1" t="s">
        <v>4909</v>
      </c>
      <c r="AG261" s="1" t="s">
        <v>4518</v>
      </c>
      <c r="AH261" s="1"/>
      <c r="AI261" s="1" t="s">
        <v>4909</v>
      </c>
      <c r="AJ261" s="51" t="s">
        <v>4910</v>
      </c>
      <c r="AK261" s="1" t="s">
        <v>4378</v>
      </c>
    </row>
    <row r="262" spans="30:37" hidden="1" outlineLevel="1">
      <c r="AD262" s="1" t="s">
        <v>937</v>
      </c>
      <c r="AE262" s="1" t="s">
        <v>234</v>
      </c>
      <c r="AF262" s="1" t="s">
        <v>4915</v>
      </c>
      <c r="AG262" s="1" t="s">
        <v>4916</v>
      </c>
      <c r="AH262" s="1"/>
      <c r="AI262" s="1" t="s">
        <v>4915</v>
      </c>
      <c r="AJ262" s="51" t="s">
        <v>4917</v>
      </c>
      <c r="AK262" s="1" t="s">
        <v>4918</v>
      </c>
    </row>
    <row r="263" spans="30:37" hidden="1" outlineLevel="1">
      <c r="AD263" s="1" t="s">
        <v>937</v>
      </c>
      <c r="AE263" s="1" t="s">
        <v>235</v>
      </c>
      <c r="AF263" s="1" t="s">
        <v>4923</v>
      </c>
      <c r="AG263" s="1" t="s">
        <v>4924</v>
      </c>
      <c r="AH263" s="1"/>
      <c r="AI263" s="1" t="s">
        <v>4923</v>
      </c>
      <c r="AJ263" s="51" t="s">
        <v>4925</v>
      </c>
      <c r="AK263" s="1" t="s">
        <v>4741</v>
      </c>
    </row>
    <row r="264" spans="30:37" hidden="1" outlineLevel="1">
      <c r="AD264" s="1" t="s">
        <v>937</v>
      </c>
      <c r="AE264" s="1" t="s">
        <v>236</v>
      </c>
      <c r="AF264" s="1" t="s">
        <v>4929</v>
      </c>
      <c r="AG264" s="1" t="s">
        <v>4930</v>
      </c>
      <c r="AH264" s="1"/>
      <c r="AI264" s="1" t="s">
        <v>4929</v>
      </c>
      <c r="AJ264" s="51" t="s">
        <v>4931</v>
      </c>
      <c r="AK264" s="1" t="s">
        <v>4682</v>
      </c>
    </row>
    <row r="265" spans="30:37" hidden="1" outlineLevel="1">
      <c r="AD265" s="1" t="s">
        <v>937</v>
      </c>
      <c r="AE265" s="1" t="s">
        <v>237</v>
      </c>
      <c r="AF265" s="1" t="s">
        <v>4936</v>
      </c>
      <c r="AG265" s="1" t="s">
        <v>4779</v>
      </c>
      <c r="AH265" s="1"/>
      <c r="AI265" s="1" t="s">
        <v>4936</v>
      </c>
      <c r="AJ265" s="51" t="s">
        <v>4937</v>
      </c>
      <c r="AK265" s="1" t="s">
        <v>4938</v>
      </c>
    </row>
    <row r="266" spans="30:37" hidden="1" outlineLevel="1">
      <c r="AD266" s="1" t="s">
        <v>937</v>
      </c>
      <c r="AE266" s="1" t="s">
        <v>238</v>
      </c>
      <c r="AF266" s="1" t="s">
        <v>4943</v>
      </c>
      <c r="AG266" s="1" t="s">
        <v>4840</v>
      </c>
      <c r="AH266" s="1"/>
      <c r="AI266" s="1" t="s">
        <v>4943</v>
      </c>
      <c r="AJ266" s="51" t="s">
        <v>4944</v>
      </c>
      <c r="AK266" s="1" t="s">
        <v>4945</v>
      </c>
    </row>
    <row r="267" spans="30:37" hidden="1" outlineLevel="1">
      <c r="AD267" s="1" t="s">
        <v>937</v>
      </c>
      <c r="AE267" s="1" t="s">
        <v>239</v>
      </c>
      <c r="AF267" s="1" t="s">
        <v>4950</v>
      </c>
      <c r="AG267" s="1" t="s">
        <v>4951</v>
      </c>
      <c r="AH267" s="1"/>
      <c r="AI267" s="1" t="s">
        <v>4950</v>
      </c>
      <c r="AJ267" s="51" t="s">
        <v>4952</v>
      </c>
      <c r="AK267" s="1" t="s">
        <v>4953</v>
      </c>
    </row>
    <row r="268" spans="30:37" hidden="1" outlineLevel="1">
      <c r="AD268" s="1" t="s">
        <v>937</v>
      </c>
      <c r="AE268" s="1" t="s">
        <v>240</v>
      </c>
      <c r="AF268" s="1" t="s">
        <v>4958</v>
      </c>
      <c r="AG268" s="1" t="s">
        <v>4218</v>
      </c>
      <c r="AH268" s="1"/>
      <c r="AI268" s="1" t="s">
        <v>4958</v>
      </c>
      <c r="AJ268" s="51" t="s">
        <v>4959</v>
      </c>
      <c r="AK268" s="1" t="s">
        <v>4960</v>
      </c>
    </row>
    <row r="269" spans="30:37" hidden="1" outlineLevel="1">
      <c r="AD269" s="1" t="s">
        <v>937</v>
      </c>
      <c r="AE269" s="1" t="s">
        <v>241</v>
      </c>
      <c r="AF269" s="1" t="s">
        <v>4965</v>
      </c>
      <c r="AG269" s="1" t="s">
        <v>4702</v>
      </c>
      <c r="AH269" s="1"/>
      <c r="AI269" s="1" t="s">
        <v>4965</v>
      </c>
      <c r="AJ269" s="51" t="s">
        <v>4966</v>
      </c>
      <c r="AK269" s="1" t="s">
        <v>4967</v>
      </c>
    </row>
    <row r="270" spans="30:37" hidden="1" outlineLevel="1">
      <c r="AD270" s="1" t="s">
        <v>937</v>
      </c>
      <c r="AE270" s="1" t="s">
        <v>242</v>
      </c>
      <c r="AF270" s="1" t="s">
        <v>4972</v>
      </c>
      <c r="AG270" s="1" t="s">
        <v>4973</v>
      </c>
      <c r="AH270" s="1"/>
      <c r="AI270" s="1" t="s">
        <v>4972</v>
      </c>
      <c r="AJ270" s="51" t="s">
        <v>4974</v>
      </c>
      <c r="AK270" s="1" t="s">
        <v>4370</v>
      </c>
    </row>
    <row r="271" spans="30:37" hidden="1" outlineLevel="1">
      <c r="AD271" s="1" t="s">
        <v>937</v>
      </c>
      <c r="AE271" s="1" t="s">
        <v>243</v>
      </c>
      <c r="AF271" s="1" t="s">
        <v>4979</v>
      </c>
      <c r="AG271" s="1" t="s">
        <v>4097</v>
      </c>
      <c r="AH271" s="1"/>
      <c r="AI271" s="1" t="s">
        <v>4979</v>
      </c>
      <c r="AJ271" s="51" t="s">
        <v>4980</v>
      </c>
      <c r="AK271" s="1" t="s">
        <v>4727</v>
      </c>
    </row>
    <row r="272" spans="30:37" hidden="1" outlineLevel="1">
      <c r="AD272" s="1" t="s">
        <v>937</v>
      </c>
      <c r="AE272" s="1" t="s">
        <v>244</v>
      </c>
      <c r="AF272" s="1" t="s">
        <v>4985</v>
      </c>
      <c r="AG272" s="1" t="s">
        <v>4691</v>
      </c>
      <c r="AH272" s="1"/>
      <c r="AI272" s="1" t="s">
        <v>4985</v>
      </c>
      <c r="AJ272" s="51" t="s">
        <v>4986</v>
      </c>
      <c r="AK272" s="1" t="s">
        <v>4987</v>
      </c>
    </row>
    <row r="273" spans="30:37" hidden="1" outlineLevel="1">
      <c r="AD273" s="1" t="s">
        <v>937</v>
      </c>
      <c r="AE273" s="1" t="s">
        <v>245</v>
      </c>
      <c r="AF273" s="1" t="s">
        <v>4992</v>
      </c>
      <c r="AG273" s="1" t="s">
        <v>4632</v>
      </c>
      <c r="AH273" s="1"/>
      <c r="AI273" s="1" t="s">
        <v>4992</v>
      </c>
      <c r="AJ273" s="51" t="s">
        <v>4993</v>
      </c>
      <c r="AK273" s="1" t="s">
        <v>4572</v>
      </c>
    </row>
    <row r="274" spans="30:37" hidden="1" outlineLevel="1">
      <c r="AD274" s="1" t="s">
        <v>937</v>
      </c>
      <c r="AE274" s="1" t="s">
        <v>246</v>
      </c>
      <c r="AF274" s="1" t="s">
        <v>4998</v>
      </c>
      <c r="AG274" s="1" t="s">
        <v>4550</v>
      </c>
      <c r="AH274" s="1"/>
      <c r="AI274" s="1" t="s">
        <v>4998</v>
      </c>
      <c r="AJ274" s="51" t="s">
        <v>4999</v>
      </c>
      <c r="AK274" s="1" t="s">
        <v>5000</v>
      </c>
    </row>
    <row r="275" spans="30:37" hidden="1" outlineLevel="1">
      <c r="AD275" s="1" t="s">
        <v>937</v>
      </c>
      <c r="AE275" s="1" t="s">
        <v>247</v>
      </c>
      <c r="AF275" s="1" t="s">
        <v>5005</v>
      </c>
      <c r="AG275" s="1" t="s">
        <v>4031</v>
      </c>
      <c r="AH275" s="1"/>
      <c r="AI275" s="1" t="s">
        <v>5005</v>
      </c>
      <c r="AJ275" s="51" t="s">
        <v>5006</v>
      </c>
      <c r="AK275" s="1" t="s">
        <v>5007</v>
      </c>
    </row>
    <row r="276" spans="30:37" hidden="1" outlineLevel="1">
      <c r="AD276" s="1" t="s">
        <v>937</v>
      </c>
      <c r="AE276" s="1" t="s">
        <v>248</v>
      </c>
      <c r="AF276" s="1" t="s">
        <v>5012</v>
      </c>
      <c r="AG276" s="1" t="s">
        <v>4676</v>
      </c>
      <c r="AH276" s="1"/>
      <c r="AI276" s="1" t="s">
        <v>5012</v>
      </c>
      <c r="AJ276" s="51" t="s">
        <v>5013</v>
      </c>
      <c r="AK276" s="1" t="s">
        <v>4630</v>
      </c>
    </row>
    <row r="277" spans="30:37" hidden="1" outlineLevel="1">
      <c r="AD277" s="1" t="s">
        <v>937</v>
      </c>
      <c r="AE277" s="1" t="s">
        <v>249</v>
      </c>
      <c r="AF277" s="1" t="s">
        <v>5018</v>
      </c>
      <c r="AG277" s="1" t="s">
        <v>5019</v>
      </c>
      <c r="AH277" s="1"/>
      <c r="AI277" s="1" t="s">
        <v>5018</v>
      </c>
      <c r="AJ277" s="51" t="s">
        <v>5020</v>
      </c>
      <c r="AK277" s="1" t="s">
        <v>4079</v>
      </c>
    </row>
    <row r="278" spans="30:37" hidden="1" outlineLevel="1">
      <c r="AD278" s="1" t="s">
        <v>937</v>
      </c>
      <c r="AE278" s="1" t="s">
        <v>250</v>
      </c>
      <c r="AF278" s="1" t="s">
        <v>5025</v>
      </c>
      <c r="AG278" s="1" t="s">
        <v>5026</v>
      </c>
      <c r="AH278" s="1"/>
      <c r="AI278" s="1" t="s">
        <v>5025</v>
      </c>
      <c r="AJ278" s="51" t="s">
        <v>5027</v>
      </c>
      <c r="AK278" s="1" t="s">
        <v>5028</v>
      </c>
    </row>
    <row r="279" spans="30:37" hidden="1" outlineLevel="1">
      <c r="AD279" s="1" t="s">
        <v>937</v>
      </c>
      <c r="AE279" s="1" t="s">
        <v>251</v>
      </c>
      <c r="AF279" s="1" t="s">
        <v>5033</v>
      </c>
      <c r="AG279" s="1" t="s">
        <v>3930</v>
      </c>
      <c r="AH279" s="1"/>
      <c r="AI279" s="1" t="s">
        <v>5033</v>
      </c>
      <c r="AJ279" s="51" t="s">
        <v>5034</v>
      </c>
      <c r="AK279" s="1" t="s">
        <v>5035</v>
      </c>
    </row>
    <row r="280" spans="30:37" hidden="1" outlineLevel="1">
      <c r="AD280" s="1" t="s">
        <v>937</v>
      </c>
      <c r="AE280" s="1" t="s">
        <v>252</v>
      </c>
      <c r="AF280" s="1" t="s">
        <v>5040</v>
      </c>
      <c r="AG280" s="1" t="s">
        <v>5041</v>
      </c>
      <c r="AH280" s="1"/>
      <c r="AI280" s="1" t="s">
        <v>5040</v>
      </c>
      <c r="AJ280" s="51" t="s">
        <v>5042</v>
      </c>
      <c r="AK280" s="1" t="s">
        <v>4930</v>
      </c>
    </row>
    <row r="281" spans="30:37" hidden="1" outlineLevel="1">
      <c r="AD281" s="1" t="s">
        <v>937</v>
      </c>
      <c r="AE281" s="1" t="s">
        <v>253</v>
      </c>
      <c r="AF281" s="1" t="s">
        <v>5047</v>
      </c>
      <c r="AG281" s="1" t="s">
        <v>5048</v>
      </c>
      <c r="AH281" s="1"/>
      <c r="AI281" s="1" t="s">
        <v>5047</v>
      </c>
      <c r="AJ281" s="51" t="s">
        <v>5049</v>
      </c>
      <c r="AK281" s="1" t="s">
        <v>5041</v>
      </c>
    </row>
    <row r="282" spans="30:37" hidden="1" outlineLevel="1">
      <c r="AD282" s="1" t="s">
        <v>937</v>
      </c>
      <c r="AE282" s="1" t="s">
        <v>254</v>
      </c>
      <c r="AF282" s="1" t="s">
        <v>5053</v>
      </c>
      <c r="AG282" s="1" t="s">
        <v>4380</v>
      </c>
      <c r="AH282" s="1"/>
      <c r="AI282" s="1" t="s">
        <v>5053</v>
      </c>
      <c r="AJ282" s="51" t="s">
        <v>5054</v>
      </c>
      <c r="AK282" s="1" t="s">
        <v>4099</v>
      </c>
    </row>
    <row r="283" spans="30:37" hidden="1" outlineLevel="1">
      <c r="AD283" s="1" t="s">
        <v>937</v>
      </c>
      <c r="AE283" s="1" t="s">
        <v>255</v>
      </c>
      <c r="AF283" s="1" t="s">
        <v>5058</v>
      </c>
      <c r="AG283" s="1" t="s">
        <v>5059</v>
      </c>
      <c r="AH283" s="1"/>
      <c r="AI283" s="1" t="s">
        <v>5058</v>
      </c>
      <c r="AJ283" s="51" t="s">
        <v>5060</v>
      </c>
      <c r="AK283" s="1" t="s">
        <v>4827</v>
      </c>
    </row>
    <row r="284" spans="30:37" hidden="1" outlineLevel="1">
      <c r="AD284" s="1" t="s">
        <v>937</v>
      </c>
      <c r="AE284" s="1" t="s">
        <v>256</v>
      </c>
      <c r="AF284" s="1" t="s">
        <v>5065</v>
      </c>
      <c r="AG284" s="1" t="s">
        <v>5066</v>
      </c>
      <c r="AH284" s="1"/>
      <c r="AI284" s="1" t="s">
        <v>5065</v>
      </c>
      <c r="AJ284" s="51" t="s">
        <v>5067</v>
      </c>
      <c r="AK284" s="1" t="s">
        <v>5068</v>
      </c>
    </row>
    <row r="285" spans="30:37" hidden="1" outlineLevel="1">
      <c r="AD285" s="1" t="s">
        <v>950</v>
      </c>
      <c r="AE285" s="1" t="s">
        <v>736</v>
      </c>
      <c r="AF285" s="1" t="s">
        <v>5073</v>
      </c>
      <c r="AG285" s="1" t="s">
        <v>5074</v>
      </c>
      <c r="AH285" s="1"/>
      <c r="AI285" s="1" t="s">
        <v>5073</v>
      </c>
      <c r="AJ285" s="51" t="s">
        <v>5075</v>
      </c>
      <c r="AK285" s="1" t="s">
        <v>5076</v>
      </c>
    </row>
    <row r="286" spans="30:37" hidden="1" outlineLevel="1">
      <c r="AD286" s="1" t="s">
        <v>950</v>
      </c>
      <c r="AE286" s="1" t="s">
        <v>737</v>
      </c>
      <c r="AF286" s="1" t="s">
        <v>5081</v>
      </c>
      <c r="AG286" s="1" t="s">
        <v>5082</v>
      </c>
      <c r="AH286" s="1"/>
      <c r="AI286" s="1" t="s">
        <v>5081</v>
      </c>
      <c r="AJ286" s="51" t="s">
        <v>5083</v>
      </c>
      <c r="AK286" s="1" t="s">
        <v>5066</v>
      </c>
    </row>
    <row r="287" spans="30:37" hidden="1" outlineLevel="1">
      <c r="AD287" s="1" t="s">
        <v>950</v>
      </c>
      <c r="AE287" s="1" t="s">
        <v>738</v>
      </c>
      <c r="AF287" s="1" t="s">
        <v>5088</v>
      </c>
      <c r="AG287" s="1" t="s">
        <v>5089</v>
      </c>
      <c r="AH287" s="1"/>
      <c r="AI287" s="1" t="s">
        <v>5088</v>
      </c>
      <c r="AJ287" s="51" t="s">
        <v>5090</v>
      </c>
      <c r="AK287" s="1" t="s">
        <v>5091</v>
      </c>
    </row>
    <row r="288" spans="30:37" hidden="1" outlineLevel="1">
      <c r="AD288" s="1" t="s">
        <v>950</v>
      </c>
      <c r="AE288" s="1" t="s">
        <v>739</v>
      </c>
      <c r="AF288" s="1" t="s">
        <v>5096</v>
      </c>
      <c r="AG288" s="1" t="s">
        <v>5097</v>
      </c>
      <c r="AH288" s="1"/>
      <c r="AI288" s="1" t="s">
        <v>5096</v>
      </c>
      <c r="AJ288" s="51" t="s">
        <v>5098</v>
      </c>
      <c r="AK288" s="1" t="s">
        <v>5099</v>
      </c>
    </row>
    <row r="289" spans="30:37" hidden="1" outlineLevel="1">
      <c r="AD289" s="1" t="s">
        <v>950</v>
      </c>
      <c r="AE289" s="1" t="s">
        <v>740</v>
      </c>
      <c r="AF289" s="1" t="s">
        <v>5104</v>
      </c>
      <c r="AG289" s="1" t="s">
        <v>5105</v>
      </c>
      <c r="AH289" s="1"/>
      <c r="AI289" s="1" t="s">
        <v>5104</v>
      </c>
      <c r="AJ289" s="51" t="s">
        <v>5106</v>
      </c>
      <c r="AK289" s="1" t="s">
        <v>4402</v>
      </c>
    </row>
    <row r="290" spans="30:37" hidden="1" outlineLevel="1">
      <c r="AD290" s="1" t="s">
        <v>950</v>
      </c>
      <c r="AE290" s="1" t="s">
        <v>741</v>
      </c>
      <c r="AF290" s="1" t="s">
        <v>5110</v>
      </c>
      <c r="AG290" s="1" t="s">
        <v>5111</v>
      </c>
      <c r="AH290" s="1"/>
      <c r="AI290" s="1" t="s">
        <v>5110</v>
      </c>
      <c r="AJ290" s="51" t="s">
        <v>5112</v>
      </c>
      <c r="AK290" s="1" t="s">
        <v>5113</v>
      </c>
    </row>
    <row r="291" spans="30:37" hidden="1" outlineLevel="1">
      <c r="AD291" s="1" t="s">
        <v>950</v>
      </c>
      <c r="AE291" s="1" t="s">
        <v>742</v>
      </c>
      <c r="AF291" s="1" t="s">
        <v>5118</v>
      </c>
      <c r="AG291" s="1" t="s">
        <v>5119</v>
      </c>
      <c r="AH291" s="1"/>
      <c r="AI291" s="1" t="s">
        <v>5118</v>
      </c>
      <c r="AJ291" s="51" t="s">
        <v>5120</v>
      </c>
      <c r="AK291" s="1" t="s">
        <v>4107</v>
      </c>
    </row>
    <row r="292" spans="30:37" hidden="1" outlineLevel="1">
      <c r="AD292" s="1" t="s">
        <v>950</v>
      </c>
      <c r="AE292" s="1" t="s">
        <v>743</v>
      </c>
      <c r="AF292" s="1" t="s">
        <v>5125</v>
      </c>
      <c r="AG292" s="1" t="s">
        <v>5126</v>
      </c>
      <c r="AH292" s="1"/>
      <c r="AI292" s="1" t="s">
        <v>5125</v>
      </c>
      <c r="AJ292" s="51" t="s">
        <v>5127</v>
      </c>
      <c r="AK292" s="1" t="s">
        <v>5128</v>
      </c>
    </row>
    <row r="293" spans="30:37" hidden="1" outlineLevel="1">
      <c r="AD293" s="1" t="s">
        <v>950</v>
      </c>
      <c r="AE293" s="1" t="s">
        <v>744</v>
      </c>
      <c r="AF293" s="1" t="s">
        <v>5133</v>
      </c>
      <c r="AG293" s="1" t="s">
        <v>5134</v>
      </c>
      <c r="AH293" s="1"/>
      <c r="AI293" s="1" t="s">
        <v>5133</v>
      </c>
      <c r="AJ293" s="51" t="s">
        <v>5135</v>
      </c>
      <c r="AK293" s="1" t="s">
        <v>5136</v>
      </c>
    </row>
    <row r="294" spans="30:37" hidden="1" outlineLevel="1">
      <c r="AD294" s="1" t="s">
        <v>950</v>
      </c>
      <c r="AE294" s="1" t="s">
        <v>745</v>
      </c>
      <c r="AF294" s="1" t="s">
        <v>5141</v>
      </c>
      <c r="AG294" s="1" t="s">
        <v>4736</v>
      </c>
      <c r="AH294" s="1"/>
      <c r="AI294" s="1" t="s">
        <v>5141</v>
      </c>
      <c r="AJ294" s="51" t="s">
        <v>5142</v>
      </c>
      <c r="AK294" s="1" t="s">
        <v>4441</v>
      </c>
    </row>
    <row r="295" spans="30:37" hidden="1" outlineLevel="1">
      <c r="AD295" s="1" t="s">
        <v>950</v>
      </c>
      <c r="AE295" s="1" t="s">
        <v>746</v>
      </c>
      <c r="AF295" s="1" t="s">
        <v>5147</v>
      </c>
      <c r="AG295" s="1" t="s">
        <v>5148</v>
      </c>
      <c r="AH295" s="1"/>
      <c r="AI295" s="1" t="s">
        <v>5147</v>
      </c>
      <c r="AJ295" s="51" t="s">
        <v>5149</v>
      </c>
      <c r="AK295" s="1" t="s">
        <v>4457</v>
      </c>
    </row>
    <row r="296" spans="30:37" hidden="1" outlineLevel="1">
      <c r="AD296" s="1" t="s">
        <v>950</v>
      </c>
      <c r="AE296" s="1" t="s">
        <v>747</v>
      </c>
      <c r="AF296" s="1" t="s">
        <v>5153</v>
      </c>
      <c r="AG296" s="1" t="s">
        <v>4855</v>
      </c>
      <c r="AH296" s="1"/>
      <c r="AI296" s="1" t="s">
        <v>5153</v>
      </c>
      <c r="AJ296" s="51" t="s">
        <v>5154</v>
      </c>
      <c r="AK296" s="1" t="s">
        <v>5155</v>
      </c>
    </row>
    <row r="297" spans="30:37" hidden="1" outlineLevel="1">
      <c r="AD297" s="1" t="s">
        <v>950</v>
      </c>
      <c r="AE297" s="1" t="s">
        <v>748</v>
      </c>
      <c r="AF297" s="1" t="s">
        <v>5160</v>
      </c>
      <c r="AG297" s="1" t="s">
        <v>5161</v>
      </c>
      <c r="AH297" s="1"/>
      <c r="AI297" s="1" t="s">
        <v>5160</v>
      </c>
      <c r="AJ297" s="51" t="s">
        <v>5162</v>
      </c>
      <c r="AK297" s="1" t="s">
        <v>5163</v>
      </c>
    </row>
    <row r="298" spans="30:37" hidden="1" outlineLevel="1">
      <c r="AD298" s="1" t="s">
        <v>950</v>
      </c>
      <c r="AE298" s="1" t="s">
        <v>749</v>
      </c>
      <c r="AF298" s="1" t="s">
        <v>5168</v>
      </c>
      <c r="AG298" s="1" t="s">
        <v>4113</v>
      </c>
      <c r="AH298" s="1"/>
      <c r="AI298" s="1" t="s">
        <v>5168</v>
      </c>
      <c r="AJ298" s="51" t="s">
        <v>5169</v>
      </c>
      <c r="AK298" s="1" t="s">
        <v>5170</v>
      </c>
    </row>
    <row r="299" spans="30:37" hidden="1" outlineLevel="1">
      <c r="AD299" s="1" t="s">
        <v>950</v>
      </c>
      <c r="AE299" s="1" t="s">
        <v>750</v>
      </c>
      <c r="AF299" s="1" t="s">
        <v>5175</v>
      </c>
      <c r="AG299" s="1" t="s">
        <v>5176</v>
      </c>
      <c r="AH299" s="1"/>
      <c r="AI299" s="1" t="s">
        <v>5175</v>
      </c>
      <c r="AJ299" s="51" t="s">
        <v>5177</v>
      </c>
      <c r="AK299" s="1" t="s">
        <v>5178</v>
      </c>
    </row>
    <row r="300" spans="30:37" hidden="1" outlineLevel="1">
      <c r="AD300" s="1" t="s">
        <v>950</v>
      </c>
      <c r="AE300" s="1" t="s">
        <v>751</v>
      </c>
      <c r="AF300" s="1" t="s">
        <v>5183</v>
      </c>
      <c r="AG300" s="1" t="s">
        <v>5184</v>
      </c>
      <c r="AH300" s="1"/>
      <c r="AI300" s="1" t="s">
        <v>5183</v>
      </c>
      <c r="AJ300" s="51" t="s">
        <v>5185</v>
      </c>
      <c r="AK300" s="1" t="s">
        <v>5186</v>
      </c>
    </row>
    <row r="301" spans="30:37" hidden="1" outlineLevel="1">
      <c r="AD301" s="1" t="s">
        <v>950</v>
      </c>
      <c r="AE301" s="1" t="s">
        <v>752</v>
      </c>
      <c r="AF301" s="1" t="s">
        <v>5191</v>
      </c>
      <c r="AG301" s="1" t="s">
        <v>5192</v>
      </c>
      <c r="AH301" s="1"/>
      <c r="AI301" s="1" t="s">
        <v>5191</v>
      </c>
      <c r="AJ301" s="51" t="s">
        <v>5193</v>
      </c>
      <c r="AK301" s="1" t="s">
        <v>5194</v>
      </c>
    </row>
    <row r="302" spans="30:37" hidden="1" outlineLevel="1">
      <c r="AD302" s="1" t="s">
        <v>950</v>
      </c>
      <c r="AE302" s="1" t="s">
        <v>753</v>
      </c>
      <c r="AF302" s="1" t="s">
        <v>5199</v>
      </c>
      <c r="AG302" s="1" t="s">
        <v>3894</v>
      </c>
      <c r="AH302" s="1"/>
      <c r="AI302" s="1" t="s">
        <v>5199</v>
      </c>
      <c r="AJ302" s="51" t="s">
        <v>5200</v>
      </c>
      <c r="AK302" s="1" t="s">
        <v>5201</v>
      </c>
    </row>
    <row r="303" spans="30:37" hidden="1" outlineLevel="1">
      <c r="AD303" s="1" t="s">
        <v>950</v>
      </c>
      <c r="AE303" s="1" t="s">
        <v>754</v>
      </c>
      <c r="AF303" s="1" t="s">
        <v>5206</v>
      </c>
      <c r="AG303" s="1" t="s">
        <v>5207</v>
      </c>
      <c r="AH303" s="1"/>
      <c r="AI303" s="1" t="s">
        <v>5206</v>
      </c>
      <c r="AJ303" s="51" t="s">
        <v>5208</v>
      </c>
      <c r="AK303" s="1" t="s">
        <v>5209</v>
      </c>
    </row>
    <row r="304" spans="30:37" hidden="1" outlineLevel="1">
      <c r="AD304" s="1" t="s">
        <v>950</v>
      </c>
      <c r="AE304" s="1" t="s">
        <v>755</v>
      </c>
      <c r="AF304" s="1" t="s">
        <v>5214</v>
      </c>
      <c r="AG304" s="1" t="s">
        <v>5215</v>
      </c>
      <c r="AH304" s="1"/>
      <c r="AI304" s="1" t="s">
        <v>5214</v>
      </c>
      <c r="AJ304" s="51" t="s">
        <v>5216</v>
      </c>
      <c r="AK304" s="1" t="s">
        <v>5217</v>
      </c>
    </row>
    <row r="305" spans="30:37" hidden="1" outlineLevel="1">
      <c r="AD305" s="1" t="s">
        <v>950</v>
      </c>
      <c r="AE305" s="1" t="s">
        <v>756</v>
      </c>
      <c r="AF305" s="1" t="s">
        <v>5222</v>
      </c>
      <c r="AG305" s="1" t="s">
        <v>5223</v>
      </c>
      <c r="AH305" s="1"/>
      <c r="AI305" s="1" t="s">
        <v>5222</v>
      </c>
      <c r="AJ305" s="51" t="s">
        <v>5224</v>
      </c>
      <c r="AK305" s="1" t="s">
        <v>5225</v>
      </c>
    </row>
    <row r="306" spans="30:37" hidden="1" outlineLevel="1">
      <c r="AD306" s="1" t="s">
        <v>950</v>
      </c>
      <c r="AE306" s="1" t="s">
        <v>757</v>
      </c>
      <c r="AF306" s="1" t="s">
        <v>5230</v>
      </c>
      <c r="AG306" s="1" t="s">
        <v>5231</v>
      </c>
      <c r="AH306" s="1"/>
      <c r="AI306" s="1" t="s">
        <v>5230</v>
      </c>
      <c r="AJ306" s="51" t="s">
        <v>5232</v>
      </c>
      <c r="AK306" s="1" t="s">
        <v>5233</v>
      </c>
    </row>
    <row r="307" spans="30:37" hidden="1" outlineLevel="1">
      <c r="AD307" s="1" t="s">
        <v>950</v>
      </c>
      <c r="AE307" s="1" t="s">
        <v>758</v>
      </c>
      <c r="AF307" s="1" t="s">
        <v>5238</v>
      </c>
      <c r="AG307" s="1" t="s">
        <v>5239</v>
      </c>
      <c r="AH307" s="1"/>
      <c r="AI307" s="1" t="s">
        <v>5238</v>
      </c>
      <c r="AJ307" s="51" t="s">
        <v>5240</v>
      </c>
      <c r="AK307" s="1" t="s">
        <v>5241</v>
      </c>
    </row>
    <row r="308" spans="30:37" hidden="1" outlineLevel="1">
      <c r="AD308" s="1" t="s">
        <v>950</v>
      </c>
      <c r="AE308" s="1" t="s">
        <v>759</v>
      </c>
      <c r="AF308" s="1" t="s">
        <v>5246</v>
      </c>
      <c r="AG308" s="1" t="s">
        <v>5247</v>
      </c>
      <c r="AH308" s="1"/>
      <c r="AI308" s="1" t="s">
        <v>5246</v>
      </c>
      <c r="AJ308" s="51" t="s">
        <v>5248</v>
      </c>
      <c r="AK308" s="1" t="s">
        <v>5249</v>
      </c>
    </row>
    <row r="309" spans="30:37" hidden="1" outlineLevel="1">
      <c r="AD309" s="1" t="s">
        <v>950</v>
      </c>
      <c r="AE309" s="1" t="s">
        <v>760</v>
      </c>
      <c r="AF309" s="1" t="s">
        <v>5254</v>
      </c>
      <c r="AG309" s="1" t="s">
        <v>3918</v>
      </c>
      <c r="AH309" s="1"/>
      <c r="AI309" s="1" t="s">
        <v>5254</v>
      </c>
      <c r="AJ309" s="51" t="s">
        <v>5255</v>
      </c>
      <c r="AK309" s="1" t="s">
        <v>5256</v>
      </c>
    </row>
    <row r="310" spans="30:37" hidden="1" outlineLevel="1">
      <c r="AD310" s="1" t="s">
        <v>950</v>
      </c>
      <c r="AE310" s="1" t="s">
        <v>761</v>
      </c>
      <c r="AF310" s="1" t="s">
        <v>5261</v>
      </c>
      <c r="AG310" s="1" t="s">
        <v>3984</v>
      </c>
      <c r="AH310" s="1"/>
      <c r="AI310" s="1" t="s">
        <v>5261</v>
      </c>
      <c r="AJ310" s="51" t="s">
        <v>5262</v>
      </c>
      <c r="AK310" s="1" t="s">
        <v>5263</v>
      </c>
    </row>
    <row r="311" spans="30:37" hidden="1" outlineLevel="1">
      <c r="AD311" s="1" t="s">
        <v>950</v>
      </c>
      <c r="AE311" s="1" t="s">
        <v>762</v>
      </c>
      <c r="AF311" s="1" t="s">
        <v>5268</v>
      </c>
      <c r="AG311" s="1" t="s">
        <v>3976</v>
      </c>
      <c r="AH311" s="1"/>
      <c r="AI311" s="1" t="s">
        <v>5268</v>
      </c>
      <c r="AJ311" s="51" t="s">
        <v>5269</v>
      </c>
      <c r="AK311" s="1" t="s">
        <v>4433</v>
      </c>
    </row>
    <row r="312" spans="30:37" hidden="1" outlineLevel="1">
      <c r="AD312" s="1" t="s">
        <v>950</v>
      </c>
      <c r="AE312" s="1" t="s">
        <v>763</v>
      </c>
      <c r="AF312" s="1" t="s">
        <v>5274</v>
      </c>
      <c r="AG312" s="1" t="s">
        <v>5275</v>
      </c>
      <c r="AH312" s="1"/>
      <c r="AI312" s="1" t="s">
        <v>5274</v>
      </c>
      <c r="AJ312" s="51" t="s">
        <v>5276</v>
      </c>
      <c r="AK312" s="1" t="s">
        <v>5277</v>
      </c>
    </row>
    <row r="313" spans="30:37" hidden="1" outlineLevel="1">
      <c r="AD313" s="1" t="s">
        <v>950</v>
      </c>
      <c r="AE313" s="1" t="s">
        <v>764</v>
      </c>
      <c r="AF313" s="1" t="s">
        <v>5282</v>
      </c>
      <c r="AG313" s="1" t="s">
        <v>5283</v>
      </c>
      <c r="AH313" s="1"/>
      <c r="AI313" s="1" t="s">
        <v>5282</v>
      </c>
      <c r="AJ313" s="51" t="s">
        <v>5284</v>
      </c>
      <c r="AK313" s="1" t="s">
        <v>5285</v>
      </c>
    </row>
    <row r="314" spans="30:37" hidden="1" outlineLevel="1">
      <c r="AD314" s="1" t="s">
        <v>950</v>
      </c>
      <c r="AE314" s="1" t="s">
        <v>765</v>
      </c>
      <c r="AF314" s="1" t="s">
        <v>5290</v>
      </c>
      <c r="AG314" s="1" t="s">
        <v>5291</v>
      </c>
      <c r="AH314" s="1"/>
      <c r="AI314" s="1" t="s">
        <v>5290</v>
      </c>
      <c r="AJ314" s="51" t="s">
        <v>5292</v>
      </c>
      <c r="AK314" s="1" t="s">
        <v>5293</v>
      </c>
    </row>
    <row r="315" spans="30:37" hidden="1" outlineLevel="1">
      <c r="AD315" s="1" t="s">
        <v>950</v>
      </c>
      <c r="AE315" s="1" t="s">
        <v>766</v>
      </c>
      <c r="AF315" s="1" t="s">
        <v>5298</v>
      </c>
      <c r="AG315" s="1" t="s">
        <v>4589</v>
      </c>
      <c r="AH315" s="1"/>
      <c r="AI315" s="1" t="s">
        <v>5298</v>
      </c>
      <c r="AJ315" s="51" t="s">
        <v>5299</v>
      </c>
      <c r="AK315" s="1" t="s">
        <v>5300</v>
      </c>
    </row>
    <row r="316" spans="30:37" hidden="1" outlineLevel="1">
      <c r="AD316" s="1" t="s">
        <v>950</v>
      </c>
      <c r="AE316" s="1" t="s">
        <v>767</v>
      </c>
      <c r="AF316" s="1" t="s">
        <v>5305</v>
      </c>
      <c r="AG316" s="1" t="s">
        <v>4716</v>
      </c>
      <c r="AH316" s="1"/>
      <c r="AI316" s="1" t="s">
        <v>5305</v>
      </c>
      <c r="AJ316" s="51" t="s">
        <v>5306</v>
      </c>
      <c r="AK316" s="1" t="s">
        <v>4888</v>
      </c>
    </row>
    <row r="317" spans="30:37" hidden="1" outlineLevel="1">
      <c r="AD317" s="1" t="s">
        <v>950</v>
      </c>
      <c r="AE317" s="1" t="s">
        <v>768</v>
      </c>
      <c r="AF317" s="1" t="s">
        <v>5311</v>
      </c>
      <c r="AG317" s="1" t="s">
        <v>5312</v>
      </c>
      <c r="AH317" s="1"/>
      <c r="AI317" s="1" t="s">
        <v>5311</v>
      </c>
      <c r="AJ317" s="51" t="s">
        <v>5313</v>
      </c>
      <c r="AK317" s="1" t="s">
        <v>5314</v>
      </c>
    </row>
    <row r="318" spans="30:37" hidden="1" outlineLevel="1">
      <c r="AD318" s="1" t="s">
        <v>950</v>
      </c>
      <c r="AE318" s="1" t="s">
        <v>769</v>
      </c>
      <c r="AF318" s="1" t="s">
        <v>5319</v>
      </c>
      <c r="AG318" s="1" t="s">
        <v>4829</v>
      </c>
      <c r="AH318" s="1"/>
      <c r="AI318" s="1" t="s">
        <v>5319</v>
      </c>
      <c r="AJ318" s="51" t="s">
        <v>5320</v>
      </c>
      <c r="AK318" s="1" t="s">
        <v>5321</v>
      </c>
    </row>
    <row r="319" spans="30:37" hidden="1" outlineLevel="1">
      <c r="AD319" s="1" t="s">
        <v>950</v>
      </c>
      <c r="AE319" s="1" t="s">
        <v>770</v>
      </c>
      <c r="AF319" s="1" t="s">
        <v>5326</v>
      </c>
      <c r="AG319" s="1" t="s">
        <v>5327</v>
      </c>
      <c r="AH319" s="1"/>
      <c r="AI319" s="1" t="s">
        <v>5326</v>
      </c>
      <c r="AJ319" s="51" t="s">
        <v>5328</v>
      </c>
      <c r="AK319" s="1" t="s">
        <v>5329</v>
      </c>
    </row>
    <row r="320" spans="30:37" hidden="1" outlineLevel="1">
      <c r="AD320" s="1" t="s">
        <v>950</v>
      </c>
      <c r="AE320" s="1" t="s">
        <v>771</v>
      </c>
      <c r="AF320" s="1" t="s">
        <v>5334</v>
      </c>
      <c r="AG320" s="1" t="s">
        <v>5335</v>
      </c>
      <c r="AH320" s="1"/>
      <c r="AI320" s="1" t="s">
        <v>5334</v>
      </c>
      <c r="AJ320" s="51" t="s">
        <v>5336</v>
      </c>
      <c r="AK320" s="1" t="s">
        <v>5337</v>
      </c>
    </row>
    <row r="321" spans="30:37" hidden="1" outlineLevel="1">
      <c r="AD321" s="1" t="s">
        <v>950</v>
      </c>
      <c r="AE321" s="1" t="s">
        <v>772</v>
      </c>
      <c r="AF321" s="1" t="s">
        <v>5342</v>
      </c>
      <c r="AG321" s="1" t="s">
        <v>5343</v>
      </c>
      <c r="AH321" s="1"/>
      <c r="AI321" s="1" t="s">
        <v>5342</v>
      </c>
      <c r="AJ321" s="51" t="s">
        <v>5344</v>
      </c>
      <c r="AK321" s="1" t="s">
        <v>5345</v>
      </c>
    </row>
    <row r="322" spans="30:37" hidden="1" outlineLevel="1">
      <c r="AD322" s="1" t="s">
        <v>950</v>
      </c>
      <c r="AE322" s="1" t="s">
        <v>773</v>
      </c>
      <c r="AF322" s="1" t="s">
        <v>5349</v>
      </c>
      <c r="AG322" s="1" t="s">
        <v>5350</v>
      </c>
      <c r="AH322" s="1"/>
      <c r="AI322" s="1" t="s">
        <v>5349</v>
      </c>
      <c r="AJ322" s="51" t="s">
        <v>5351</v>
      </c>
      <c r="AK322" s="1" t="s">
        <v>5352</v>
      </c>
    </row>
    <row r="323" spans="30:37" hidden="1" outlineLevel="1">
      <c r="AD323" s="1" t="s">
        <v>950</v>
      </c>
      <c r="AE323" s="1" t="s">
        <v>774</v>
      </c>
      <c r="AF323" s="1" t="s">
        <v>5355</v>
      </c>
      <c r="AG323" s="1" t="s">
        <v>4236</v>
      </c>
      <c r="AH323" s="1"/>
      <c r="AI323" s="1" t="s">
        <v>5355</v>
      </c>
      <c r="AJ323" s="51" t="s">
        <v>5356</v>
      </c>
      <c r="AK323" s="1" t="s">
        <v>3962</v>
      </c>
    </row>
    <row r="324" spans="30:37" hidden="1" outlineLevel="1">
      <c r="AD324" s="1" t="s">
        <v>950</v>
      </c>
      <c r="AE324" s="1" t="s">
        <v>775</v>
      </c>
      <c r="AF324" s="1" t="s">
        <v>5361</v>
      </c>
      <c r="AG324" s="1" t="s">
        <v>5362</v>
      </c>
      <c r="AH324" s="1"/>
      <c r="AI324" s="1" t="s">
        <v>5361</v>
      </c>
      <c r="AJ324" s="51" t="s">
        <v>5363</v>
      </c>
      <c r="AK324" s="1" t="s">
        <v>5364</v>
      </c>
    </row>
    <row r="325" spans="30:37" hidden="1" outlineLevel="1">
      <c r="AD325" s="1" t="s">
        <v>950</v>
      </c>
      <c r="AE325" s="1" t="s">
        <v>776</v>
      </c>
      <c r="AF325" s="1" t="s">
        <v>5369</v>
      </c>
      <c r="AG325" s="1" t="s">
        <v>5370</v>
      </c>
      <c r="AH325" s="1"/>
      <c r="AI325" s="1" t="s">
        <v>5369</v>
      </c>
      <c r="AJ325" s="51" t="s">
        <v>5371</v>
      </c>
      <c r="AK325" s="1" t="s">
        <v>5372</v>
      </c>
    </row>
    <row r="326" spans="30:37" hidden="1" outlineLevel="1">
      <c r="AD326" s="1" t="s">
        <v>950</v>
      </c>
      <c r="AE326" s="1" t="s">
        <v>777</v>
      </c>
      <c r="AF326" s="1" t="s">
        <v>5377</v>
      </c>
      <c r="AG326" s="1" t="s">
        <v>5378</v>
      </c>
      <c r="AH326" s="1"/>
      <c r="AI326" s="1" t="s">
        <v>5377</v>
      </c>
      <c r="AJ326" s="51" t="s">
        <v>5379</v>
      </c>
      <c r="AK326" s="1" t="s">
        <v>4075</v>
      </c>
    </row>
    <row r="327" spans="30:37" hidden="1" outlineLevel="1">
      <c r="AD327" s="1" t="s">
        <v>950</v>
      </c>
      <c r="AE327" s="1" t="s">
        <v>778</v>
      </c>
      <c r="AF327" s="1" t="s">
        <v>5384</v>
      </c>
      <c r="AG327" s="1" t="s">
        <v>5385</v>
      </c>
      <c r="AH327" s="1"/>
      <c r="AI327" s="1" t="s">
        <v>5384</v>
      </c>
      <c r="AJ327" s="51" t="s">
        <v>5386</v>
      </c>
      <c r="AK327" s="1" t="s">
        <v>5387</v>
      </c>
    </row>
    <row r="328" spans="30:37" hidden="1" outlineLevel="1">
      <c r="AD328" s="1" t="s">
        <v>950</v>
      </c>
      <c r="AE328" s="1" t="s">
        <v>779</v>
      </c>
      <c r="AF328" s="1" t="s">
        <v>5392</v>
      </c>
      <c r="AG328" s="1" t="s">
        <v>5249</v>
      </c>
      <c r="AH328" s="1"/>
      <c r="AI328" s="1" t="s">
        <v>5392</v>
      </c>
      <c r="AJ328" s="51" t="s">
        <v>5393</v>
      </c>
      <c r="AK328" s="1" t="s">
        <v>5394</v>
      </c>
    </row>
    <row r="329" spans="30:37" hidden="1" outlineLevel="1">
      <c r="AD329" s="1" t="s">
        <v>950</v>
      </c>
      <c r="AE329" s="1" t="s">
        <v>780</v>
      </c>
      <c r="AF329" s="1" t="s">
        <v>5399</v>
      </c>
      <c r="AG329" s="1" t="s">
        <v>5217</v>
      </c>
      <c r="AH329" s="1"/>
      <c r="AI329" s="1" t="s">
        <v>5399</v>
      </c>
      <c r="AJ329" s="51" t="s">
        <v>5400</v>
      </c>
      <c r="AK329" s="1" t="s">
        <v>5378</v>
      </c>
    </row>
    <row r="330" spans="30:37" hidden="1" outlineLevel="1">
      <c r="AD330" s="1" t="s">
        <v>950</v>
      </c>
      <c r="AE330" s="1" t="s">
        <v>781</v>
      </c>
      <c r="AF330" s="1" t="s">
        <v>5405</v>
      </c>
      <c r="AG330" s="1" t="s">
        <v>4504</v>
      </c>
      <c r="AH330" s="1"/>
      <c r="AI330" s="1" t="s">
        <v>5405</v>
      </c>
      <c r="AJ330" s="51" t="s">
        <v>5406</v>
      </c>
      <c r="AK330" s="1" t="s">
        <v>5407</v>
      </c>
    </row>
    <row r="331" spans="30:37" hidden="1" outlineLevel="1">
      <c r="AD331" s="1" t="s">
        <v>950</v>
      </c>
      <c r="AE331" s="1" t="s">
        <v>782</v>
      </c>
      <c r="AF331" s="1" t="s">
        <v>5412</v>
      </c>
      <c r="AG331" s="1" t="s">
        <v>5413</v>
      </c>
      <c r="AH331" s="1"/>
      <c r="AI331" s="1" t="s">
        <v>5412</v>
      </c>
      <c r="AJ331" s="51" t="s">
        <v>5414</v>
      </c>
      <c r="AK331" s="1" t="s">
        <v>5415</v>
      </c>
    </row>
    <row r="332" spans="30:37" hidden="1" outlineLevel="1">
      <c r="AD332" s="1" t="s">
        <v>950</v>
      </c>
      <c r="AE332" s="1" t="s">
        <v>783</v>
      </c>
      <c r="AF332" s="1" t="s">
        <v>5420</v>
      </c>
      <c r="AG332" s="1" t="s">
        <v>5421</v>
      </c>
      <c r="AH332" s="1"/>
      <c r="AI332" s="1" t="s">
        <v>5420</v>
      </c>
      <c r="AJ332" s="51" t="s">
        <v>5422</v>
      </c>
      <c r="AK332" s="1" t="s">
        <v>5423</v>
      </c>
    </row>
    <row r="333" spans="30:37" hidden="1" outlineLevel="1">
      <c r="AD333" s="1" t="s">
        <v>950</v>
      </c>
      <c r="AE333" s="1" t="s">
        <v>784</v>
      </c>
      <c r="AF333" s="1" t="s">
        <v>5428</v>
      </c>
      <c r="AG333" s="1" t="s">
        <v>5429</v>
      </c>
      <c r="AH333" s="1"/>
      <c r="AI333" s="1" t="s">
        <v>5428</v>
      </c>
      <c r="AJ333" s="51" t="s">
        <v>5430</v>
      </c>
      <c r="AK333" s="1" t="s">
        <v>5431</v>
      </c>
    </row>
    <row r="334" spans="30:37" hidden="1" outlineLevel="1">
      <c r="AD334" s="1" t="s">
        <v>950</v>
      </c>
      <c r="AE334" s="1" t="s">
        <v>785</v>
      </c>
      <c r="AF334" s="1" t="s">
        <v>5436</v>
      </c>
      <c r="AG334" s="1" t="s">
        <v>5437</v>
      </c>
      <c r="AH334" s="1"/>
      <c r="AI334" s="1" t="s">
        <v>5436</v>
      </c>
      <c r="AJ334" s="51" t="s">
        <v>5438</v>
      </c>
      <c r="AK334" s="1" t="s">
        <v>4234</v>
      </c>
    </row>
    <row r="335" spans="30:37" hidden="1" outlineLevel="1">
      <c r="AD335" s="1" t="s">
        <v>950</v>
      </c>
      <c r="AE335" s="1" t="s">
        <v>786</v>
      </c>
      <c r="AF335" s="1" t="s">
        <v>5443</v>
      </c>
      <c r="AG335" s="1" t="s">
        <v>4348</v>
      </c>
      <c r="AH335" s="1"/>
      <c r="AI335" s="1" t="s">
        <v>5443</v>
      </c>
      <c r="AJ335" s="51" t="s">
        <v>5444</v>
      </c>
      <c r="AK335" s="1" t="s">
        <v>5445</v>
      </c>
    </row>
    <row r="336" spans="30:37" hidden="1" outlineLevel="1">
      <c r="AD336" s="1" t="s">
        <v>950</v>
      </c>
      <c r="AE336" s="1" t="s">
        <v>787</v>
      </c>
      <c r="AF336" s="1" t="s">
        <v>5450</v>
      </c>
      <c r="AG336" s="1" t="s">
        <v>5451</v>
      </c>
      <c r="AH336" s="1"/>
      <c r="AI336" s="1" t="s">
        <v>5450</v>
      </c>
      <c r="AJ336" s="51" t="s">
        <v>5452</v>
      </c>
      <c r="AK336" s="1" t="s">
        <v>5453</v>
      </c>
    </row>
    <row r="337" spans="30:37" hidden="1" outlineLevel="1">
      <c r="AD337" s="1" t="s">
        <v>950</v>
      </c>
      <c r="AE337" s="1" t="s">
        <v>788</v>
      </c>
      <c r="AF337" s="1" t="s">
        <v>5458</v>
      </c>
      <c r="AG337" s="1" t="s">
        <v>5459</v>
      </c>
      <c r="AH337" s="1"/>
      <c r="AI337" s="1" t="s">
        <v>5458</v>
      </c>
      <c r="AJ337" s="51" t="s">
        <v>5460</v>
      </c>
      <c r="AK337" s="1" t="s">
        <v>5461</v>
      </c>
    </row>
    <row r="338" spans="30:37" hidden="1" outlineLevel="1">
      <c r="AD338" s="1" t="s">
        <v>950</v>
      </c>
      <c r="AE338" s="1" t="s">
        <v>789</v>
      </c>
      <c r="AF338" s="1" t="s">
        <v>5466</v>
      </c>
      <c r="AG338" s="1" t="s">
        <v>5467</v>
      </c>
      <c r="AH338" s="1"/>
      <c r="AI338" s="1" t="s">
        <v>5466</v>
      </c>
      <c r="AJ338" s="51" t="s">
        <v>5468</v>
      </c>
      <c r="AK338" s="1" t="s">
        <v>5469</v>
      </c>
    </row>
    <row r="339" spans="30:37" hidden="1" outlineLevel="1">
      <c r="AD339" s="1" t="s">
        <v>950</v>
      </c>
      <c r="AE339" s="1" t="s">
        <v>790</v>
      </c>
      <c r="AF339" s="1" t="s">
        <v>5474</v>
      </c>
      <c r="AG339" s="1" t="s">
        <v>5475</v>
      </c>
      <c r="AH339" s="1"/>
      <c r="AI339" s="1" t="s">
        <v>5474</v>
      </c>
      <c r="AJ339" s="51" t="s">
        <v>5476</v>
      </c>
      <c r="AK339" s="1" t="s">
        <v>4346</v>
      </c>
    </row>
    <row r="340" spans="30:37" hidden="1" outlineLevel="1">
      <c r="AD340" s="1" t="s">
        <v>950</v>
      </c>
      <c r="AE340" s="1" t="s">
        <v>791</v>
      </c>
      <c r="AF340" s="1" t="s">
        <v>5481</v>
      </c>
      <c r="AG340" s="1" t="s">
        <v>5136</v>
      </c>
      <c r="AH340" s="1"/>
      <c r="AI340" s="1" t="s">
        <v>5481</v>
      </c>
      <c r="AJ340" s="51" t="s">
        <v>5482</v>
      </c>
      <c r="AK340" s="1" t="s">
        <v>5483</v>
      </c>
    </row>
    <row r="341" spans="30:37" hidden="1" outlineLevel="1">
      <c r="AD341" s="1" t="s">
        <v>950</v>
      </c>
      <c r="AE341" s="1" t="s">
        <v>792</v>
      </c>
      <c r="AF341" s="1" t="s">
        <v>5488</v>
      </c>
      <c r="AG341" s="1" t="s">
        <v>5489</v>
      </c>
      <c r="AH341" s="1"/>
      <c r="AI341" s="1" t="s">
        <v>5488</v>
      </c>
      <c r="AJ341" s="51" t="s">
        <v>5490</v>
      </c>
      <c r="AK341" s="1" t="s">
        <v>5491</v>
      </c>
    </row>
    <row r="342" spans="30:37" hidden="1" outlineLevel="1">
      <c r="AD342" s="1" t="s">
        <v>950</v>
      </c>
      <c r="AE342" s="1" t="s">
        <v>793</v>
      </c>
      <c r="AF342" s="1" t="s">
        <v>5496</v>
      </c>
      <c r="AG342" s="1" t="s">
        <v>4558</v>
      </c>
      <c r="AH342" s="1"/>
      <c r="AI342" s="1" t="s">
        <v>5496</v>
      </c>
      <c r="AJ342" s="51" t="s">
        <v>5497</v>
      </c>
      <c r="AK342" s="1" t="s">
        <v>5498</v>
      </c>
    </row>
    <row r="343" spans="30:37" hidden="1" outlineLevel="1">
      <c r="AD343" s="1" t="s">
        <v>950</v>
      </c>
      <c r="AE343" s="1" t="s">
        <v>794</v>
      </c>
      <c r="AF343" s="1" t="s">
        <v>5503</v>
      </c>
      <c r="AG343" s="1" t="s">
        <v>5504</v>
      </c>
      <c r="AH343" s="1"/>
      <c r="AI343" s="1" t="s">
        <v>5503</v>
      </c>
      <c r="AJ343" s="51" t="s">
        <v>5505</v>
      </c>
      <c r="AK343" s="1" t="s">
        <v>5048</v>
      </c>
    </row>
    <row r="344" spans="30:37" hidden="1" outlineLevel="1">
      <c r="AD344" s="1" t="s">
        <v>950</v>
      </c>
      <c r="AE344" s="1" t="s">
        <v>795</v>
      </c>
      <c r="AF344" s="1" t="s">
        <v>5510</v>
      </c>
      <c r="AG344" s="1" t="s">
        <v>5511</v>
      </c>
      <c r="AH344" s="1"/>
      <c r="AI344" s="1" t="s">
        <v>5510</v>
      </c>
      <c r="AJ344" s="51" t="s">
        <v>5512</v>
      </c>
      <c r="AK344" s="1" t="s">
        <v>4449</v>
      </c>
    </row>
    <row r="345" spans="30:37" hidden="1" outlineLevel="1">
      <c r="AD345" s="1" t="s">
        <v>950</v>
      </c>
      <c r="AE345" s="1" t="s">
        <v>796</v>
      </c>
      <c r="AF345" s="1" t="s">
        <v>5517</v>
      </c>
      <c r="AG345" s="1" t="s">
        <v>5518</v>
      </c>
      <c r="AH345" s="1"/>
      <c r="AI345" s="1" t="s">
        <v>5517</v>
      </c>
      <c r="AJ345" s="51" t="s">
        <v>5519</v>
      </c>
      <c r="AK345" s="1" t="s">
        <v>5520</v>
      </c>
    </row>
    <row r="346" spans="30:37" hidden="1" outlineLevel="1">
      <c r="AD346" s="1" t="s">
        <v>950</v>
      </c>
      <c r="AE346" s="1" t="s">
        <v>797</v>
      </c>
      <c r="AF346" s="1" t="s">
        <v>5525</v>
      </c>
      <c r="AG346" s="1" t="s">
        <v>5526</v>
      </c>
      <c r="AH346" s="1"/>
      <c r="AI346" s="1" t="s">
        <v>5525</v>
      </c>
      <c r="AJ346" s="51" t="s">
        <v>5527</v>
      </c>
      <c r="AK346" s="1" t="s">
        <v>5528</v>
      </c>
    </row>
    <row r="347" spans="30:37" hidden="1" outlineLevel="1">
      <c r="AD347" s="1" t="s">
        <v>950</v>
      </c>
      <c r="AE347" s="1" t="s">
        <v>798</v>
      </c>
      <c r="AF347" s="1" t="s">
        <v>5533</v>
      </c>
      <c r="AG347" s="1" t="s">
        <v>5178</v>
      </c>
      <c r="AH347" s="1"/>
      <c r="AI347" s="1" t="s">
        <v>5533</v>
      </c>
      <c r="AJ347" s="51" t="s">
        <v>5534</v>
      </c>
      <c r="AK347" s="1" t="s">
        <v>5535</v>
      </c>
    </row>
    <row r="348" spans="30:37" hidden="1" outlineLevel="1">
      <c r="AD348" s="1" t="s">
        <v>950</v>
      </c>
      <c r="AE348" s="1" t="s">
        <v>799</v>
      </c>
      <c r="AF348" s="1" t="s">
        <v>5539</v>
      </c>
      <c r="AG348" s="1" t="s">
        <v>5540</v>
      </c>
      <c r="AH348" s="1"/>
      <c r="AI348" s="1" t="s">
        <v>5539</v>
      </c>
      <c r="AJ348" s="51" t="s">
        <v>5541</v>
      </c>
      <c r="AK348" s="1" t="s">
        <v>5542</v>
      </c>
    </row>
    <row r="349" spans="30:37" hidden="1" outlineLevel="1">
      <c r="AD349" s="1" t="s">
        <v>950</v>
      </c>
      <c r="AE349" s="1" t="s">
        <v>800</v>
      </c>
      <c r="AF349" s="1" t="s">
        <v>5543</v>
      </c>
      <c r="AG349" s="1" t="s">
        <v>5091</v>
      </c>
      <c r="AH349" s="1"/>
      <c r="AI349" s="1" t="s">
        <v>5543</v>
      </c>
      <c r="AJ349" s="51" t="s">
        <v>5544</v>
      </c>
      <c r="AK349" s="1" t="s">
        <v>5545</v>
      </c>
    </row>
    <row r="350" spans="30:37" hidden="1" outlineLevel="1">
      <c r="AD350" s="1" t="s">
        <v>950</v>
      </c>
      <c r="AE350" s="1" t="s">
        <v>801</v>
      </c>
      <c r="AF350" s="1" t="s">
        <v>5546</v>
      </c>
      <c r="AG350" s="1" t="s">
        <v>5547</v>
      </c>
      <c r="AH350" s="1"/>
      <c r="AI350" s="1" t="s">
        <v>5546</v>
      </c>
      <c r="AJ350" s="51" t="s">
        <v>5548</v>
      </c>
      <c r="AK350" s="1" t="s">
        <v>5549</v>
      </c>
    </row>
    <row r="351" spans="30:37" hidden="1" outlineLevel="1">
      <c r="AD351" s="1" t="s">
        <v>950</v>
      </c>
      <c r="AE351" s="1" t="s">
        <v>802</v>
      </c>
      <c r="AF351" s="1" t="s">
        <v>5550</v>
      </c>
      <c r="AG351" s="1" t="s">
        <v>5551</v>
      </c>
      <c r="AH351" s="1"/>
      <c r="AI351" s="1" t="s">
        <v>5550</v>
      </c>
      <c r="AJ351" s="51" t="s">
        <v>5552</v>
      </c>
      <c r="AK351" s="1" t="s">
        <v>4610</v>
      </c>
    </row>
    <row r="352" spans="30:37" hidden="1" outlineLevel="1">
      <c r="AD352" s="1" t="s">
        <v>950</v>
      </c>
      <c r="AE352" s="1" t="s">
        <v>803</v>
      </c>
      <c r="AF352" s="1" t="s">
        <v>5553</v>
      </c>
      <c r="AG352" s="1" t="s">
        <v>5554</v>
      </c>
      <c r="AH352" s="1"/>
      <c r="AI352" s="1" t="s">
        <v>5553</v>
      </c>
      <c r="AJ352" s="51" t="s">
        <v>5555</v>
      </c>
      <c r="AK352" s="1" t="s">
        <v>4125</v>
      </c>
    </row>
    <row r="353" spans="30:37" hidden="1" outlineLevel="1">
      <c r="AD353" s="1" t="s">
        <v>950</v>
      </c>
      <c r="AE353" s="1" t="s">
        <v>804</v>
      </c>
      <c r="AF353" s="1" t="s">
        <v>5556</v>
      </c>
      <c r="AG353" s="1" t="s">
        <v>5557</v>
      </c>
      <c r="AH353" s="1"/>
      <c r="AI353" s="1" t="s">
        <v>5556</v>
      </c>
      <c r="AJ353" s="51" t="s">
        <v>5558</v>
      </c>
      <c r="AK353" s="1" t="s">
        <v>5559</v>
      </c>
    </row>
    <row r="354" spans="30:37" hidden="1" outlineLevel="1">
      <c r="AD354" s="1" t="s">
        <v>950</v>
      </c>
      <c r="AE354" s="1" t="s">
        <v>805</v>
      </c>
      <c r="AF354" s="1" t="s">
        <v>5560</v>
      </c>
      <c r="AG354" s="1" t="s">
        <v>5561</v>
      </c>
      <c r="AH354" s="1"/>
      <c r="AI354" s="1" t="s">
        <v>5560</v>
      </c>
      <c r="AJ354" s="51" t="s">
        <v>5562</v>
      </c>
      <c r="AK354" s="1" t="s">
        <v>5563</v>
      </c>
    </row>
    <row r="355" spans="30:37" hidden="1" outlineLevel="1">
      <c r="AD355" s="1" t="s">
        <v>950</v>
      </c>
      <c r="AE355" s="1" t="s">
        <v>806</v>
      </c>
      <c r="AF355" s="1" t="s">
        <v>5564</v>
      </c>
      <c r="AG355" s="1" t="s">
        <v>5565</v>
      </c>
      <c r="AH355" s="1"/>
      <c r="AI355" s="1" t="s">
        <v>5564</v>
      </c>
      <c r="AJ355" s="51" t="s">
        <v>5566</v>
      </c>
      <c r="AK355" s="1" t="s">
        <v>5567</v>
      </c>
    </row>
    <row r="356" spans="30:37" hidden="1" outlineLevel="1">
      <c r="AD356" s="1" t="s">
        <v>950</v>
      </c>
      <c r="AE356" s="1" t="s">
        <v>807</v>
      </c>
      <c r="AF356" s="1" t="s">
        <v>5568</v>
      </c>
      <c r="AG356" s="1" t="s">
        <v>5569</v>
      </c>
      <c r="AH356" s="1"/>
      <c r="AI356" s="1" t="s">
        <v>5568</v>
      </c>
      <c r="AJ356" s="51" t="s">
        <v>5570</v>
      </c>
      <c r="AK356" s="1" t="s">
        <v>4200</v>
      </c>
    </row>
    <row r="357" spans="30:37" hidden="1" outlineLevel="1">
      <c r="AD357" s="1" t="s">
        <v>950</v>
      </c>
      <c r="AE357" s="1" t="s">
        <v>233</v>
      </c>
      <c r="AF357" s="1" t="s">
        <v>5571</v>
      </c>
      <c r="AG357" s="1" t="s">
        <v>5364</v>
      </c>
      <c r="AH357" s="1"/>
      <c r="AI357" s="1" t="s">
        <v>5571</v>
      </c>
      <c r="AJ357" s="51" t="s">
        <v>5572</v>
      </c>
      <c r="AK357" s="1" t="s">
        <v>3982</v>
      </c>
    </row>
    <row r="358" spans="30:37" hidden="1" outlineLevel="1">
      <c r="AD358" s="1" t="s">
        <v>950</v>
      </c>
      <c r="AE358" s="1" t="s">
        <v>234</v>
      </c>
      <c r="AF358" s="1" t="s">
        <v>5573</v>
      </c>
      <c r="AG358" s="1" t="s">
        <v>5574</v>
      </c>
      <c r="AH358" s="1"/>
      <c r="AI358" s="1" t="s">
        <v>5573</v>
      </c>
      <c r="AJ358" s="51" t="s">
        <v>5575</v>
      </c>
      <c r="AK358" s="1" t="s">
        <v>5576</v>
      </c>
    </row>
    <row r="359" spans="30:37" hidden="1" outlineLevel="1">
      <c r="AD359" s="1" t="s">
        <v>950</v>
      </c>
      <c r="AE359" s="1" t="s">
        <v>235</v>
      </c>
      <c r="AF359" s="1" t="s">
        <v>5577</v>
      </c>
      <c r="AG359" s="1" t="s">
        <v>5578</v>
      </c>
      <c r="AH359" s="1"/>
      <c r="AI359" s="1" t="s">
        <v>5577</v>
      </c>
      <c r="AJ359" s="51" t="s">
        <v>5579</v>
      </c>
      <c r="AK359" s="1" t="s">
        <v>5580</v>
      </c>
    </row>
    <row r="360" spans="30:37" hidden="1" outlineLevel="1">
      <c r="AD360" s="1" t="s">
        <v>950</v>
      </c>
      <c r="AE360" s="1" t="s">
        <v>236</v>
      </c>
      <c r="AF360" s="1" t="s">
        <v>5581</v>
      </c>
      <c r="AG360" s="1" t="s">
        <v>5582</v>
      </c>
      <c r="AH360" s="1"/>
      <c r="AI360" s="1" t="s">
        <v>5581</v>
      </c>
      <c r="AJ360" s="51" t="s">
        <v>5583</v>
      </c>
      <c r="AK360" s="1" t="s">
        <v>5584</v>
      </c>
    </row>
    <row r="361" spans="30:37" hidden="1" outlineLevel="1">
      <c r="AD361" s="1" t="s">
        <v>950</v>
      </c>
      <c r="AE361" s="1" t="s">
        <v>237</v>
      </c>
      <c r="AF361" s="1" t="s">
        <v>5585</v>
      </c>
      <c r="AG361" s="1" t="s">
        <v>5586</v>
      </c>
      <c r="AH361" s="1"/>
      <c r="AI361" s="1" t="s">
        <v>5585</v>
      </c>
      <c r="AJ361" s="51" t="s">
        <v>5587</v>
      </c>
      <c r="AK361" s="1" t="s">
        <v>5588</v>
      </c>
    </row>
    <row r="362" spans="30:37" hidden="1" outlineLevel="1">
      <c r="AD362" s="1" t="s">
        <v>950</v>
      </c>
      <c r="AE362" s="1" t="s">
        <v>238</v>
      </c>
      <c r="AF362" s="1" t="s">
        <v>5589</v>
      </c>
      <c r="AG362" s="1" t="s">
        <v>4875</v>
      </c>
      <c r="AH362" s="1"/>
      <c r="AI362" s="1" t="s">
        <v>5589</v>
      </c>
      <c r="AJ362" s="51" t="s">
        <v>5590</v>
      </c>
      <c r="AK362" s="1" t="s">
        <v>5591</v>
      </c>
    </row>
    <row r="363" spans="30:37" hidden="1" outlineLevel="1">
      <c r="AD363" s="1" t="s">
        <v>950</v>
      </c>
      <c r="AE363" s="1" t="s">
        <v>239</v>
      </c>
      <c r="AF363" s="1" t="s">
        <v>5592</v>
      </c>
      <c r="AG363" s="1" t="s">
        <v>5593</v>
      </c>
      <c r="AH363" s="1"/>
      <c r="AI363" s="1" t="s">
        <v>5592</v>
      </c>
      <c r="AJ363" s="51" t="s">
        <v>5594</v>
      </c>
      <c r="AK363" s="1" t="s">
        <v>5343</v>
      </c>
    </row>
    <row r="364" spans="30:37" hidden="1" outlineLevel="1">
      <c r="AD364" s="1" t="s">
        <v>950</v>
      </c>
      <c r="AE364" s="1" t="s">
        <v>240</v>
      </c>
      <c r="AF364" s="1" t="s">
        <v>5595</v>
      </c>
      <c r="AG364" s="1" t="s">
        <v>5596</v>
      </c>
      <c r="AH364" s="1"/>
      <c r="AI364" s="1" t="s">
        <v>5595</v>
      </c>
      <c r="AJ364" s="51" t="s">
        <v>5597</v>
      </c>
      <c r="AK364" s="1" t="s">
        <v>5231</v>
      </c>
    </row>
    <row r="365" spans="30:37" hidden="1" outlineLevel="1">
      <c r="AD365" s="1" t="s">
        <v>950</v>
      </c>
      <c r="AE365" s="1" t="s">
        <v>241</v>
      </c>
      <c r="AF365" s="1" t="s">
        <v>5598</v>
      </c>
      <c r="AG365" s="1" t="s">
        <v>5599</v>
      </c>
      <c r="AH365" s="1"/>
      <c r="AI365" s="1" t="s">
        <v>5598</v>
      </c>
      <c r="AJ365" s="51" t="s">
        <v>5600</v>
      </c>
      <c r="AK365" s="1" t="s">
        <v>5601</v>
      </c>
    </row>
    <row r="366" spans="30:37" hidden="1" outlineLevel="1">
      <c r="AD366" s="1" t="s">
        <v>950</v>
      </c>
      <c r="AE366" s="1" t="s">
        <v>242</v>
      </c>
      <c r="AF366" s="1" t="s">
        <v>5602</v>
      </c>
      <c r="AG366" s="1" t="s">
        <v>5603</v>
      </c>
      <c r="AH366" s="1"/>
      <c r="AI366" s="1" t="s">
        <v>5602</v>
      </c>
      <c r="AJ366" s="51" t="s">
        <v>5604</v>
      </c>
      <c r="AK366" s="1" t="s">
        <v>4838</v>
      </c>
    </row>
    <row r="367" spans="30:37" hidden="1" outlineLevel="1">
      <c r="AD367" s="1" t="s">
        <v>950</v>
      </c>
      <c r="AE367" s="1" t="s">
        <v>243</v>
      </c>
      <c r="AF367" s="1" t="s">
        <v>5605</v>
      </c>
      <c r="AG367" s="1" t="s">
        <v>5606</v>
      </c>
      <c r="AH367" s="1"/>
      <c r="AI367" s="1" t="s">
        <v>5605</v>
      </c>
      <c r="AJ367" s="51" t="s">
        <v>5607</v>
      </c>
      <c r="AK367" s="1" t="s">
        <v>5504</v>
      </c>
    </row>
    <row r="368" spans="30:37" hidden="1" outlineLevel="1">
      <c r="AD368" s="1" t="s">
        <v>950</v>
      </c>
      <c r="AE368" s="1" t="s">
        <v>244</v>
      </c>
      <c r="AF368" s="1" t="s">
        <v>5608</v>
      </c>
      <c r="AG368" s="1" t="s">
        <v>5563</v>
      </c>
      <c r="AH368" s="1"/>
      <c r="AI368" s="1" t="s">
        <v>5608</v>
      </c>
      <c r="AJ368" s="51" t="s">
        <v>5609</v>
      </c>
      <c r="AK368" s="1" t="s">
        <v>5610</v>
      </c>
    </row>
    <row r="369" spans="30:37" hidden="1" outlineLevel="1">
      <c r="AD369" s="1" t="s">
        <v>950</v>
      </c>
      <c r="AE369" s="1" t="s">
        <v>245</v>
      </c>
      <c r="AF369" s="1" t="s">
        <v>5611</v>
      </c>
      <c r="AG369" s="1" t="s">
        <v>5612</v>
      </c>
      <c r="AH369" s="1"/>
      <c r="AI369" s="1" t="s">
        <v>5611</v>
      </c>
      <c r="AJ369" s="51" t="s">
        <v>5613</v>
      </c>
      <c r="AK369" s="1" t="s">
        <v>5614</v>
      </c>
    </row>
    <row r="370" spans="30:37" hidden="1" outlineLevel="1">
      <c r="AD370" s="1" t="s">
        <v>950</v>
      </c>
      <c r="AE370" s="1" t="s">
        <v>246</v>
      </c>
      <c r="AF370" s="1" t="s">
        <v>5615</v>
      </c>
      <c r="AG370" s="1" t="s">
        <v>5616</v>
      </c>
      <c r="AH370" s="1"/>
      <c r="AI370" s="1" t="s">
        <v>5615</v>
      </c>
      <c r="AJ370" s="51" t="s">
        <v>5617</v>
      </c>
      <c r="AK370" s="1" t="s">
        <v>5618</v>
      </c>
    </row>
    <row r="371" spans="30:37" hidden="1" outlineLevel="1">
      <c r="AD371" s="1" t="s">
        <v>950</v>
      </c>
      <c r="AE371" s="1" t="s">
        <v>247</v>
      </c>
      <c r="AF371" s="1" t="s">
        <v>5619</v>
      </c>
      <c r="AG371" s="1" t="s">
        <v>5387</v>
      </c>
      <c r="AH371" s="1"/>
      <c r="AI371" s="1" t="s">
        <v>5619</v>
      </c>
      <c r="AJ371" s="51" t="s">
        <v>5620</v>
      </c>
      <c r="AK371" s="1" t="s">
        <v>5620</v>
      </c>
    </row>
    <row r="372" spans="30:37" hidden="1" outlineLevel="1">
      <c r="AD372" s="1" t="s">
        <v>950</v>
      </c>
      <c r="AE372" s="1" t="s">
        <v>248</v>
      </c>
      <c r="AF372" s="1" t="s">
        <v>5621</v>
      </c>
      <c r="AG372" s="1" t="s">
        <v>5622</v>
      </c>
      <c r="AH372" s="1"/>
      <c r="AI372" s="1" t="s">
        <v>5621</v>
      </c>
      <c r="AJ372" s="51" t="s">
        <v>5623</v>
      </c>
      <c r="AK372" s="1" t="s">
        <v>5624</v>
      </c>
    </row>
    <row r="373" spans="30:37" hidden="1" outlineLevel="1">
      <c r="AD373" s="1" t="s">
        <v>950</v>
      </c>
      <c r="AE373" s="1" t="s">
        <v>249</v>
      </c>
      <c r="AF373" s="1" t="s">
        <v>5625</v>
      </c>
      <c r="AG373" s="1" t="s">
        <v>5241</v>
      </c>
      <c r="AH373" s="1"/>
      <c r="AI373" s="1" t="s">
        <v>5625</v>
      </c>
      <c r="AJ373" s="51" t="s">
        <v>5626</v>
      </c>
      <c r="AK373" s="1" t="s">
        <v>4668</v>
      </c>
    </row>
    <row r="374" spans="30:37" hidden="1" outlineLevel="1">
      <c r="AD374" s="1" t="s">
        <v>950</v>
      </c>
      <c r="AE374" s="1" t="s">
        <v>250</v>
      </c>
      <c r="AF374" s="1" t="s">
        <v>5627</v>
      </c>
      <c r="AG374" s="1" t="s">
        <v>5007</v>
      </c>
      <c r="AH374" s="1"/>
      <c r="AI374" s="1" t="s">
        <v>5627</v>
      </c>
      <c r="AJ374" s="51" t="s">
        <v>5628</v>
      </c>
      <c r="AK374" s="1" t="s">
        <v>5629</v>
      </c>
    </row>
    <row r="375" spans="30:37" hidden="1" outlineLevel="1">
      <c r="AD375" s="1" t="s">
        <v>950</v>
      </c>
      <c r="AE375" s="1" t="s">
        <v>251</v>
      </c>
      <c r="AF375" s="1" t="s">
        <v>5630</v>
      </c>
      <c r="AG375" s="1" t="s">
        <v>4043</v>
      </c>
      <c r="AH375" s="1"/>
      <c r="AI375" s="1" t="s">
        <v>5630</v>
      </c>
      <c r="AJ375" s="51" t="s">
        <v>5631</v>
      </c>
      <c r="AK375" s="1" t="s">
        <v>4654</v>
      </c>
    </row>
    <row r="376" spans="30:37" hidden="1" outlineLevel="1">
      <c r="AD376" s="1" t="s">
        <v>950</v>
      </c>
      <c r="AE376" s="1" t="s">
        <v>252</v>
      </c>
      <c r="AF376" s="1" t="s">
        <v>5632</v>
      </c>
      <c r="AG376" s="1" t="s">
        <v>4581</v>
      </c>
      <c r="AH376" s="1"/>
      <c r="AI376" s="1" t="s">
        <v>5632</v>
      </c>
      <c r="AJ376" s="51" t="s">
        <v>5633</v>
      </c>
      <c r="AK376" s="1" t="s">
        <v>5634</v>
      </c>
    </row>
    <row r="377" spans="30:37" hidden="1" outlineLevel="1">
      <c r="AD377" s="1" t="s">
        <v>950</v>
      </c>
      <c r="AE377" s="1" t="s">
        <v>253</v>
      </c>
      <c r="AF377" s="1" t="s">
        <v>5635</v>
      </c>
      <c r="AG377" s="1" t="s">
        <v>5636</v>
      </c>
      <c r="AH377" s="1"/>
      <c r="AI377" s="1" t="s">
        <v>5635</v>
      </c>
      <c r="AJ377" s="51" t="s">
        <v>5637</v>
      </c>
      <c r="AK377" s="1" t="s">
        <v>4208</v>
      </c>
    </row>
    <row r="378" spans="30:37" hidden="1" outlineLevel="1">
      <c r="AD378" s="1" t="s">
        <v>950</v>
      </c>
      <c r="AE378" s="1" t="s">
        <v>254</v>
      </c>
      <c r="AF378" s="1" t="s">
        <v>5638</v>
      </c>
      <c r="AG378" s="1" t="s">
        <v>5639</v>
      </c>
      <c r="AH378" s="1"/>
      <c r="AI378" s="1" t="s">
        <v>5638</v>
      </c>
      <c r="AJ378" s="51" t="s">
        <v>5640</v>
      </c>
      <c r="AK378" s="1" t="s">
        <v>5026</v>
      </c>
    </row>
    <row r="379" spans="30:37" hidden="1" outlineLevel="1">
      <c r="AD379" s="1" t="s">
        <v>950</v>
      </c>
      <c r="AE379" s="1" t="s">
        <v>255</v>
      </c>
      <c r="AF379" s="1" t="s">
        <v>5641</v>
      </c>
      <c r="AG379" s="1" t="s">
        <v>5642</v>
      </c>
      <c r="AH379" s="1"/>
      <c r="AI379" s="1" t="s">
        <v>5641</v>
      </c>
      <c r="AJ379" s="51" t="s">
        <v>5643</v>
      </c>
      <c r="AK379" s="1" t="s">
        <v>4047</v>
      </c>
    </row>
    <row r="380" spans="30:37" hidden="1" outlineLevel="1">
      <c r="AD380" s="1" t="s">
        <v>950</v>
      </c>
      <c r="AE380" s="1" t="s">
        <v>256</v>
      </c>
      <c r="AF380" s="1" t="s">
        <v>5644</v>
      </c>
      <c r="AG380" s="1" t="s">
        <v>5645</v>
      </c>
      <c r="AH380" s="1"/>
      <c r="AI380" s="1" t="s">
        <v>5644</v>
      </c>
      <c r="AJ380" s="51" t="s">
        <v>5646</v>
      </c>
      <c r="AK380" s="1" t="s">
        <v>5647</v>
      </c>
    </row>
    <row r="381" spans="30:37" hidden="1" outlineLevel="1">
      <c r="AD381" s="1" t="s">
        <v>951</v>
      </c>
      <c r="AE381" s="1" t="s">
        <v>736</v>
      </c>
      <c r="AF381" s="1" t="s">
        <v>5648</v>
      </c>
      <c r="AG381" s="1" t="s">
        <v>5649</v>
      </c>
      <c r="AH381" s="1"/>
      <c r="AI381" s="1" t="s">
        <v>5648</v>
      </c>
      <c r="AJ381" s="51" t="s">
        <v>5650</v>
      </c>
      <c r="AK381" s="1" t="s">
        <v>5651</v>
      </c>
    </row>
    <row r="382" spans="30:37" hidden="1" outlineLevel="1">
      <c r="AD382" s="1" t="s">
        <v>951</v>
      </c>
      <c r="AE382" s="1" t="s">
        <v>737</v>
      </c>
      <c r="AF382" s="1" t="s">
        <v>5652</v>
      </c>
      <c r="AG382" s="1" t="s">
        <v>5653</v>
      </c>
      <c r="AH382" s="1"/>
      <c r="AI382" s="1" t="s">
        <v>5652</v>
      </c>
      <c r="AJ382" s="51" t="s">
        <v>5654</v>
      </c>
      <c r="AK382" s="1" t="s">
        <v>3908</v>
      </c>
    </row>
    <row r="383" spans="30:37" hidden="1" outlineLevel="1">
      <c r="AD383" s="1" t="s">
        <v>951</v>
      </c>
      <c r="AE383" s="1" t="s">
        <v>738</v>
      </c>
      <c r="AF383" s="1" t="s">
        <v>5655</v>
      </c>
      <c r="AG383" s="1" t="s">
        <v>5656</v>
      </c>
      <c r="AH383" s="1"/>
      <c r="AI383" s="1" t="s">
        <v>5655</v>
      </c>
      <c r="AJ383" s="51" t="s">
        <v>5657</v>
      </c>
      <c r="AK383" s="1" t="s">
        <v>5658</v>
      </c>
    </row>
    <row r="384" spans="30:37" hidden="1" outlineLevel="1">
      <c r="AD384" s="1" t="s">
        <v>951</v>
      </c>
      <c r="AE384" s="1" t="s">
        <v>739</v>
      </c>
      <c r="AF384" s="1" t="s">
        <v>5659</v>
      </c>
      <c r="AG384" s="1" t="s">
        <v>4020</v>
      </c>
      <c r="AH384" s="1"/>
      <c r="AI384" s="1" t="s">
        <v>5659</v>
      </c>
      <c r="AJ384" s="51" t="s">
        <v>5660</v>
      </c>
      <c r="AK384" s="1" t="s">
        <v>5661</v>
      </c>
    </row>
    <row r="385" spans="30:37" hidden="1" outlineLevel="1">
      <c r="AD385" s="1" t="s">
        <v>951</v>
      </c>
      <c r="AE385" s="1" t="s">
        <v>740</v>
      </c>
      <c r="AF385" s="1" t="s">
        <v>5662</v>
      </c>
      <c r="AG385" s="1" t="s">
        <v>3942</v>
      </c>
      <c r="AH385" s="1"/>
      <c r="AI385" s="1" t="s">
        <v>5662</v>
      </c>
      <c r="AJ385" s="51" t="s">
        <v>4362</v>
      </c>
      <c r="AK385" s="1" t="s">
        <v>4151</v>
      </c>
    </row>
    <row r="386" spans="30:37" hidden="1" outlineLevel="1">
      <c r="AD386" s="1" t="s">
        <v>951</v>
      </c>
      <c r="AE386" s="1" t="s">
        <v>741</v>
      </c>
      <c r="AF386" s="1" t="s">
        <v>5663</v>
      </c>
      <c r="AG386" s="1" t="s">
        <v>4340</v>
      </c>
      <c r="AH386" s="1"/>
      <c r="AI386" s="1" t="s">
        <v>5663</v>
      </c>
      <c r="AJ386" s="51" t="s">
        <v>5664</v>
      </c>
      <c r="AK386" s="1" t="s">
        <v>5665</v>
      </c>
    </row>
    <row r="387" spans="30:37" hidden="1" outlineLevel="1">
      <c r="AD387" s="1" t="s">
        <v>951</v>
      </c>
      <c r="AE387" s="1" t="s">
        <v>742</v>
      </c>
      <c r="AF387" s="1" t="s">
        <v>5666</v>
      </c>
      <c r="AG387" s="1" t="s">
        <v>5667</v>
      </c>
      <c r="AH387" s="1"/>
      <c r="AI387" s="1" t="s">
        <v>5666</v>
      </c>
      <c r="AJ387" s="51" t="s">
        <v>5668</v>
      </c>
      <c r="AK387" s="1" t="s">
        <v>5669</v>
      </c>
    </row>
    <row r="388" spans="30:37" hidden="1" outlineLevel="1">
      <c r="AD388" s="1" t="s">
        <v>951</v>
      </c>
      <c r="AE388" s="1" t="s">
        <v>743</v>
      </c>
      <c r="AF388" s="1" t="s">
        <v>5670</v>
      </c>
      <c r="AG388" s="1" t="s">
        <v>5671</v>
      </c>
      <c r="AH388" s="1"/>
      <c r="AI388" s="1" t="s">
        <v>5670</v>
      </c>
      <c r="AJ388" s="51" t="s">
        <v>5672</v>
      </c>
      <c r="AK388" s="1" t="s">
        <v>5673</v>
      </c>
    </row>
    <row r="389" spans="30:37" hidden="1" outlineLevel="1">
      <c r="AD389" s="1" t="s">
        <v>951</v>
      </c>
      <c r="AE389" s="1" t="s">
        <v>744</v>
      </c>
      <c r="AF389" s="1" t="s">
        <v>5674</v>
      </c>
      <c r="AG389" s="1" t="s">
        <v>5675</v>
      </c>
      <c r="AH389" s="1"/>
      <c r="AI389" s="1" t="s">
        <v>5674</v>
      </c>
      <c r="AJ389" s="51" t="s">
        <v>5676</v>
      </c>
      <c r="AK389" s="1" t="s">
        <v>5677</v>
      </c>
    </row>
    <row r="390" spans="30:37" hidden="1" outlineLevel="1">
      <c r="AD390" s="1" t="s">
        <v>951</v>
      </c>
      <c r="AE390" s="1" t="s">
        <v>745</v>
      </c>
      <c r="AF390" s="1" t="s">
        <v>5678</v>
      </c>
      <c r="AG390" s="1" t="s">
        <v>5679</v>
      </c>
      <c r="AH390" s="1"/>
      <c r="AI390" s="1" t="s">
        <v>5678</v>
      </c>
      <c r="AJ390" s="51" t="s">
        <v>5680</v>
      </c>
      <c r="AK390" s="1" t="s">
        <v>5681</v>
      </c>
    </row>
    <row r="391" spans="30:37" hidden="1" outlineLevel="1">
      <c r="AD391" s="1" t="s">
        <v>951</v>
      </c>
      <c r="AE391" s="1" t="s">
        <v>746</v>
      </c>
      <c r="AF391" s="1" t="s">
        <v>5682</v>
      </c>
      <c r="AG391" s="1" t="s">
        <v>5683</v>
      </c>
      <c r="AH391" s="1"/>
      <c r="AI391" s="1" t="s">
        <v>5682</v>
      </c>
      <c r="AJ391" s="51" t="s">
        <v>5684</v>
      </c>
      <c r="AK391" s="1" t="s">
        <v>5074</v>
      </c>
    </row>
    <row r="392" spans="30:37" hidden="1" outlineLevel="1">
      <c r="AD392" s="1" t="s">
        <v>951</v>
      </c>
      <c r="AE392" s="1" t="s">
        <v>747</v>
      </c>
      <c r="AF392" s="1" t="s">
        <v>5685</v>
      </c>
      <c r="AG392" s="1" t="s">
        <v>5686</v>
      </c>
      <c r="AH392" s="1"/>
      <c r="AI392" s="1" t="s">
        <v>5685</v>
      </c>
      <c r="AJ392" s="51" t="s">
        <v>5687</v>
      </c>
      <c r="AK392" s="1" t="s">
        <v>5688</v>
      </c>
    </row>
    <row r="393" spans="30:37" hidden="1" outlineLevel="1">
      <c r="AD393" s="1" t="s">
        <v>951</v>
      </c>
      <c r="AE393" s="1" t="s">
        <v>748</v>
      </c>
      <c r="AF393" s="1" t="s">
        <v>5689</v>
      </c>
      <c r="AG393" s="1" t="s">
        <v>5690</v>
      </c>
      <c r="AH393" s="1"/>
      <c r="AI393" s="1" t="s">
        <v>5689</v>
      </c>
      <c r="AJ393" s="51" t="s">
        <v>5691</v>
      </c>
      <c r="AK393" s="1" t="s">
        <v>4410</v>
      </c>
    </row>
    <row r="394" spans="30:37" hidden="1" outlineLevel="1">
      <c r="AD394" s="1" t="s">
        <v>951</v>
      </c>
      <c r="AE394" s="1" t="s">
        <v>749</v>
      </c>
      <c r="AF394" s="1" t="s">
        <v>5692</v>
      </c>
      <c r="AG394" s="1" t="s">
        <v>5693</v>
      </c>
      <c r="AH394" s="1"/>
      <c r="AI394" s="1" t="s">
        <v>5692</v>
      </c>
      <c r="AJ394" s="51" t="s">
        <v>5694</v>
      </c>
      <c r="AK394" s="1" t="s">
        <v>5695</v>
      </c>
    </row>
    <row r="395" spans="30:37" hidden="1" outlineLevel="1">
      <c r="AD395" s="1" t="s">
        <v>951</v>
      </c>
      <c r="AE395" s="1" t="s">
        <v>750</v>
      </c>
      <c r="AF395" s="1" t="s">
        <v>5696</v>
      </c>
      <c r="AG395" s="1" t="s">
        <v>5293</v>
      </c>
      <c r="AH395" s="1"/>
      <c r="AI395" s="1" t="s">
        <v>5696</v>
      </c>
      <c r="AJ395" s="51" t="s">
        <v>5697</v>
      </c>
      <c r="AK395" s="1" t="s">
        <v>5698</v>
      </c>
    </row>
    <row r="396" spans="30:37" hidden="1" outlineLevel="1">
      <c r="AD396" s="1" t="s">
        <v>951</v>
      </c>
      <c r="AE396" s="1" t="s">
        <v>751</v>
      </c>
      <c r="AF396" s="1" t="s">
        <v>5699</v>
      </c>
      <c r="AG396" s="1" t="s">
        <v>5700</v>
      </c>
      <c r="AH396" s="1"/>
      <c r="AI396" s="1" t="s">
        <v>5699</v>
      </c>
      <c r="AJ396" s="51" t="s">
        <v>5701</v>
      </c>
      <c r="AK396" s="1" t="s">
        <v>5702</v>
      </c>
    </row>
    <row r="397" spans="30:37" hidden="1" outlineLevel="1">
      <c r="AD397" s="1" t="s">
        <v>951</v>
      </c>
      <c r="AE397" s="1" t="s">
        <v>752</v>
      </c>
      <c r="AF397" s="1" t="s">
        <v>5703</v>
      </c>
      <c r="AG397" s="1" t="s">
        <v>4467</v>
      </c>
      <c r="AH397" s="1"/>
      <c r="AI397" s="1" t="s">
        <v>5703</v>
      </c>
      <c r="AJ397" s="51" t="s">
        <v>5704</v>
      </c>
      <c r="AK397" s="1" t="s">
        <v>4425</v>
      </c>
    </row>
    <row r="398" spans="30:37" hidden="1" outlineLevel="1">
      <c r="AD398" s="1" t="s">
        <v>951</v>
      </c>
      <c r="AE398" s="1" t="s">
        <v>753</v>
      </c>
      <c r="AF398" s="1" t="s">
        <v>5705</v>
      </c>
      <c r="AG398" s="1" t="s">
        <v>5277</v>
      </c>
      <c r="AH398" s="1"/>
      <c r="AI398" s="1" t="s">
        <v>5705</v>
      </c>
      <c r="AJ398" s="51" t="s">
        <v>5706</v>
      </c>
      <c r="AK398" s="1" t="s">
        <v>5707</v>
      </c>
    </row>
    <row r="399" spans="30:37" hidden="1" outlineLevel="1">
      <c r="AD399" s="1" t="s">
        <v>951</v>
      </c>
      <c r="AE399" s="1" t="s">
        <v>754</v>
      </c>
      <c r="AF399" s="1" t="s">
        <v>5708</v>
      </c>
      <c r="AG399" s="1" t="s">
        <v>5709</v>
      </c>
      <c r="AH399" s="1"/>
      <c r="AI399" s="1" t="s">
        <v>5708</v>
      </c>
      <c r="AJ399" s="51" t="s">
        <v>5710</v>
      </c>
      <c r="AK399" s="1" t="s">
        <v>5489</v>
      </c>
    </row>
    <row r="400" spans="30:37" hidden="1" outlineLevel="1">
      <c r="AD400" s="1" t="s">
        <v>951</v>
      </c>
      <c r="AE400" s="1" t="s">
        <v>755</v>
      </c>
      <c r="AF400" s="1" t="s">
        <v>5711</v>
      </c>
      <c r="AG400" s="1" t="s">
        <v>5712</v>
      </c>
      <c r="AH400" s="1"/>
      <c r="AI400" s="1" t="s">
        <v>5711</v>
      </c>
      <c r="AJ400" s="51" t="s">
        <v>5713</v>
      </c>
      <c r="AK400" s="1" t="s">
        <v>5714</v>
      </c>
    </row>
    <row r="401" spans="30:37" hidden="1" outlineLevel="1">
      <c r="AD401" s="1" t="s">
        <v>951</v>
      </c>
      <c r="AE401" s="1" t="s">
        <v>756</v>
      </c>
      <c r="AF401" s="1" t="s">
        <v>5715</v>
      </c>
      <c r="AG401" s="1" t="s">
        <v>5716</v>
      </c>
      <c r="AH401" s="1"/>
      <c r="AI401" s="1" t="s">
        <v>5715</v>
      </c>
      <c r="AJ401" s="51" t="s">
        <v>5717</v>
      </c>
      <c r="AK401" s="1" t="s">
        <v>5718</v>
      </c>
    </row>
    <row r="402" spans="30:37" hidden="1" outlineLevel="1">
      <c r="AD402" s="1" t="s">
        <v>951</v>
      </c>
      <c r="AE402" s="1" t="s">
        <v>757</v>
      </c>
      <c r="AF402" s="1" t="s">
        <v>5719</v>
      </c>
      <c r="AG402" s="1" t="s">
        <v>5720</v>
      </c>
      <c r="AH402" s="1"/>
      <c r="AI402" s="1" t="s">
        <v>5719</v>
      </c>
      <c r="AJ402" s="51" t="s">
        <v>5721</v>
      </c>
      <c r="AK402" s="1" t="s">
        <v>5679</v>
      </c>
    </row>
    <row r="403" spans="30:37" hidden="1" outlineLevel="1">
      <c r="AD403" s="1" t="s">
        <v>951</v>
      </c>
      <c r="AE403" s="1" t="s">
        <v>758</v>
      </c>
      <c r="AF403" s="1" t="s">
        <v>5722</v>
      </c>
      <c r="AG403" s="1" t="s">
        <v>5723</v>
      </c>
      <c r="AH403" s="1"/>
      <c r="AI403" s="1" t="s">
        <v>5722</v>
      </c>
      <c r="AJ403" s="51" t="s">
        <v>5724</v>
      </c>
      <c r="AK403" s="1" t="s">
        <v>5725</v>
      </c>
    </row>
    <row r="404" spans="30:37" hidden="1" outlineLevel="1">
      <c r="AD404" s="1" t="s">
        <v>951</v>
      </c>
      <c r="AE404" s="1" t="s">
        <v>759</v>
      </c>
      <c r="AF404" s="1" t="s">
        <v>5726</v>
      </c>
      <c r="AG404" s="1" t="s">
        <v>5727</v>
      </c>
      <c r="AH404" s="1"/>
      <c r="AI404" s="1" t="s">
        <v>5726</v>
      </c>
      <c r="AJ404" s="51" t="s">
        <v>5728</v>
      </c>
      <c r="AK404" s="1" t="s">
        <v>5729</v>
      </c>
    </row>
    <row r="405" spans="30:37" hidden="1" outlineLevel="1">
      <c r="AD405" s="1" t="s">
        <v>951</v>
      </c>
      <c r="AE405" s="1" t="s">
        <v>760</v>
      </c>
      <c r="AF405" s="1" t="s">
        <v>5730</v>
      </c>
      <c r="AG405" s="1" t="s">
        <v>5731</v>
      </c>
      <c r="AH405" s="1"/>
      <c r="AI405" s="1" t="s">
        <v>5730</v>
      </c>
      <c r="AJ405" s="51" t="s">
        <v>5732</v>
      </c>
      <c r="AK405" s="1" t="s">
        <v>5733</v>
      </c>
    </row>
    <row r="406" spans="30:37" hidden="1" outlineLevel="1">
      <c r="AD406" s="1" t="s">
        <v>951</v>
      </c>
      <c r="AE406" s="1" t="s">
        <v>761</v>
      </c>
      <c r="AF406" s="1" t="s">
        <v>5734</v>
      </c>
      <c r="AG406" s="1" t="s">
        <v>5735</v>
      </c>
      <c r="AH406" s="1"/>
      <c r="AI406" s="1" t="s">
        <v>5734</v>
      </c>
      <c r="AJ406" s="51" t="s">
        <v>5736</v>
      </c>
      <c r="AK406" s="1" t="s">
        <v>5737</v>
      </c>
    </row>
    <row r="407" spans="30:37" hidden="1" outlineLevel="1">
      <c r="AD407" s="1" t="s">
        <v>951</v>
      </c>
      <c r="AE407" s="1" t="s">
        <v>762</v>
      </c>
      <c r="AF407" s="1" t="s">
        <v>5738</v>
      </c>
      <c r="AG407" s="1" t="s">
        <v>5739</v>
      </c>
      <c r="AH407" s="1"/>
      <c r="AI407" s="1" t="s">
        <v>5738</v>
      </c>
      <c r="AJ407" s="51" t="s">
        <v>5740</v>
      </c>
      <c r="AK407" s="1" t="s">
        <v>5741</v>
      </c>
    </row>
    <row r="408" spans="30:37" hidden="1" outlineLevel="1">
      <c r="AD408" s="1" t="s">
        <v>951</v>
      </c>
      <c r="AE408" s="1" t="s">
        <v>763</v>
      </c>
      <c r="AF408" s="1" t="s">
        <v>5742</v>
      </c>
      <c r="AG408" s="1" t="s">
        <v>5743</v>
      </c>
      <c r="AH408" s="1"/>
      <c r="AI408" s="1" t="s">
        <v>5742</v>
      </c>
      <c r="AJ408" s="51" t="s">
        <v>5744</v>
      </c>
      <c r="AK408" s="1" t="s">
        <v>5161</v>
      </c>
    </row>
    <row r="409" spans="30:37" hidden="1" outlineLevel="1">
      <c r="AD409" s="1" t="s">
        <v>951</v>
      </c>
      <c r="AE409" s="1" t="s">
        <v>764</v>
      </c>
      <c r="AF409" s="1" t="s">
        <v>5745</v>
      </c>
      <c r="AG409" s="1" t="s">
        <v>5746</v>
      </c>
      <c r="AH409" s="1"/>
      <c r="AI409" s="1" t="s">
        <v>5745</v>
      </c>
      <c r="AJ409" s="51" t="s">
        <v>5747</v>
      </c>
      <c r="AK409" s="1" t="s">
        <v>5622</v>
      </c>
    </row>
    <row r="410" spans="30:37" hidden="1" outlineLevel="1">
      <c r="AD410" s="1" t="s">
        <v>951</v>
      </c>
      <c r="AE410" s="1" t="s">
        <v>765</v>
      </c>
      <c r="AF410" s="1" t="s">
        <v>5748</v>
      </c>
      <c r="AG410" s="1" t="s">
        <v>5749</v>
      </c>
      <c r="AH410" s="1"/>
      <c r="AI410" s="1" t="s">
        <v>5748</v>
      </c>
      <c r="AJ410" s="51" t="s">
        <v>5750</v>
      </c>
      <c r="AK410" s="1" t="s">
        <v>5751</v>
      </c>
    </row>
    <row r="411" spans="30:37" hidden="1" outlineLevel="1">
      <c r="AD411" s="1" t="s">
        <v>951</v>
      </c>
      <c r="AE411" s="1" t="s">
        <v>766</v>
      </c>
      <c r="AF411" s="1" t="s">
        <v>5752</v>
      </c>
      <c r="AG411" s="1" t="s">
        <v>5753</v>
      </c>
      <c r="AH411" s="1"/>
      <c r="AI411" s="1" t="s">
        <v>5752</v>
      </c>
      <c r="AJ411" s="51" t="s">
        <v>5754</v>
      </c>
      <c r="AK411" s="1" t="s">
        <v>5755</v>
      </c>
    </row>
    <row r="412" spans="30:37" hidden="1" outlineLevel="1">
      <c r="AD412" s="1" t="s">
        <v>951</v>
      </c>
      <c r="AE412" s="1" t="s">
        <v>767</v>
      </c>
      <c r="AF412" s="1" t="s">
        <v>5756</v>
      </c>
      <c r="AG412" s="1" t="s">
        <v>5757</v>
      </c>
      <c r="AH412" s="1"/>
      <c r="AI412" s="1" t="s">
        <v>5756</v>
      </c>
      <c r="AJ412" s="51" t="s">
        <v>5758</v>
      </c>
      <c r="AK412" s="1" t="s">
        <v>5759</v>
      </c>
    </row>
    <row r="413" spans="30:37" hidden="1" outlineLevel="1">
      <c r="AD413" s="1" t="s">
        <v>951</v>
      </c>
      <c r="AE413" s="1" t="s">
        <v>768</v>
      </c>
      <c r="AF413" s="1" t="s">
        <v>5760</v>
      </c>
      <c r="AG413" s="1" t="s">
        <v>5761</v>
      </c>
      <c r="AH413" s="1"/>
      <c r="AI413" s="1" t="s">
        <v>5760</v>
      </c>
      <c r="AJ413" s="51" t="s">
        <v>5762</v>
      </c>
      <c r="AK413" s="1" t="s">
        <v>5763</v>
      </c>
    </row>
    <row r="414" spans="30:37" hidden="1" outlineLevel="1">
      <c r="AD414" s="1" t="s">
        <v>951</v>
      </c>
      <c r="AE414" s="1" t="s">
        <v>769</v>
      </c>
      <c r="AF414" s="1" t="s">
        <v>5764</v>
      </c>
      <c r="AG414" s="1" t="s">
        <v>5765</v>
      </c>
      <c r="AH414" s="1"/>
      <c r="AI414" s="1" t="s">
        <v>5764</v>
      </c>
      <c r="AJ414" s="51" t="s">
        <v>5766</v>
      </c>
      <c r="AK414" s="1" t="s">
        <v>5767</v>
      </c>
    </row>
    <row r="415" spans="30:37" hidden="1" outlineLevel="1">
      <c r="AD415" s="1" t="s">
        <v>951</v>
      </c>
      <c r="AE415" s="1" t="s">
        <v>770</v>
      </c>
      <c r="AF415" s="1" t="s">
        <v>5768</v>
      </c>
      <c r="AG415" s="1" t="s">
        <v>5677</v>
      </c>
      <c r="AH415" s="1"/>
      <c r="AI415" s="1" t="s">
        <v>5768</v>
      </c>
      <c r="AJ415" s="51" t="s">
        <v>5769</v>
      </c>
      <c r="AK415" s="1" t="s">
        <v>5770</v>
      </c>
    </row>
    <row r="416" spans="30:37" hidden="1" outlineLevel="1">
      <c r="AD416" s="1" t="s">
        <v>951</v>
      </c>
      <c r="AE416" s="1" t="s">
        <v>771</v>
      </c>
      <c r="AF416" s="1" t="s">
        <v>5771</v>
      </c>
      <c r="AG416" s="1" t="s">
        <v>5624</v>
      </c>
      <c r="AH416" s="1"/>
      <c r="AI416" s="1" t="s">
        <v>5771</v>
      </c>
      <c r="AJ416" s="51" t="s">
        <v>5772</v>
      </c>
      <c r="AK416" s="1" t="s">
        <v>5773</v>
      </c>
    </row>
    <row r="417" spans="30:37" hidden="1" outlineLevel="1">
      <c r="AD417" s="1" t="s">
        <v>951</v>
      </c>
      <c r="AE417" s="1" t="s">
        <v>772</v>
      </c>
      <c r="AF417" s="1" t="s">
        <v>5774</v>
      </c>
      <c r="AG417" s="1" t="s">
        <v>5775</v>
      </c>
      <c r="AH417" s="1"/>
      <c r="AI417" s="1" t="s">
        <v>5774</v>
      </c>
      <c r="AJ417" s="51" t="s">
        <v>5776</v>
      </c>
      <c r="AK417" s="1" t="s">
        <v>5777</v>
      </c>
    </row>
    <row r="418" spans="30:37" hidden="1" outlineLevel="1">
      <c r="AD418" s="1" t="s">
        <v>951</v>
      </c>
      <c r="AE418" s="1" t="s">
        <v>773</v>
      </c>
      <c r="AF418" s="1" t="s">
        <v>5778</v>
      </c>
      <c r="AG418" s="1" t="s">
        <v>5779</v>
      </c>
      <c r="AH418" s="1"/>
      <c r="AI418" s="1" t="s">
        <v>5778</v>
      </c>
      <c r="AJ418" s="51" t="s">
        <v>5780</v>
      </c>
      <c r="AK418" s="1" t="s">
        <v>5781</v>
      </c>
    </row>
    <row r="419" spans="30:37" hidden="1" outlineLevel="1">
      <c r="AD419" s="1" t="s">
        <v>951</v>
      </c>
      <c r="AE419" s="1" t="s">
        <v>774</v>
      </c>
      <c r="AF419" s="1" t="s">
        <v>5782</v>
      </c>
      <c r="AG419" s="1" t="s">
        <v>5783</v>
      </c>
      <c r="AH419" s="1"/>
      <c r="AI419" s="1" t="s">
        <v>5782</v>
      </c>
      <c r="AJ419" s="51" t="s">
        <v>5784</v>
      </c>
      <c r="AK419" s="1" t="s">
        <v>5785</v>
      </c>
    </row>
    <row r="420" spans="30:37" hidden="1" outlineLevel="1">
      <c r="AD420" s="1" t="s">
        <v>951</v>
      </c>
      <c r="AE420" s="1" t="s">
        <v>775</v>
      </c>
      <c r="AF420" s="1" t="s">
        <v>5786</v>
      </c>
      <c r="AG420" s="1" t="s">
        <v>4012</v>
      </c>
      <c r="AH420" s="1"/>
      <c r="AI420" s="1" t="s">
        <v>5786</v>
      </c>
      <c r="AJ420" s="51" t="s">
        <v>5787</v>
      </c>
      <c r="AK420" s="1" t="s">
        <v>4192</v>
      </c>
    </row>
    <row r="421" spans="30:37" hidden="1" outlineLevel="1">
      <c r="AD421" s="1" t="s">
        <v>951</v>
      </c>
      <c r="AE421" s="1" t="s">
        <v>776</v>
      </c>
      <c r="AF421" s="1" t="s">
        <v>5788</v>
      </c>
      <c r="AG421" s="1" t="s">
        <v>5629</v>
      </c>
      <c r="AH421" s="1"/>
      <c r="AI421" s="1" t="s">
        <v>5788</v>
      </c>
      <c r="AJ421" s="51" t="s">
        <v>5789</v>
      </c>
      <c r="AK421" s="1" t="s">
        <v>5437</v>
      </c>
    </row>
    <row r="422" spans="30:37" hidden="1" outlineLevel="1">
      <c r="AD422" s="1" t="s">
        <v>951</v>
      </c>
      <c r="AE422" s="1" t="s">
        <v>777</v>
      </c>
      <c r="AF422" s="1" t="s">
        <v>5790</v>
      </c>
      <c r="AG422" s="1" t="s">
        <v>5791</v>
      </c>
      <c r="AH422" s="1"/>
      <c r="AI422" s="1" t="s">
        <v>5790</v>
      </c>
      <c r="AJ422" s="51" t="s">
        <v>5792</v>
      </c>
      <c r="AK422" s="1" t="s">
        <v>5793</v>
      </c>
    </row>
    <row r="423" spans="30:37" hidden="1" outlineLevel="1">
      <c r="AD423" s="1" t="s">
        <v>951</v>
      </c>
      <c r="AE423" s="1" t="s">
        <v>778</v>
      </c>
      <c r="AF423" s="1" t="s">
        <v>5794</v>
      </c>
      <c r="AG423" s="1" t="s">
        <v>5795</v>
      </c>
      <c r="AH423" s="1"/>
      <c r="AI423" s="1" t="s">
        <v>5794</v>
      </c>
      <c r="AJ423" s="51" t="s">
        <v>5796</v>
      </c>
      <c r="AK423" s="1" t="s">
        <v>5797</v>
      </c>
    </row>
    <row r="424" spans="30:37" hidden="1" outlineLevel="1">
      <c r="AD424" s="1" t="s">
        <v>951</v>
      </c>
      <c r="AE424" s="1" t="s">
        <v>779</v>
      </c>
      <c r="AF424" s="1" t="s">
        <v>5798</v>
      </c>
      <c r="AG424" s="1" t="s">
        <v>5549</v>
      </c>
      <c r="AH424" s="1"/>
      <c r="AI424" s="1" t="s">
        <v>5798</v>
      </c>
      <c r="AJ424" s="51" t="s">
        <v>5799</v>
      </c>
      <c r="AK424" s="1" t="s">
        <v>5800</v>
      </c>
    </row>
    <row r="425" spans="30:37" hidden="1" outlineLevel="1">
      <c r="AD425" s="1" t="s">
        <v>951</v>
      </c>
      <c r="AE425" s="1" t="s">
        <v>780</v>
      </c>
      <c r="AF425" s="1" t="s">
        <v>5801</v>
      </c>
      <c r="AG425" s="1" t="s">
        <v>5802</v>
      </c>
      <c r="AH425" s="1"/>
      <c r="AI425" s="1" t="s">
        <v>5801</v>
      </c>
      <c r="AJ425" s="51" t="s">
        <v>5803</v>
      </c>
      <c r="AK425" s="1" t="s">
        <v>4029</v>
      </c>
    </row>
    <row r="426" spans="30:37" hidden="1" outlineLevel="1">
      <c r="AD426" s="1" t="s">
        <v>951</v>
      </c>
      <c r="AE426" s="1" t="s">
        <v>781</v>
      </c>
      <c r="AF426" s="1" t="s">
        <v>5804</v>
      </c>
      <c r="AG426" s="1" t="s">
        <v>5805</v>
      </c>
      <c r="AH426" s="1"/>
      <c r="AI426" s="1" t="s">
        <v>5804</v>
      </c>
      <c r="AJ426" s="51" t="s">
        <v>5806</v>
      </c>
      <c r="AK426" s="1" t="s">
        <v>5807</v>
      </c>
    </row>
    <row r="427" spans="30:37" hidden="1" outlineLevel="1">
      <c r="AD427" s="1" t="s">
        <v>951</v>
      </c>
      <c r="AE427" s="1" t="s">
        <v>782</v>
      </c>
      <c r="AF427" s="1" t="s">
        <v>5808</v>
      </c>
      <c r="AG427" s="1" t="s">
        <v>5809</v>
      </c>
      <c r="AH427" s="1"/>
      <c r="AI427" s="1" t="s">
        <v>5808</v>
      </c>
      <c r="AJ427" s="51" t="s">
        <v>5810</v>
      </c>
      <c r="AK427" s="1" t="s">
        <v>5811</v>
      </c>
    </row>
    <row r="428" spans="30:37" hidden="1" outlineLevel="1">
      <c r="AD428" s="1" t="s">
        <v>951</v>
      </c>
      <c r="AE428" s="1" t="s">
        <v>783</v>
      </c>
      <c r="AF428" s="1" t="s">
        <v>5812</v>
      </c>
      <c r="AG428" s="1" t="s">
        <v>5567</v>
      </c>
      <c r="AH428" s="1"/>
      <c r="AI428" s="1" t="s">
        <v>5812</v>
      </c>
      <c r="AJ428" s="51" t="s">
        <v>5813</v>
      </c>
      <c r="AK428" s="1" t="s">
        <v>5814</v>
      </c>
    </row>
    <row r="429" spans="30:37" hidden="1" outlineLevel="1">
      <c r="AD429" s="1" t="s">
        <v>951</v>
      </c>
      <c r="AE429" s="1" t="s">
        <v>784</v>
      </c>
      <c r="AF429" s="1" t="s">
        <v>5815</v>
      </c>
      <c r="AG429" s="1" t="s">
        <v>5816</v>
      </c>
      <c r="AH429" s="1"/>
      <c r="AI429" s="1" t="s">
        <v>5815</v>
      </c>
      <c r="AJ429" s="51" t="s">
        <v>5817</v>
      </c>
      <c r="AK429" s="1" t="s">
        <v>5818</v>
      </c>
    </row>
    <row r="430" spans="30:37" hidden="1" outlineLevel="1">
      <c r="AD430" s="1" t="s">
        <v>951</v>
      </c>
      <c r="AE430" s="1" t="s">
        <v>785</v>
      </c>
      <c r="AF430" s="1" t="s">
        <v>5819</v>
      </c>
      <c r="AG430" s="1" t="s">
        <v>5820</v>
      </c>
      <c r="AH430" s="1"/>
      <c r="AI430" s="1" t="s">
        <v>5819</v>
      </c>
      <c r="AJ430" s="51" t="s">
        <v>5821</v>
      </c>
      <c r="AK430" s="1" t="s">
        <v>5822</v>
      </c>
    </row>
    <row r="431" spans="30:37" hidden="1" outlineLevel="1">
      <c r="AD431" s="1" t="s">
        <v>951</v>
      </c>
      <c r="AE431" s="1" t="s">
        <v>786</v>
      </c>
      <c r="AF431" s="1" t="s">
        <v>5823</v>
      </c>
      <c r="AG431" s="1" t="s">
        <v>5824</v>
      </c>
      <c r="AH431" s="1"/>
      <c r="AI431" s="1" t="s">
        <v>5823</v>
      </c>
      <c r="AJ431" s="51" t="s">
        <v>5825</v>
      </c>
      <c r="AK431" s="1" t="s">
        <v>5606</v>
      </c>
    </row>
    <row r="432" spans="30:37" hidden="1" outlineLevel="1">
      <c r="AD432" s="1" t="s">
        <v>951</v>
      </c>
      <c r="AE432" s="1" t="s">
        <v>787</v>
      </c>
      <c r="AF432" s="1" t="s">
        <v>5826</v>
      </c>
      <c r="AG432" s="1" t="s">
        <v>5827</v>
      </c>
      <c r="AH432" s="1"/>
      <c r="AI432" s="1" t="s">
        <v>5826</v>
      </c>
      <c r="AJ432" s="51" t="s">
        <v>5828</v>
      </c>
      <c r="AK432" s="1" t="s">
        <v>5829</v>
      </c>
    </row>
    <row r="433" spans="30:37" hidden="1" outlineLevel="1">
      <c r="AD433" s="1" t="s">
        <v>951</v>
      </c>
      <c r="AE433" s="1" t="s">
        <v>788</v>
      </c>
      <c r="AF433" s="1" t="s">
        <v>5830</v>
      </c>
      <c r="AG433" s="1" t="s">
        <v>5831</v>
      </c>
      <c r="AH433" s="1"/>
      <c r="AI433" s="1" t="s">
        <v>5830</v>
      </c>
      <c r="AJ433" s="51" t="s">
        <v>5832</v>
      </c>
      <c r="AK433" s="1" t="s">
        <v>4006</v>
      </c>
    </row>
    <row r="434" spans="30:37" hidden="1" outlineLevel="1">
      <c r="AD434" s="1" t="s">
        <v>951</v>
      </c>
      <c r="AE434" s="1" t="s">
        <v>789</v>
      </c>
      <c r="AF434" s="1" t="s">
        <v>5833</v>
      </c>
      <c r="AG434" s="1" t="s">
        <v>5834</v>
      </c>
      <c r="AH434" s="1"/>
      <c r="AI434" s="1" t="s">
        <v>5833</v>
      </c>
      <c r="AJ434" s="51" t="s">
        <v>5835</v>
      </c>
      <c r="AK434" s="1" t="s">
        <v>5836</v>
      </c>
    </row>
    <row r="435" spans="30:37" hidden="1" outlineLevel="1">
      <c r="AD435" s="1" t="s">
        <v>951</v>
      </c>
      <c r="AE435" s="1" t="s">
        <v>790</v>
      </c>
      <c r="AF435" s="1" t="s">
        <v>5837</v>
      </c>
      <c r="AG435" s="1" t="s">
        <v>5838</v>
      </c>
      <c r="AH435" s="1"/>
      <c r="AI435" s="1" t="s">
        <v>5837</v>
      </c>
      <c r="AJ435" s="51" t="s">
        <v>5839</v>
      </c>
      <c r="AK435" s="1" t="s">
        <v>5667</v>
      </c>
    </row>
    <row r="436" spans="30:37" hidden="1" outlineLevel="1">
      <c r="AD436" s="1" t="s">
        <v>951</v>
      </c>
      <c r="AE436" s="1" t="s">
        <v>791</v>
      </c>
      <c r="AF436" s="1" t="s">
        <v>5840</v>
      </c>
      <c r="AG436" s="1" t="s">
        <v>5841</v>
      </c>
      <c r="AH436" s="1"/>
      <c r="AI436" s="1" t="s">
        <v>5840</v>
      </c>
      <c r="AJ436" s="51" t="s">
        <v>5842</v>
      </c>
      <c r="AK436" s="1" t="s">
        <v>5843</v>
      </c>
    </row>
    <row r="437" spans="30:37" hidden="1" outlineLevel="1">
      <c r="AD437" s="1" t="s">
        <v>951</v>
      </c>
      <c r="AE437" s="1" t="s">
        <v>792</v>
      </c>
      <c r="AF437" s="1" t="s">
        <v>5844</v>
      </c>
      <c r="AG437" s="1" t="s">
        <v>5845</v>
      </c>
      <c r="AH437" s="1"/>
      <c r="AI437" s="1" t="s">
        <v>5844</v>
      </c>
      <c r="AJ437" s="51" t="s">
        <v>5846</v>
      </c>
      <c r="AK437" s="1" t="s">
        <v>5847</v>
      </c>
    </row>
    <row r="438" spans="30:37" hidden="1" outlineLevel="1">
      <c r="AD438" s="1" t="s">
        <v>951</v>
      </c>
      <c r="AE438" s="1" t="s">
        <v>793</v>
      </c>
      <c r="AF438" s="1" t="s">
        <v>5848</v>
      </c>
      <c r="AG438" s="1" t="s">
        <v>5849</v>
      </c>
      <c r="AH438" s="1"/>
      <c r="AI438" s="1" t="s">
        <v>5848</v>
      </c>
      <c r="AJ438" s="51" t="s">
        <v>5850</v>
      </c>
      <c r="AK438" s="1" t="s">
        <v>5851</v>
      </c>
    </row>
    <row r="439" spans="30:37" hidden="1" outlineLevel="1">
      <c r="AD439" s="1" t="s">
        <v>951</v>
      </c>
      <c r="AE439" s="1" t="s">
        <v>794</v>
      </c>
      <c r="AF439" s="1" t="s">
        <v>5852</v>
      </c>
      <c r="AG439" s="1" t="s">
        <v>5853</v>
      </c>
      <c r="AH439" s="1"/>
      <c r="AI439" s="1" t="s">
        <v>5852</v>
      </c>
      <c r="AJ439" s="51" t="s">
        <v>5854</v>
      </c>
      <c r="AK439" s="1" t="s">
        <v>5855</v>
      </c>
    </row>
    <row r="440" spans="30:37" hidden="1" outlineLevel="1">
      <c r="AD440" s="1" t="s">
        <v>951</v>
      </c>
      <c r="AE440" s="1" t="s">
        <v>795</v>
      </c>
      <c r="AF440" s="1" t="s">
        <v>5856</v>
      </c>
      <c r="AG440" s="1" t="s">
        <v>5857</v>
      </c>
      <c r="AH440" s="1"/>
      <c r="AI440" s="1" t="s">
        <v>5856</v>
      </c>
      <c r="AJ440" s="51" t="s">
        <v>5858</v>
      </c>
      <c r="AK440" s="1" t="s">
        <v>5859</v>
      </c>
    </row>
    <row r="441" spans="30:37" hidden="1" outlineLevel="1">
      <c r="AD441" s="1" t="s">
        <v>951</v>
      </c>
      <c r="AE441" s="1" t="s">
        <v>796</v>
      </c>
      <c r="AF441" s="1" t="s">
        <v>5860</v>
      </c>
      <c r="AG441" s="1" t="s">
        <v>5861</v>
      </c>
      <c r="AH441" s="1"/>
      <c r="AI441" s="1" t="s">
        <v>5860</v>
      </c>
      <c r="AJ441" s="51" t="s">
        <v>5862</v>
      </c>
      <c r="AK441" s="1" t="s">
        <v>4734</v>
      </c>
    </row>
    <row r="442" spans="30:37" hidden="1" outlineLevel="1">
      <c r="AD442" s="1" t="s">
        <v>951</v>
      </c>
      <c r="AE442" s="1" t="s">
        <v>797</v>
      </c>
      <c r="AF442" s="1" t="s">
        <v>5863</v>
      </c>
      <c r="AG442" s="1" t="s">
        <v>5415</v>
      </c>
      <c r="AH442" s="1"/>
      <c r="AI442" s="1" t="s">
        <v>5863</v>
      </c>
      <c r="AJ442" s="51" t="s">
        <v>5864</v>
      </c>
      <c r="AK442" s="1" t="s">
        <v>5865</v>
      </c>
    </row>
    <row r="443" spans="30:37" hidden="1" outlineLevel="1">
      <c r="AD443" s="1" t="s">
        <v>951</v>
      </c>
      <c r="AE443" s="1" t="s">
        <v>798</v>
      </c>
      <c r="AF443" s="1" t="s">
        <v>5866</v>
      </c>
      <c r="AG443" s="1" t="s">
        <v>5867</v>
      </c>
      <c r="AH443" s="1"/>
      <c r="AI443" s="1" t="s">
        <v>5866</v>
      </c>
      <c r="AJ443" s="51" t="s">
        <v>5868</v>
      </c>
      <c r="AK443" s="1" t="s">
        <v>5869</v>
      </c>
    </row>
    <row r="444" spans="30:37" hidden="1" outlineLevel="1">
      <c r="AD444" s="1" t="s">
        <v>951</v>
      </c>
      <c r="AE444" s="1" t="s">
        <v>799</v>
      </c>
      <c r="AF444" s="1" t="s">
        <v>5870</v>
      </c>
      <c r="AG444" s="1" t="s">
        <v>5634</v>
      </c>
      <c r="AH444" s="1"/>
      <c r="AI444" s="1" t="s">
        <v>5870</v>
      </c>
      <c r="AJ444" s="51" t="s">
        <v>5871</v>
      </c>
      <c r="AK444" s="1" t="s">
        <v>5385</v>
      </c>
    </row>
    <row r="445" spans="30:37" hidden="1" outlineLevel="1">
      <c r="AD445" s="1" t="s">
        <v>951</v>
      </c>
      <c r="AE445" s="1" t="s">
        <v>800</v>
      </c>
      <c r="AF445" s="1" t="s">
        <v>5872</v>
      </c>
      <c r="AG445" s="1" t="s">
        <v>5873</v>
      </c>
      <c r="AH445" s="1"/>
      <c r="AI445" s="1" t="s">
        <v>5872</v>
      </c>
      <c r="AJ445" s="51" t="s">
        <v>5874</v>
      </c>
      <c r="AK445" s="1" t="s">
        <v>5875</v>
      </c>
    </row>
    <row r="446" spans="30:37" hidden="1" outlineLevel="1">
      <c r="AD446" s="1" t="s">
        <v>951</v>
      </c>
      <c r="AE446" s="1" t="s">
        <v>801</v>
      </c>
      <c r="AF446" s="1" t="s">
        <v>5876</v>
      </c>
      <c r="AG446" s="1" t="s">
        <v>5877</v>
      </c>
      <c r="AH446" s="1"/>
      <c r="AI446" s="1" t="s">
        <v>5876</v>
      </c>
      <c r="AJ446" s="51" t="s">
        <v>5878</v>
      </c>
      <c r="AK446" s="1" t="s">
        <v>5879</v>
      </c>
    </row>
    <row r="447" spans="30:37" hidden="1" outlineLevel="1">
      <c r="AD447" s="1" t="s">
        <v>951</v>
      </c>
      <c r="AE447" s="1" t="s">
        <v>802</v>
      </c>
      <c r="AF447" s="1" t="s">
        <v>5880</v>
      </c>
      <c r="AG447" s="1" t="s">
        <v>5881</v>
      </c>
      <c r="AH447" s="1"/>
      <c r="AI447" s="1" t="s">
        <v>5880</v>
      </c>
      <c r="AJ447" s="51" t="s">
        <v>5882</v>
      </c>
      <c r="AK447" s="1" t="s">
        <v>5883</v>
      </c>
    </row>
    <row r="448" spans="30:37" hidden="1" outlineLevel="1">
      <c r="AD448" s="1" t="s">
        <v>951</v>
      </c>
      <c r="AE448" s="1" t="s">
        <v>803</v>
      </c>
      <c r="AF448" s="1" t="s">
        <v>5884</v>
      </c>
      <c r="AG448" s="1" t="s">
        <v>5885</v>
      </c>
      <c r="AH448" s="1"/>
      <c r="AI448" s="1" t="s">
        <v>5884</v>
      </c>
      <c r="AJ448" s="51" t="s">
        <v>5886</v>
      </c>
      <c r="AK448" s="1" t="s">
        <v>5887</v>
      </c>
    </row>
    <row r="449" spans="30:37" hidden="1" outlineLevel="1">
      <c r="AD449" s="1" t="s">
        <v>951</v>
      </c>
      <c r="AE449" s="1" t="s">
        <v>804</v>
      </c>
      <c r="AF449" s="1" t="s">
        <v>5888</v>
      </c>
      <c r="AG449" s="1" t="s">
        <v>5889</v>
      </c>
      <c r="AH449" s="1"/>
      <c r="AI449" s="1" t="s">
        <v>5888</v>
      </c>
      <c r="AJ449" s="51" t="s">
        <v>5890</v>
      </c>
      <c r="AK449" s="1" t="s">
        <v>5890</v>
      </c>
    </row>
    <row r="450" spans="30:37" hidden="1" outlineLevel="1">
      <c r="AD450" s="1" t="s">
        <v>951</v>
      </c>
      <c r="AE450" s="1" t="s">
        <v>805</v>
      </c>
      <c r="AF450" s="1" t="s">
        <v>5891</v>
      </c>
      <c r="AG450" s="1" t="s">
        <v>5892</v>
      </c>
      <c r="AH450" s="1"/>
      <c r="AI450" s="1" t="s">
        <v>5891</v>
      </c>
      <c r="AJ450" s="51" t="s">
        <v>5893</v>
      </c>
      <c r="AK450" s="1" t="s">
        <v>5690</v>
      </c>
    </row>
    <row r="451" spans="30:37" hidden="1" outlineLevel="1">
      <c r="AD451" s="1" t="s">
        <v>951</v>
      </c>
      <c r="AE451" s="1" t="s">
        <v>806</v>
      </c>
      <c r="AF451" s="1" t="s">
        <v>5894</v>
      </c>
      <c r="AG451" s="1" t="s">
        <v>5895</v>
      </c>
      <c r="AH451" s="1"/>
      <c r="AI451" s="1" t="s">
        <v>5894</v>
      </c>
      <c r="AJ451" s="51" t="s">
        <v>5896</v>
      </c>
      <c r="AK451" s="1" t="s">
        <v>5089</v>
      </c>
    </row>
    <row r="452" spans="30:37" hidden="1" outlineLevel="1">
      <c r="AD452" s="1" t="s">
        <v>951</v>
      </c>
      <c r="AE452" s="1" t="s">
        <v>807</v>
      </c>
      <c r="AF452" s="1" t="s">
        <v>5897</v>
      </c>
      <c r="AG452" s="1" t="s">
        <v>5898</v>
      </c>
      <c r="AH452" s="1"/>
      <c r="AI452" s="1" t="s">
        <v>5897</v>
      </c>
      <c r="AJ452" s="51" t="s">
        <v>5899</v>
      </c>
      <c r="AK452" s="1" t="s">
        <v>5900</v>
      </c>
    </row>
    <row r="453" spans="30:37" hidden="1" outlineLevel="1">
      <c r="AD453" s="1" t="s">
        <v>951</v>
      </c>
      <c r="AE453" s="1" t="s">
        <v>233</v>
      </c>
      <c r="AF453" s="1" t="s">
        <v>5901</v>
      </c>
      <c r="AG453" s="1" t="s">
        <v>5902</v>
      </c>
      <c r="AH453" s="1"/>
      <c r="AI453" s="1" t="s">
        <v>5901</v>
      </c>
      <c r="AJ453" s="51" t="s">
        <v>5903</v>
      </c>
      <c r="AK453" s="1" t="s">
        <v>5904</v>
      </c>
    </row>
    <row r="454" spans="30:37" hidden="1" outlineLevel="1">
      <c r="AD454" s="1" t="s">
        <v>951</v>
      </c>
      <c r="AE454" s="1" t="s">
        <v>234</v>
      </c>
      <c r="AF454" s="1" t="s">
        <v>5905</v>
      </c>
      <c r="AG454" s="1" t="s">
        <v>5906</v>
      </c>
      <c r="AH454" s="1"/>
      <c r="AI454" s="1" t="s">
        <v>5905</v>
      </c>
      <c r="AJ454" s="51" t="s">
        <v>5907</v>
      </c>
      <c r="AK454" s="1" t="s">
        <v>5612</v>
      </c>
    </row>
    <row r="455" spans="30:37" hidden="1" outlineLevel="1">
      <c r="AD455" s="1" t="s">
        <v>951</v>
      </c>
      <c r="AE455" s="1" t="s">
        <v>235</v>
      </c>
      <c r="AF455" s="1" t="s">
        <v>5908</v>
      </c>
      <c r="AG455" s="1" t="s">
        <v>4882</v>
      </c>
      <c r="AH455" s="1"/>
      <c r="AI455" s="1" t="s">
        <v>5908</v>
      </c>
      <c r="AJ455" s="51" t="s">
        <v>5909</v>
      </c>
      <c r="AK455" s="1" t="s">
        <v>5642</v>
      </c>
    </row>
    <row r="456" spans="30:37" hidden="1" outlineLevel="1">
      <c r="AD456" s="1" t="s">
        <v>951</v>
      </c>
      <c r="AE456" s="1" t="s">
        <v>236</v>
      </c>
      <c r="AF456" s="1" t="s">
        <v>5910</v>
      </c>
      <c r="AG456" s="1" t="s">
        <v>5911</v>
      </c>
      <c r="AH456" s="1"/>
      <c r="AI456" s="1" t="s">
        <v>5910</v>
      </c>
      <c r="AJ456" s="51" t="s">
        <v>5912</v>
      </c>
      <c r="AK456" s="1" t="s">
        <v>5913</v>
      </c>
    </row>
    <row r="457" spans="30:37" hidden="1" outlineLevel="1">
      <c r="AD457" s="1" t="s">
        <v>951</v>
      </c>
      <c r="AE457" s="1" t="s">
        <v>237</v>
      </c>
      <c r="AF457" s="1" t="s">
        <v>5914</v>
      </c>
      <c r="AG457" s="1" t="s">
        <v>4987</v>
      </c>
      <c r="AH457" s="1"/>
      <c r="AI457" s="1" t="s">
        <v>5914</v>
      </c>
      <c r="AJ457" s="51" t="s">
        <v>5915</v>
      </c>
      <c r="AK457" s="1" t="s">
        <v>5916</v>
      </c>
    </row>
    <row r="458" spans="30:37" hidden="1" outlineLevel="1">
      <c r="AD458" s="1" t="s">
        <v>951</v>
      </c>
      <c r="AE458" s="1" t="s">
        <v>238</v>
      </c>
      <c r="AF458" s="1" t="s">
        <v>5917</v>
      </c>
      <c r="AG458" s="1" t="s">
        <v>4815</v>
      </c>
      <c r="AH458" s="1"/>
      <c r="AI458" s="1" t="s">
        <v>5917</v>
      </c>
      <c r="AJ458" s="51" t="s">
        <v>5918</v>
      </c>
      <c r="AK458" s="1" t="s">
        <v>5639</v>
      </c>
    </row>
    <row r="459" spans="30:37" hidden="1" outlineLevel="1">
      <c r="AD459" s="1" t="s">
        <v>951</v>
      </c>
      <c r="AE459" s="1" t="s">
        <v>239</v>
      </c>
      <c r="AF459" s="1" t="s">
        <v>5919</v>
      </c>
      <c r="AG459" s="1" t="s">
        <v>5028</v>
      </c>
      <c r="AH459" s="1"/>
      <c r="AI459" s="1" t="s">
        <v>5919</v>
      </c>
      <c r="AJ459" s="51" t="s">
        <v>5920</v>
      </c>
      <c r="AK459" s="1" t="s">
        <v>5921</v>
      </c>
    </row>
    <row r="460" spans="30:37" hidden="1" outlineLevel="1">
      <c r="AD460" s="1" t="s">
        <v>951</v>
      </c>
      <c r="AE460" s="1" t="s">
        <v>240</v>
      </c>
      <c r="AF460" s="1" t="s">
        <v>5922</v>
      </c>
      <c r="AG460" s="1" t="s">
        <v>5923</v>
      </c>
      <c r="AH460" s="1"/>
      <c r="AI460" s="1" t="s">
        <v>5922</v>
      </c>
      <c r="AJ460" s="51" t="s">
        <v>5924</v>
      </c>
      <c r="AK460" s="1" t="s">
        <v>5779</v>
      </c>
    </row>
    <row r="461" spans="30:37" hidden="1" outlineLevel="1">
      <c r="AD461" s="1" t="s">
        <v>951</v>
      </c>
      <c r="AE461" s="1" t="s">
        <v>241</v>
      </c>
      <c r="AF461" s="1" t="s">
        <v>5925</v>
      </c>
      <c r="AG461" s="1" t="s">
        <v>5201</v>
      </c>
      <c r="AH461" s="1"/>
      <c r="AI461" s="1" t="s">
        <v>5925</v>
      </c>
      <c r="AJ461" s="51" t="s">
        <v>5926</v>
      </c>
      <c r="AK461" s="1" t="s">
        <v>4595</v>
      </c>
    </row>
    <row r="462" spans="30:37" hidden="1" outlineLevel="1">
      <c r="AD462" s="1" t="s">
        <v>951</v>
      </c>
      <c r="AE462" s="1" t="s">
        <v>242</v>
      </c>
      <c r="AF462" s="1" t="s">
        <v>5927</v>
      </c>
      <c r="AG462" s="1" t="s">
        <v>5928</v>
      </c>
      <c r="AH462" s="1"/>
      <c r="AI462" s="1" t="s">
        <v>5927</v>
      </c>
      <c r="AJ462" s="51" t="s">
        <v>5929</v>
      </c>
      <c r="AK462" s="1" t="s">
        <v>5930</v>
      </c>
    </row>
    <row r="463" spans="30:37" hidden="1" outlineLevel="1">
      <c r="AD463" s="1" t="s">
        <v>951</v>
      </c>
      <c r="AE463" s="1" t="s">
        <v>243</v>
      </c>
      <c r="AF463" s="1" t="s">
        <v>5931</v>
      </c>
      <c r="AG463" s="1" t="s">
        <v>4526</v>
      </c>
      <c r="AH463" s="1"/>
      <c r="AI463" s="1" t="s">
        <v>5931</v>
      </c>
      <c r="AJ463" s="51" t="s">
        <v>5932</v>
      </c>
      <c r="AK463" s="1" t="s">
        <v>4721</v>
      </c>
    </row>
    <row r="464" spans="30:37" hidden="1" outlineLevel="1">
      <c r="AD464" s="1" t="s">
        <v>951</v>
      </c>
      <c r="AE464" s="1" t="s">
        <v>244</v>
      </c>
      <c r="AF464" s="1" t="s">
        <v>5933</v>
      </c>
      <c r="AG464" s="1" t="s">
        <v>4109</v>
      </c>
      <c r="AH464" s="1"/>
      <c r="AI464" s="1" t="s">
        <v>5933</v>
      </c>
      <c r="AJ464" s="51" t="s">
        <v>5934</v>
      </c>
      <c r="AK464" s="1" t="s">
        <v>4771</v>
      </c>
    </row>
    <row r="465" spans="30:37" hidden="1" outlineLevel="1">
      <c r="AD465" s="1" t="s">
        <v>951</v>
      </c>
      <c r="AE465" s="1" t="s">
        <v>245</v>
      </c>
      <c r="AF465" s="1" t="s">
        <v>5935</v>
      </c>
      <c r="AG465" s="1" t="s">
        <v>5822</v>
      </c>
      <c r="AH465" s="1"/>
      <c r="AI465" s="1" t="s">
        <v>5935</v>
      </c>
      <c r="AJ465" s="51" t="s">
        <v>5936</v>
      </c>
      <c r="AK465" s="1" t="s">
        <v>5820</v>
      </c>
    </row>
    <row r="466" spans="30:37" hidden="1" outlineLevel="1">
      <c r="AD466" s="1" t="s">
        <v>951</v>
      </c>
      <c r="AE466" s="1" t="s">
        <v>246</v>
      </c>
      <c r="AF466" s="1" t="s">
        <v>5937</v>
      </c>
      <c r="AG466" s="1" t="s">
        <v>5938</v>
      </c>
      <c r="AH466" s="1"/>
      <c r="AI466" s="1" t="s">
        <v>5937</v>
      </c>
      <c r="AJ466" s="51" t="s">
        <v>5939</v>
      </c>
      <c r="AK466" s="1" t="s">
        <v>5940</v>
      </c>
    </row>
    <row r="467" spans="30:37" hidden="1" outlineLevel="1">
      <c r="AD467" s="1" t="s">
        <v>951</v>
      </c>
      <c r="AE467" s="1" t="s">
        <v>247</v>
      </c>
      <c r="AF467" s="1" t="s">
        <v>5941</v>
      </c>
      <c r="AG467" s="1" t="s">
        <v>5942</v>
      </c>
      <c r="AH467" s="1"/>
      <c r="AI467" s="1" t="s">
        <v>5941</v>
      </c>
      <c r="AJ467" s="51" t="s">
        <v>5943</v>
      </c>
      <c r="AK467" s="1" t="s">
        <v>5944</v>
      </c>
    </row>
    <row r="468" spans="30:37" hidden="1" outlineLevel="1">
      <c r="AD468" s="1" t="s">
        <v>951</v>
      </c>
      <c r="AE468" s="1" t="s">
        <v>248</v>
      </c>
      <c r="AF468" s="1" t="s">
        <v>5945</v>
      </c>
      <c r="AG468" s="1" t="s">
        <v>5946</v>
      </c>
      <c r="AH468" s="1"/>
      <c r="AI468" s="1" t="s">
        <v>5945</v>
      </c>
      <c r="AJ468" s="51" t="s">
        <v>5947</v>
      </c>
      <c r="AK468" s="1" t="s">
        <v>5948</v>
      </c>
    </row>
    <row r="469" spans="30:37" hidden="1" outlineLevel="1">
      <c r="AD469" s="1" t="s">
        <v>951</v>
      </c>
      <c r="AE469" s="1" t="s">
        <v>249</v>
      </c>
      <c r="AF469" s="1" t="s">
        <v>5949</v>
      </c>
      <c r="AG469" s="1" t="s">
        <v>5737</v>
      </c>
      <c r="AH469" s="1"/>
      <c r="AI469" s="1" t="s">
        <v>5949</v>
      </c>
      <c r="AJ469" s="51" t="s">
        <v>5950</v>
      </c>
      <c r="AK469" s="1" t="s">
        <v>5951</v>
      </c>
    </row>
    <row r="470" spans="30:37" hidden="1" outlineLevel="1">
      <c r="AD470" s="1" t="s">
        <v>951</v>
      </c>
      <c r="AE470" s="1" t="s">
        <v>250</v>
      </c>
      <c r="AF470" s="1" t="s">
        <v>5952</v>
      </c>
      <c r="AG470" s="1" t="s">
        <v>5953</v>
      </c>
      <c r="AH470" s="1"/>
      <c r="AI470" s="1" t="s">
        <v>5952</v>
      </c>
      <c r="AJ470" s="51" t="s">
        <v>5954</v>
      </c>
      <c r="AK470" s="1" t="s">
        <v>5955</v>
      </c>
    </row>
    <row r="471" spans="30:37" hidden="1" outlineLevel="1">
      <c r="AD471" s="1" t="s">
        <v>951</v>
      </c>
      <c r="AE471" s="1" t="s">
        <v>251</v>
      </c>
      <c r="AF471" s="1" t="s">
        <v>5956</v>
      </c>
      <c r="AG471" s="1" t="s">
        <v>5957</v>
      </c>
      <c r="AH471" s="1"/>
      <c r="AI471" s="1" t="s">
        <v>5956</v>
      </c>
      <c r="AJ471" s="51" t="s">
        <v>5958</v>
      </c>
      <c r="AK471" s="1" t="s">
        <v>4331</v>
      </c>
    </row>
    <row r="472" spans="30:37" hidden="1" outlineLevel="1">
      <c r="AD472" s="1" t="s">
        <v>951</v>
      </c>
      <c r="AE472" s="1" t="s">
        <v>252</v>
      </c>
      <c r="AF472" s="1" t="s">
        <v>5959</v>
      </c>
      <c r="AG472" s="1" t="s">
        <v>5960</v>
      </c>
      <c r="AH472" s="1"/>
      <c r="AI472" s="1" t="s">
        <v>5959</v>
      </c>
      <c r="AJ472" s="51" t="s">
        <v>5961</v>
      </c>
      <c r="AK472" s="1" t="s">
        <v>5962</v>
      </c>
    </row>
    <row r="473" spans="30:37" hidden="1" outlineLevel="1">
      <c r="AD473" s="1" t="s">
        <v>951</v>
      </c>
      <c r="AE473" s="1" t="s">
        <v>253</v>
      </c>
      <c r="AF473" s="1" t="s">
        <v>5963</v>
      </c>
      <c r="AG473" s="1" t="s">
        <v>5964</v>
      </c>
      <c r="AH473" s="1"/>
      <c r="AI473" s="1" t="s">
        <v>5963</v>
      </c>
      <c r="AJ473" s="51" t="s">
        <v>5965</v>
      </c>
      <c r="AK473" s="1" t="s">
        <v>5966</v>
      </c>
    </row>
    <row r="474" spans="30:37" hidden="1" outlineLevel="1">
      <c r="AD474" s="1" t="s">
        <v>951</v>
      </c>
      <c r="AE474" s="1" t="s">
        <v>254</v>
      </c>
      <c r="AF474" s="1" t="s">
        <v>5967</v>
      </c>
      <c r="AG474" s="1" t="s">
        <v>5968</v>
      </c>
      <c r="AH474" s="1"/>
      <c r="AI474" s="1" t="s">
        <v>5967</v>
      </c>
      <c r="AJ474" s="51" t="s">
        <v>5969</v>
      </c>
      <c r="AK474" s="1" t="s">
        <v>5970</v>
      </c>
    </row>
    <row r="475" spans="30:37" hidden="1" outlineLevel="1">
      <c r="AD475" s="1" t="s">
        <v>951</v>
      </c>
      <c r="AE475" s="1" t="s">
        <v>255</v>
      </c>
      <c r="AF475" s="1" t="s">
        <v>5971</v>
      </c>
      <c r="AG475" s="1" t="s">
        <v>5970</v>
      </c>
      <c r="AH475" s="1"/>
      <c r="AI475" s="1" t="s">
        <v>5971</v>
      </c>
      <c r="AJ475" s="51" t="s">
        <v>5972</v>
      </c>
      <c r="AK475" s="1" t="s">
        <v>5973</v>
      </c>
    </row>
    <row r="476" spans="30:37" hidden="1" outlineLevel="1">
      <c r="AD476" s="1" t="s">
        <v>951</v>
      </c>
      <c r="AE476" s="1" t="s">
        <v>256</v>
      </c>
      <c r="AF476" s="1" t="s">
        <v>5974</v>
      </c>
      <c r="AG476" s="1" t="s">
        <v>4093</v>
      </c>
      <c r="AH476" s="1"/>
      <c r="AI476" s="1" t="s">
        <v>5974</v>
      </c>
      <c r="AJ476" s="51" t="s">
        <v>5975</v>
      </c>
      <c r="AK476" s="1" t="s">
        <v>4386</v>
      </c>
    </row>
    <row r="477" spans="30:37" collapsed="1"/>
    <row r="478" spans="30:37">
      <c r="AD478" s="803" t="s">
        <v>5979</v>
      </c>
      <c r="AE478" s="803"/>
      <c r="AF478" s="803"/>
      <c r="AG478" s="803"/>
      <c r="AH478" s="803"/>
      <c r="AI478" s="803"/>
      <c r="AJ478" s="803"/>
      <c r="AK478" s="803"/>
    </row>
    <row r="479" spans="30:37" hidden="1" outlineLevel="1">
      <c r="AD479" s="635" t="s">
        <v>5978</v>
      </c>
      <c r="AE479" s="635"/>
      <c r="AF479" s="635" t="s">
        <v>4128</v>
      </c>
      <c r="AG479" s="635" t="s">
        <v>4129</v>
      </c>
      <c r="AH479" s="635"/>
      <c r="AI479" s="635" t="s">
        <v>4130</v>
      </c>
      <c r="AJ479" s="635" t="s">
        <v>4131</v>
      </c>
    </row>
    <row r="480" spans="30:37" hidden="1" outlineLevel="1">
      <c r="AD480" s="1" t="s">
        <v>924</v>
      </c>
      <c r="AE480" s="1" t="s">
        <v>736</v>
      </c>
      <c r="AF480" s="1" t="s">
        <v>3000</v>
      </c>
      <c r="AG480" s="1" t="s">
        <v>4138</v>
      </c>
      <c r="AH480" s="1"/>
      <c r="AI480" s="1" t="s">
        <v>4139</v>
      </c>
      <c r="AJ480" s="1" t="s">
        <v>4140</v>
      </c>
    </row>
    <row r="481" spans="30:36" hidden="1" outlineLevel="1">
      <c r="AD481" s="1" t="s">
        <v>924</v>
      </c>
      <c r="AE481" s="1" t="s">
        <v>737</v>
      </c>
      <c r="AF481" s="1" t="s">
        <v>2997</v>
      </c>
      <c r="AG481" s="1" t="s">
        <v>4147</v>
      </c>
      <c r="AH481" s="1"/>
      <c r="AI481" s="1" t="s">
        <v>4148</v>
      </c>
      <c r="AJ481" s="1" t="s">
        <v>4149</v>
      </c>
    </row>
    <row r="482" spans="30:36" hidden="1" outlineLevel="1">
      <c r="AD482" s="1" t="s">
        <v>924</v>
      </c>
      <c r="AE482" s="1" t="s">
        <v>738</v>
      </c>
      <c r="AF482" s="1" t="s">
        <v>2994</v>
      </c>
      <c r="AG482" s="1" t="s">
        <v>4156</v>
      </c>
      <c r="AH482" s="1"/>
      <c r="AI482" s="1" t="s">
        <v>4157</v>
      </c>
      <c r="AJ482" s="1" t="s">
        <v>4158</v>
      </c>
    </row>
    <row r="483" spans="30:36" hidden="1" outlineLevel="1">
      <c r="AD483" s="1" t="s">
        <v>924</v>
      </c>
      <c r="AE483" s="1" t="s">
        <v>739</v>
      </c>
      <c r="AF483" s="1" t="s">
        <v>2992</v>
      </c>
      <c r="AG483" s="1" t="s">
        <v>4163</v>
      </c>
      <c r="AH483" s="1"/>
      <c r="AI483" s="1" t="s">
        <v>4164</v>
      </c>
      <c r="AJ483" s="1" t="s">
        <v>4165</v>
      </c>
    </row>
    <row r="484" spans="30:36" hidden="1" outlineLevel="1">
      <c r="AD484" s="1" t="s">
        <v>924</v>
      </c>
      <c r="AE484" s="1" t="s">
        <v>740</v>
      </c>
      <c r="AF484" s="1" t="s">
        <v>2990</v>
      </c>
      <c r="AG484" s="1" t="s">
        <v>4172</v>
      </c>
      <c r="AH484" s="1"/>
      <c r="AI484" s="1" t="s">
        <v>4173</v>
      </c>
      <c r="AJ484" s="1" t="s">
        <v>4174</v>
      </c>
    </row>
    <row r="485" spans="30:36" hidden="1" outlineLevel="1">
      <c r="AD485" s="1" t="s">
        <v>924</v>
      </c>
      <c r="AE485" s="1" t="s">
        <v>741</v>
      </c>
      <c r="AF485" s="1" t="s">
        <v>2988</v>
      </c>
      <c r="AG485" s="1" t="s">
        <v>4181</v>
      </c>
      <c r="AH485" s="1"/>
      <c r="AI485" s="1" t="s">
        <v>4182</v>
      </c>
      <c r="AJ485" s="1" t="s">
        <v>4183</v>
      </c>
    </row>
    <row r="486" spans="30:36" hidden="1" outlineLevel="1">
      <c r="AD486" s="1" t="s">
        <v>924</v>
      </c>
      <c r="AE486" s="1" t="s">
        <v>742</v>
      </c>
      <c r="AF486" s="1" t="s">
        <v>2986</v>
      </c>
      <c r="AG486" s="1" t="s">
        <v>4190</v>
      </c>
      <c r="AH486" s="1"/>
      <c r="AI486" s="1" t="s">
        <v>2670</v>
      </c>
      <c r="AJ486" s="1" t="s">
        <v>1468</v>
      </c>
    </row>
    <row r="487" spans="30:36" hidden="1" outlineLevel="1">
      <c r="AD487" s="1" t="s">
        <v>924</v>
      </c>
      <c r="AE487" s="1" t="s">
        <v>743</v>
      </c>
      <c r="AF487" s="1" t="s">
        <v>2983</v>
      </c>
      <c r="AG487" s="1" t="s">
        <v>4196</v>
      </c>
      <c r="AH487" s="1"/>
      <c r="AI487" s="1" t="s">
        <v>4197</v>
      </c>
      <c r="AJ487" s="1" t="s">
        <v>4198</v>
      </c>
    </row>
    <row r="488" spans="30:36" hidden="1" outlineLevel="1">
      <c r="AD488" s="1" t="s">
        <v>924</v>
      </c>
      <c r="AE488" s="1" t="s">
        <v>744</v>
      </c>
      <c r="AF488" s="1" t="s">
        <v>2980</v>
      </c>
      <c r="AG488" s="1" t="s">
        <v>4205</v>
      </c>
      <c r="AH488" s="1"/>
      <c r="AI488" s="1" t="s">
        <v>4206</v>
      </c>
      <c r="AJ488" s="1" t="s">
        <v>1502</v>
      </c>
    </row>
    <row r="489" spans="30:36" hidden="1" outlineLevel="1">
      <c r="AD489" s="1" t="s">
        <v>924</v>
      </c>
      <c r="AE489" s="1" t="s">
        <v>745</v>
      </c>
      <c r="AF489" s="1" t="s">
        <v>2977</v>
      </c>
      <c r="AG489" s="1" t="s">
        <v>4213</v>
      </c>
      <c r="AH489" s="1"/>
      <c r="AI489" s="1" t="s">
        <v>4214</v>
      </c>
      <c r="AJ489" s="1" t="s">
        <v>2535</v>
      </c>
    </row>
    <row r="490" spans="30:36" hidden="1" outlineLevel="1">
      <c r="AD490" s="1" t="s">
        <v>924</v>
      </c>
      <c r="AE490" s="1" t="s">
        <v>746</v>
      </c>
      <c r="AF490" s="1" t="s">
        <v>2974</v>
      </c>
      <c r="AG490" s="1" t="s">
        <v>4221</v>
      </c>
      <c r="AH490" s="1"/>
      <c r="AI490" s="1" t="s">
        <v>4222</v>
      </c>
      <c r="AJ490" s="1" t="s">
        <v>4223</v>
      </c>
    </row>
    <row r="491" spans="30:36" hidden="1" outlineLevel="1">
      <c r="AD491" s="1" t="s">
        <v>924</v>
      </c>
      <c r="AE491" s="1" t="s">
        <v>747</v>
      </c>
      <c r="AF491" s="1" t="s">
        <v>2971</v>
      </c>
      <c r="AG491" s="1" t="s">
        <v>4230</v>
      </c>
      <c r="AH491" s="1"/>
      <c r="AI491" s="1" t="s">
        <v>4231</v>
      </c>
      <c r="AJ491" s="1" t="s">
        <v>4232</v>
      </c>
    </row>
    <row r="492" spans="30:36" hidden="1" outlineLevel="1">
      <c r="AD492" s="1" t="s">
        <v>924</v>
      </c>
      <c r="AE492" s="1" t="s">
        <v>748</v>
      </c>
      <c r="AF492" s="1" t="s">
        <v>2968</v>
      </c>
      <c r="AG492" s="1" t="s">
        <v>4239</v>
      </c>
      <c r="AH492" s="1"/>
      <c r="AI492" s="1" t="s">
        <v>4240</v>
      </c>
      <c r="AJ492" s="1" t="s">
        <v>4241</v>
      </c>
    </row>
    <row r="493" spans="30:36" hidden="1" outlineLevel="1">
      <c r="AD493" s="1" t="s">
        <v>924</v>
      </c>
      <c r="AE493" s="1" t="s">
        <v>749</v>
      </c>
      <c r="AF493" s="1" t="s">
        <v>2965</v>
      </c>
      <c r="AG493" s="1" t="s">
        <v>4248</v>
      </c>
      <c r="AH493" s="1"/>
      <c r="AI493" s="1" t="s">
        <v>4249</v>
      </c>
      <c r="AJ493" s="1" t="s">
        <v>4250</v>
      </c>
    </row>
    <row r="494" spans="30:36" hidden="1" outlineLevel="1">
      <c r="AD494" s="1" t="s">
        <v>924</v>
      </c>
      <c r="AE494" s="1" t="s">
        <v>750</v>
      </c>
      <c r="AF494" s="1" t="s">
        <v>2962</v>
      </c>
      <c r="AG494" s="1" t="s">
        <v>4255</v>
      </c>
      <c r="AH494" s="1"/>
      <c r="AI494" s="1" t="s">
        <v>4256</v>
      </c>
      <c r="AJ494" s="1" t="s">
        <v>4257</v>
      </c>
    </row>
    <row r="495" spans="30:36" hidden="1" outlineLevel="1">
      <c r="AD495" s="1" t="s">
        <v>924</v>
      </c>
      <c r="AE495" s="1" t="s">
        <v>751</v>
      </c>
      <c r="AF495" s="1" t="s">
        <v>2959</v>
      </c>
      <c r="AG495" s="1" t="s">
        <v>2367</v>
      </c>
      <c r="AH495" s="1"/>
      <c r="AI495" s="1" t="s">
        <v>4264</v>
      </c>
      <c r="AJ495" s="1" t="s">
        <v>4265</v>
      </c>
    </row>
    <row r="496" spans="30:36" hidden="1" outlineLevel="1">
      <c r="AD496" s="1" t="s">
        <v>924</v>
      </c>
      <c r="AE496" s="1" t="s">
        <v>752</v>
      </c>
      <c r="AF496" s="1" t="s">
        <v>2956</v>
      </c>
      <c r="AG496" s="1" t="s">
        <v>4272</v>
      </c>
      <c r="AH496" s="1"/>
      <c r="AI496" s="1" t="s">
        <v>4273</v>
      </c>
      <c r="AJ496" s="1" t="s">
        <v>4274</v>
      </c>
    </row>
    <row r="497" spans="30:36" hidden="1" outlineLevel="1">
      <c r="AD497" s="1" t="s">
        <v>924</v>
      </c>
      <c r="AE497" s="1" t="s">
        <v>753</v>
      </c>
      <c r="AF497" s="1" t="s">
        <v>2953</v>
      </c>
      <c r="AG497" s="1" t="s">
        <v>4279</v>
      </c>
      <c r="AH497" s="1"/>
      <c r="AI497" s="1" t="s">
        <v>4280</v>
      </c>
      <c r="AJ497" s="1" t="s">
        <v>4281</v>
      </c>
    </row>
    <row r="498" spans="30:36" hidden="1" outlineLevel="1">
      <c r="AD498" s="1" t="s">
        <v>924</v>
      </c>
      <c r="AE498" s="1" t="s">
        <v>754</v>
      </c>
      <c r="AF498" s="1" t="s">
        <v>2950</v>
      </c>
      <c r="AG498" s="1" t="s">
        <v>4288</v>
      </c>
      <c r="AH498" s="1"/>
      <c r="AI498" s="1" t="s">
        <v>4289</v>
      </c>
      <c r="AJ498" s="1" t="s">
        <v>4290</v>
      </c>
    </row>
    <row r="499" spans="30:36" hidden="1" outlineLevel="1">
      <c r="AD499" s="1" t="s">
        <v>924</v>
      </c>
      <c r="AE499" s="1" t="s">
        <v>755</v>
      </c>
      <c r="AF499" s="1" t="s">
        <v>2947</v>
      </c>
      <c r="AG499" s="1" t="s">
        <v>4295</v>
      </c>
      <c r="AH499" s="1"/>
      <c r="AI499" s="1" t="s">
        <v>4296</v>
      </c>
      <c r="AJ499" s="1" t="s">
        <v>4297</v>
      </c>
    </row>
    <row r="500" spans="30:36" hidden="1" outlineLevel="1">
      <c r="AD500" s="1" t="s">
        <v>924</v>
      </c>
      <c r="AE500" s="1" t="s">
        <v>756</v>
      </c>
      <c r="AF500" s="1" t="s">
        <v>2944</v>
      </c>
      <c r="AG500" s="1" t="s">
        <v>4302</v>
      </c>
      <c r="AH500" s="1"/>
      <c r="AI500" s="1" t="s">
        <v>4303</v>
      </c>
      <c r="AJ500" s="1" t="s">
        <v>4304</v>
      </c>
    </row>
    <row r="501" spans="30:36" hidden="1" outlineLevel="1">
      <c r="AD501" s="1" t="s">
        <v>924</v>
      </c>
      <c r="AE501" s="1" t="s">
        <v>757</v>
      </c>
      <c r="AF501" s="1" t="s">
        <v>2941</v>
      </c>
      <c r="AG501" s="1" t="s">
        <v>4311</v>
      </c>
      <c r="AH501" s="1"/>
      <c r="AI501" s="1" t="s">
        <v>4312</v>
      </c>
      <c r="AJ501" s="1" t="s">
        <v>4313</v>
      </c>
    </row>
    <row r="502" spans="30:36" hidden="1" outlineLevel="1">
      <c r="AD502" s="1" t="s">
        <v>924</v>
      </c>
      <c r="AE502" s="1" t="s">
        <v>758</v>
      </c>
      <c r="AF502" s="1" t="s">
        <v>2938</v>
      </c>
      <c r="AG502" s="1" t="s">
        <v>4318</v>
      </c>
      <c r="AH502" s="1"/>
      <c r="AI502" s="1" t="s">
        <v>4319</v>
      </c>
      <c r="AJ502" s="1" t="s">
        <v>4320</v>
      </c>
    </row>
    <row r="503" spans="30:36" hidden="1" outlineLevel="1">
      <c r="AD503" s="1" t="s">
        <v>924</v>
      </c>
      <c r="AE503" s="1" t="s">
        <v>759</v>
      </c>
      <c r="AF503" s="1" t="s">
        <v>2935</v>
      </c>
      <c r="AG503" s="1" t="s">
        <v>4327</v>
      </c>
      <c r="AH503" s="1"/>
      <c r="AI503" s="1" t="s">
        <v>4328</v>
      </c>
      <c r="AJ503" s="1" t="s">
        <v>4329</v>
      </c>
    </row>
    <row r="504" spans="30:36" hidden="1" outlineLevel="1">
      <c r="AD504" s="1" t="s">
        <v>924</v>
      </c>
      <c r="AE504" s="1" t="s">
        <v>760</v>
      </c>
      <c r="AF504" s="1" t="s">
        <v>2932</v>
      </c>
      <c r="AG504" s="1" t="s">
        <v>4336</v>
      </c>
      <c r="AH504" s="1"/>
      <c r="AI504" s="1" t="s">
        <v>4337</v>
      </c>
      <c r="AJ504" s="1" t="s">
        <v>4138</v>
      </c>
    </row>
    <row r="505" spans="30:36" hidden="1" outlineLevel="1">
      <c r="AD505" s="1" t="s">
        <v>924</v>
      </c>
      <c r="AE505" s="1" t="s">
        <v>761</v>
      </c>
      <c r="AF505" s="1" t="s">
        <v>2924</v>
      </c>
      <c r="AG505" s="1" t="s">
        <v>4343</v>
      </c>
      <c r="AH505" s="1"/>
      <c r="AI505" s="1" t="s">
        <v>4344</v>
      </c>
      <c r="AJ505" s="1" t="s">
        <v>4147</v>
      </c>
    </row>
    <row r="506" spans="30:36" hidden="1" outlineLevel="1">
      <c r="AD506" s="1" t="s">
        <v>924</v>
      </c>
      <c r="AE506" s="1" t="s">
        <v>762</v>
      </c>
      <c r="AF506" s="1" t="s">
        <v>2916</v>
      </c>
      <c r="AG506" s="1" t="s">
        <v>4351</v>
      </c>
      <c r="AH506" s="1"/>
      <c r="AI506" s="1" t="s">
        <v>4352</v>
      </c>
      <c r="AJ506" s="1" t="s">
        <v>4156</v>
      </c>
    </row>
    <row r="507" spans="30:36" hidden="1" outlineLevel="1">
      <c r="AD507" s="1" t="s">
        <v>924</v>
      </c>
      <c r="AE507" s="1" t="s">
        <v>763</v>
      </c>
      <c r="AF507" s="1" t="s">
        <v>2909</v>
      </c>
      <c r="AG507" s="1" t="s">
        <v>4359</v>
      </c>
      <c r="AH507" s="1"/>
      <c r="AI507" s="1" t="s">
        <v>4360</v>
      </c>
      <c r="AJ507" s="1" t="s">
        <v>4163</v>
      </c>
    </row>
    <row r="508" spans="30:36" hidden="1" outlineLevel="1">
      <c r="AD508" s="1" t="s">
        <v>924</v>
      </c>
      <c r="AE508" s="1" t="s">
        <v>764</v>
      </c>
      <c r="AF508" s="1" t="s">
        <v>2901</v>
      </c>
      <c r="AG508" s="1" t="s">
        <v>4367</v>
      </c>
      <c r="AH508" s="1"/>
      <c r="AI508" s="1" t="s">
        <v>4368</v>
      </c>
      <c r="AJ508" s="1" t="s">
        <v>4172</v>
      </c>
    </row>
    <row r="509" spans="30:36" hidden="1" outlineLevel="1">
      <c r="AD509" s="1" t="s">
        <v>924</v>
      </c>
      <c r="AE509" s="1" t="s">
        <v>765</v>
      </c>
      <c r="AF509" s="1" t="s">
        <v>2894</v>
      </c>
      <c r="AG509" s="1" t="s">
        <v>4375</v>
      </c>
      <c r="AH509" s="1"/>
      <c r="AI509" s="1" t="s">
        <v>4376</v>
      </c>
      <c r="AJ509" s="1" t="s">
        <v>4181</v>
      </c>
    </row>
    <row r="510" spans="30:36" hidden="1" outlineLevel="1">
      <c r="AD510" s="1" t="s">
        <v>924</v>
      </c>
      <c r="AE510" s="1" t="s">
        <v>766</v>
      </c>
      <c r="AF510" s="1" t="s">
        <v>2887</v>
      </c>
      <c r="AG510" s="1" t="s">
        <v>4383</v>
      </c>
      <c r="AH510" s="1"/>
      <c r="AI510" s="1" t="s">
        <v>4384</v>
      </c>
      <c r="AJ510" s="1" t="s">
        <v>4190</v>
      </c>
    </row>
    <row r="511" spans="30:36" hidden="1" outlineLevel="1">
      <c r="AD511" s="1" t="s">
        <v>924</v>
      </c>
      <c r="AE511" s="1" t="s">
        <v>767</v>
      </c>
      <c r="AF511" s="1" t="s">
        <v>2879</v>
      </c>
      <c r="AG511" s="1" t="s">
        <v>4391</v>
      </c>
      <c r="AH511" s="1"/>
      <c r="AI511" s="1" t="s">
        <v>4392</v>
      </c>
      <c r="AJ511" s="1" t="s">
        <v>4196</v>
      </c>
    </row>
    <row r="512" spans="30:36" hidden="1" outlineLevel="1">
      <c r="AD512" s="1" t="s">
        <v>924</v>
      </c>
      <c r="AE512" s="1" t="s">
        <v>768</v>
      </c>
      <c r="AF512" s="1" t="s">
        <v>2871</v>
      </c>
      <c r="AG512" s="1" t="s">
        <v>4399</v>
      </c>
      <c r="AH512" s="1"/>
      <c r="AI512" s="1" t="s">
        <v>4400</v>
      </c>
      <c r="AJ512" s="1" t="s">
        <v>4205</v>
      </c>
    </row>
    <row r="513" spans="30:36" hidden="1" outlineLevel="1">
      <c r="AD513" s="1" t="s">
        <v>924</v>
      </c>
      <c r="AE513" s="1" t="s">
        <v>769</v>
      </c>
      <c r="AF513" s="1" t="s">
        <v>2863</v>
      </c>
      <c r="AG513" s="1" t="s">
        <v>4407</v>
      </c>
      <c r="AH513" s="1"/>
      <c r="AI513" s="1" t="s">
        <v>4408</v>
      </c>
      <c r="AJ513" s="1" t="s">
        <v>4213</v>
      </c>
    </row>
    <row r="514" spans="30:36" hidden="1" outlineLevel="1">
      <c r="AD514" s="1" t="s">
        <v>924</v>
      </c>
      <c r="AE514" s="1" t="s">
        <v>770</v>
      </c>
      <c r="AF514" s="1" t="s">
        <v>2856</v>
      </c>
      <c r="AG514" s="1" t="s">
        <v>4415</v>
      </c>
      <c r="AH514" s="1"/>
      <c r="AI514" s="1" t="s">
        <v>4416</v>
      </c>
      <c r="AJ514" s="1" t="s">
        <v>4221</v>
      </c>
    </row>
    <row r="515" spans="30:36" hidden="1" outlineLevel="1">
      <c r="AD515" s="1" t="s">
        <v>924</v>
      </c>
      <c r="AE515" s="1" t="s">
        <v>771</v>
      </c>
      <c r="AF515" s="1" t="s">
        <v>2848</v>
      </c>
      <c r="AG515" s="1" t="s">
        <v>4422</v>
      </c>
      <c r="AH515" s="1"/>
      <c r="AI515" s="1" t="s">
        <v>4423</v>
      </c>
      <c r="AJ515" s="1" t="s">
        <v>4230</v>
      </c>
    </row>
    <row r="516" spans="30:36" hidden="1" outlineLevel="1">
      <c r="AD516" s="1" t="s">
        <v>924</v>
      </c>
      <c r="AE516" s="1" t="s">
        <v>772</v>
      </c>
      <c r="AF516" s="1" t="s">
        <v>2841</v>
      </c>
      <c r="AG516" s="1" t="s">
        <v>4430</v>
      </c>
      <c r="AH516" s="1"/>
      <c r="AI516" s="1" t="s">
        <v>4431</v>
      </c>
      <c r="AJ516" s="1" t="s">
        <v>4239</v>
      </c>
    </row>
    <row r="517" spans="30:36" hidden="1" outlineLevel="1">
      <c r="AD517" s="1" t="s">
        <v>924</v>
      </c>
      <c r="AE517" s="1" t="s">
        <v>773</v>
      </c>
      <c r="AF517" s="1" t="s">
        <v>2833</v>
      </c>
      <c r="AG517" s="1" t="s">
        <v>4438</v>
      </c>
      <c r="AH517" s="1"/>
      <c r="AI517" s="1" t="s">
        <v>4439</v>
      </c>
      <c r="AJ517" s="1" t="s">
        <v>4248</v>
      </c>
    </row>
    <row r="518" spans="30:36" hidden="1" outlineLevel="1">
      <c r="AD518" s="1" t="s">
        <v>924</v>
      </c>
      <c r="AE518" s="1" t="s">
        <v>774</v>
      </c>
      <c r="AF518" s="1" t="s">
        <v>2825</v>
      </c>
      <c r="AG518" s="1" t="s">
        <v>4446</v>
      </c>
      <c r="AH518" s="1"/>
      <c r="AI518" s="1" t="s">
        <v>4447</v>
      </c>
      <c r="AJ518" s="1" t="s">
        <v>4255</v>
      </c>
    </row>
    <row r="519" spans="30:36" hidden="1" outlineLevel="1">
      <c r="AD519" s="1" t="s">
        <v>924</v>
      </c>
      <c r="AE519" s="1" t="s">
        <v>775</v>
      </c>
      <c r="AF519" s="1" t="s">
        <v>2818</v>
      </c>
      <c r="AG519" s="1" t="s">
        <v>4454</v>
      </c>
      <c r="AH519" s="1"/>
      <c r="AI519" s="1" t="s">
        <v>4455</v>
      </c>
      <c r="AJ519" s="1" t="s">
        <v>2367</v>
      </c>
    </row>
    <row r="520" spans="30:36" hidden="1" outlineLevel="1">
      <c r="AD520" s="1" t="s">
        <v>924</v>
      </c>
      <c r="AE520" s="1" t="s">
        <v>776</v>
      </c>
      <c r="AF520" s="1" t="s">
        <v>2810</v>
      </c>
      <c r="AG520" s="1" t="s">
        <v>4462</v>
      </c>
      <c r="AH520" s="1"/>
      <c r="AI520" s="1" t="s">
        <v>4463</v>
      </c>
      <c r="AJ520" s="1" t="s">
        <v>4272</v>
      </c>
    </row>
    <row r="521" spans="30:36" hidden="1" outlineLevel="1">
      <c r="AD521" s="1" t="s">
        <v>924</v>
      </c>
      <c r="AE521" s="1" t="s">
        <v>777</v>
      </c>
      <c r="AF521" s="1" t="s">
        <v>2802</v>
      </c>
      <c r="AG521" s="1" t="s">
        <v>4470</v>
      </c>
      <c r="AH521" s="1"/>
      <c r="AI521" s="1" t="s">
        <v>4471</v>
      </c>
      <c r="AJ521" s="1" t="s">
        <v>4279</v>
      </c>
    </row>
    <row r="522" spans="30:36" hidden="1" outlineLevel="1">
      <c r="AD522" s="1" t="s">
        <v>924</v>
      </c>
      <c r="AE522" s="1" t="s">
        <v>778</v>
      </c>
      <c r="AF522" s="1" t="s">
        <v>2794</v>
      </c>
      <c r="AG522" s="1" t="s">
        <v>4477</v>
      </c>
      <c r="AH522" s="1"/>
      <c r="AI522" s="1" t="s">
        <v>4478</v>
      </c>
      <c r="AJ522" s="1" t="s">
        <v>4288</v>
      </c>
    </row>
    <row r="523" spans="30:36" hidden="1" outlineLevel="1">
      <c r="AD523" s="1" t="s">
        <v>924</v>
      </c>
      <c r="AE523" s="1" t="s">
        <v>779</v>
      </c>
      <c r="AF523" s="1" t="s">
        <v>2787</v>
      </c>
      <c r="AG523" s="1" t="s">
        <v>4485</v>
      </c>
      <c r="AH523" s="1"/>
      <c r="AI523" s="1" t="s">
        <v>4486</v>
      </c>
      <c r="AJ523" s="1" t="s">
        <v>4295</v>
      </c>
    </row>
    <row r="524" spans="30:36" hidden="1" outlineLevel="1">
      <c r="AD524" s="1" t="s">
        <v>924</v>
      </c>
      <c r="AE524" s="1" t="s">
        <v>780</v>
      </c>
      <c r="AF524" s="1" t="s">
        <v>2780</v>
      </c>
      <c r="AG524" s="1" t="s">
        <v>4491</v>
      </c>
      <c r="AH524" s="1"/>
      <c r="AI524" s="1" t="s">
        <v>4492</v>
      </c>
      <c r="AJ524" s="1" t="s">
        <v>4302</v>
      </c>
    </row>
    <row r="525" spans="30:36" hidden="1" outlineLevel="1">
      <c r="AD525" s="1" t="s">
        <v>924</v>
      </c>
      <c r="AE525" s="1" t="s">
        <v>781</v>
      </c>
      <c r="AF525" s="1" t="s">
        <v>2773</v>
      </c>
      <c r="AG525" s="1" t="s">
        <v>4499</v>
      </c>
      <c r="AH525" s="1"/>
      <c r="AI525" s="1" t="s">
        <v>4500</v>
      </c>
      <c r="AJ525" s="1" t="s">
        <v>4311</v>
      </c>
    </row>
    <row r="526" spans="30:36" hidden="1" outlineLevel="1">
      <c r="AD526" s="1" t="s">
        <v>924</v>
      </c>
      <c r="AE526" s="1" t="s">
        <v>782</v>
      </c>
      <c r="AF526" s="1" t="s">
        <v>2766</v>
      </c>
      <c r="AG526" s="1" t="s">
        <v>4507</v>
      </c>
      <c r="AH526" s="1"/>
      <c r="AI526" s="1" t="s">
        <v>4508</v>
      </c>
      <c r="AJ526" s="1" t="s">
        <v>4318</v>
      </c>
    </row>
    <row r="527" spans="30:36" hidden="1" outlineLevel="1">
      <c r="AD527" s="1" t="s">
        <v>924</v>
      </c>
      <c r="AE527" s="1" t="s">
        <v>783</v>
      </c>
      <c r="AF527" s="1" t="s">
        <v>2759</v>
      </c>
      <c r="AG527" s="1" t="s">
        <v>4514</v>
      </c>
      <c r="AH527" s="1"/>
      <c r="AI527" s="1" t="s">
        <v>4515</v>
      </c>
      <c r="AJ527" s="1" t="s">
        <v>4327</v>
      </c>
    </row>
    <row r="528" spans="30:36" hidden="1" outlineLevel="1">
      <c r="AD528" s="1" t="s">
        <v>924</v>
      </c>
      <c r="AE528" s="1" t="s">
        <v>784</v>
      </c>
      <c r="AF528" s="1" t="s">
        <v>2998</v>
      </c>
      <c r="AG528" s="1" t="s">
        <v>4521</v>
      </c>
      <c r="AH528" s="1"/>
      <c r="AI528" s="1" t="s">
        <v>4522</v>
      </c>
      <c r="AJ528" s="1" t="s">
        <v>4336</v>
      </c>
    </row>
    <row r="529" spans="30:36" hidden="1" outlineLevel="1">
      <c r="AD529" s="1" t="s">
        <v>924</v>
      </c>
      <c r="AE529" s="1" t="s">
        <v>785</v>
      </c>
      <c r="AF529" s="1" t="s">
        <v>2995</v>
      </c>
      <c r="AG529" s="1" t="s">
        <v>4529</v>
      </c>
      <c r="AH529" s="1"/>
      <c r="AI529" s="1" t="s">
        <v>4530</v>
      </c>
      <c r="AJ529" s="1" t="s">
        <v>4343</v>
      </c>
    </row>
    <row r="530" spans="30:36" hidden="1" outlineLevel="1">
      <c r="AD530" s="1" t="s">
        <v>924</v>
      </c>
      <c r="AE530" s="1" t="s">
        <v>786</v>
      </c>
      <c r="AF530" s="1" t="s">
        <v>2993</v>
      </c>
      <c r="AG530" s="1" t="s">
        <v>4537</v>
      </c>
      <c r="AH530" s="1"/>
      <c r="AI530" s="1" t="s">
        <v>4538</v>
      </c>
      <c r="AJ530" s="1" t="s">
        <v>4351</v>
      </c>
    </row>
    <row r="531" spans="30:36" hidden="1" outlineLevel="1">
      <c r="AD531" s="1" t="s">
        <v>924</v>
      </c>
      <c r="AE531" s="1" t="s">
        <v>787</v>
      </c>
      <c r="AF531" s="1" t="s">
        <v>2991</v>
      </c>
      <c r="AG531" s="1" t="s">
        <v>4545</v>
      </c>
      <c r="AH531" s="1"/>
      <c r="AI531" s="1" t="s">
        <v>4546</v>
      </c>
      <c r="AJ531" s="1" t="s">
        <v>4359</v>
      </c>
    </row>
    <row r="532" spans="30:36" hidden="1" outlineLevel="1">
      <c r="AD532" s="1" t="s">
        <v>924</v>
      </c>
      <c r="AE532" s="1" t="s">
        <v>788</v>
      </c>
      <c r="AF532" s="1" t="s">
        <v>2989</v>
      </c>
      <c r="AG532" s="1" t="s">
        <v>4553</v>
      </c>
      <c r="AH532" s="1"/>
      <c r="AI532" s="1" t="s">
        <v>4554</v>
      </c>
      <c r="AJ532" s="1" t="s">
        <v>4367</v>
      </c>
    </row>
    <row r="533" spans="30:36" hidden="1" outlineLevel="1">
      <c r="AD533" s="1" t="s">
        <v>924</v>
      </c>
      <c r="AE533" s="1" t="s">
        <v>789</v>
      </c>
      <c r="AF533" s="1" t="s">
        <v>2987</v>
      </c>
      <c r="AG533" s="1" t="s">
        <v>4561</v>
      </c>
      <c r="AH533" s="1"/>
      <c r="AI533" s="1" t="s">
        <v>4562</v>
      </c>
      <c r="AJ533" s="1" t="s">
        <v>4375</v>
      </c>
    </row>
    <row r="534" spans="30:36" hidden="1" outlineLevel="1">
      <c r="AD534" s="1" t="s">
        <v>924</v>
      </c>
      <c r="AE534" s="1" t="s">
        <v>790</v>
      </c>
      <c r="AF534" s="1" t="s">
        <v>2984</v>
      </c>
      <c r="AG534" s="1" t="s">
        <v>4569</v>
      </c>
      <c r="AH534" s="1"/>
      <c r="AI534" s="1" t="s">
        <v>4570</v>
      </c>
      <c r="AJ534" s="1" t="s">
        <v>4383</v>
      </c>
    </row>
    <row r="535" spans="30:36" hidden="1" outlineLevel="1">
      <c r="AD535" s="1" t="s">
        <v>924</v>
      </c>
      <c r="AE535" s="1" t="s">
        <v>791</v>
      </c>
      <c r="AF535" s="1" t="s">
        <v>2981</v>
      </c>
      <c r="AG535" s="1" t="s">
        <v>4577</v>
      </c>
      <c r="AH535" s="1"/>
      <c r="AI535" s="1" t="s">
        <v>4578</v>
      </c>
      <c r="AJ535" s="1" t="s">
        <v>4391</v>
      </c>
    </row>
    <row r="536" spans="30:36" hidden="1" outlineLevel="1">
      <c r="AD536" s="1" t="s">
        <v>924</v>
      </c>
      <c r="AE536" s="1" t="s">
        <v>792</v>
      </c>
      <c r="AF536" s="1" t="s">
        <v>2978</v>
      </c>
      <c r="AG536" s="1" t="s">
        <v>4584</v>
      </c>
      <c r="AH536" s="1"/>
      <c r="AI536" s="1" t="s">
        <v>4585</v>
      </c>
      <c r="AJ536" s="1" t="s">
        <v>4399</v>
      </c>
    </row>
    <row r="537" spans="30:36" hidden="1" outlineLevel="1">
      <c r="AD537" s="1" t="s">
        <v>924</v>
      </c>
      <c r="AE537" s="1" t="s">
        <v>793</v>
      </c>
      <c r="AF537" s="1" t="s">
        <v>2975</v>
      </c>
      <c r="AG537" s="1" t="s">
        <v>4592</v>
      </c>
      <c r="AH537" s="1"/>
      <c r="AI537" s="1" t="s">
        <v>4593</v>
      </c>
      <c r="AJ537" s="1" t="s">
        <v>4407</v>
      </c>
    </row>
    <row r="538" spans="30:36" hidden="1" outlineLevel="1">
      <c r="AD538" s="1" t="s">
        <v>924</v>
      </c>
      <c r="AE538" s="1" t="s">
        <v>794</v>
      </c>
      <c r="AF538" s="1" t="s">
        <v>2972</v>
      </c>
      <c r="AG538" s="1" t="s">
        <v>4600</v>
      </c>
      <c r="AH538" s="1"/>
      <c r="AI538" s="1" t="s">
        <v>4601</v>
      </c>
      <c r="AJ538" s="1" t="s">
        <v>4415</v>
      </c>
    </row>
    <row r="539" spans="30:36" hidden="1" outlineLevel="1">
      <c r="AD539" s="1" t="s">
        <v>924</v>
      </c>
      <c r="AE539" s="1" t="s">
        <v>795</v>
      </c>
      <c r="AF539" s="1" t="s">
        <v>2969</v>
      </c>
      <c r="AG539" s="1" t="s">
        <v>4607</v>
      </c>
      <c r="AH539" s="1"/>
      <c r="AI539" s="1" t="s">
        <v>4608</v>
      </c>
      <c r="AJ539" s="1" t="s">
        <v>4422</v>
      </c>
    </row>
    <row r="540" spans="30:36" hidden="1" outlineLevel="1">
      <c r="AD540" s="1" t="s">
        <v>924</v>
      </c>
      <c r="AE540" s="1" t="s">
        <v>796</v>
      </c>
      <c r="AF540" s="1" t="s">
        <v>2966</v>
      </c>
      <c r="AG540" s="1" t="s">
        <v>4615</v>
      </c>
      <c r="AH540" s="1"/>
      <c r="AI540" s="1" t="s">
        <v>2347</v>
      </c>
      <c r="AJ540" s="1" t="s">
        <v>4430</v>
      </c>
    </row>
    <row r="541" spans="30:36" hidden="1" outlineLevel="1">
      <c r="AD541" s="1" t="s">
        <v>924</v>
      </c>
      <c r="AE541" s="1" t="s">
        <v>797</v>
      </c>
      <c r="AF541" s="1" t="s">
        <v>2963</v>
      </c>
      <c r="AG541" s="1" t="s">
        <v>4620</v>
      </c>
      <c r="AH541" s="1"/>
      <c r="AI541" s="1" t="s">
        <v>4621</v>
      </c>
      <c r="AJ541" s="1" t="s">
        <v>4438</v>
      </c>
    </row>
    <row r="542" spans="30:36" hidden="1" outlineLevel="1">
      <c r="AD542" s="1" t="s">
        <v>924</v>
      </c>
      <c r="AE542" s="1" t="s">
        <v>798</v>
      </c>
      <c r="AF542" s="1" t="s">
        <v>2960</v>
      </c>
      <c r="AG542" s="1" t="s">
        <v>4627</v>
      </c>
      <c r="AH542" s="1"/>
      <c r="AI542" s="1" t="s">
        <v>4628</v>
      </c>
      <c r="AJ542" s="1" t="s">
        <v>4446</v>
      </c>
    </row>
    <row r="543" spans="30:36" hidden="1" outlineLevel="1">
      <c r="AD543" s="1" t="s">
        <v>924</v>
      </c>
      <c r="AE543" s="1" t="s">
        <v>799</v>
      </c>
      <c r="AF543" s="1" t="s">
        <v>2957</v>
      </c>
      <c r="AG543" s="1" t="s">
        <v>4635</v>
      </c>
      <c r="AH543" s="1"/>
      <c r="AI543" s="1" t="s">
        <v>4636</v>
      </c>
      <c r="AJ543" s="1" t="s">
        <v>4454</v>
      </c>
    </row>
    <row r="544" spans="30:36" hidden="1" outlineLevel="1">
      <c r="AD544" s="1" t="s">
        <v>924</v>
      </c>
      <c r="AE544" s="1" t="s">
        <v>800</v>
      </c>
      <c r="AF544" s="1" t="s">
        <v>2954</v>
      </c>
      <c r="AG544" s="1" t="s">
        <v>4643</v>
      </c>
      <c r="AH544" s="1"/>
      <c r="AI544" s="1" t="s">
        <v>4644</v>
      </c>
      <c r="AJ544" s="1" t="s">
        <v>4462</v>
      </c>
    </row>
    <row r="545" spans="30:36" hidden="1" outlineLevel="1">
      <c r="AD545" s="1" t="s">
        <v>924</v>
      </c>
      <c r="AE545" s="1" t="s">
        <v>801</v>
      </c>
      <c r="AF545" s="1" t="s">
        <v>2951</v>
      </c>
      <c r="AG545" s="1" t="s">
        <v>4651</v>
      </c>
      <c r="AH545" s="1"/>
      <c r="AI545" s="1" t="s">
        <v>4652</v>
      </c>
      <c r="AJ545" s="1" t="s">
        <v>4470</v>
      </c>
    </row>
    <row r="546" spans="30:36" hidden="1" outlineLevel="1">
      <c r="AD546" s="1" t="s">
        <v>924</v>
      </c>
      <c r="AE546" s="1" t="s">
        <v>802</v>
      </c>
      <c r="AF546" s="1" t="s">
        <v>2948</v>
      </c>
      <c r="AG546" s="1" t="s">
        <v>4658</v>
      </c>
      <c r="AH546" s="1"/>
      <c r="AI546" s="1" t="s">
        <v>4659</v>
      </c>
      <c r="AJ546" s="1" t="s">
        <v>4477</v>
      </c>
    </row>
    <row r="547" spans="30:36" hidden="1" outlineLevel="1">
      <c r="AD547" s="1" t="s">
        <v>924</v>
      </c>
      <c r="AE547" s="1" t="s">
        <v>803</v>
      </c>
      <c r="AF547" s="1" t="s">
        <v>2945</v>
      </c>
      <c r="AG547" s="1" t="s">
        <v>4665</v>
      </c>
      <c r="AH547" s="1"/>
      <c r="AI547" s="1" t="s">
        <v>4666</v>
      </c>
      <c r="AJ547" s="1" t="s">
        <v>4485</v>
      </c>
    </row>
    <row r="548" spans="30:36" hidden="1" outlineLevel="1">
      <c r="AD548" s="1" t="s">
        <v>924</v>
      </c>
      <c r="AE548" s="1" t="s">
        <v>804</v>
      </c>
      <c r="AF548" s="1" t="s">
        <v>2942</v>
      </c>
      <c r="AG548" s="1" t="s">
        <v>4672</v>
      </c>
      <c r="AH548" s="1"/>
      <c r="AI548" s="1" t="s">
        <v>4673</v>
      </c>
      <c r="AJ548" s="1" t="s">
        <v>4491</v>
      </c>
    </row>
    <row r="549" spans="30:36" hidden="1" outlineLevel="1">
      <c r="AD549" s="1" t="s">
        <v>924</v>
      </c>
      <c r="AE549" s="1" t="s">
        <v>805</v>
      </c>
      <c r="AF549" s="1" t="s">
        <v>2939</v>
      </c>
      <c r="AG549" s="1" t="s">
        <v>4679</v>
      </c>
      <c r="AH549" s="1"/>
      <c r="AI549" s="1" t="s">
        <v>4680</v>
      </c>
      <c r="AJ549" s="1" t="s">
        <v>4499</v>
      </c>
    </row>
    <row r="550" spans="30:36" hidden="1" outlineLevel="1">
      <c r="AD550" s="1" t="s">
        <v>924</v>
      </c>
      <c r="AE550" s="1" t="s">
        <v>806</v>
      </c>
      <c r="AF550" s="1" t="s">
        <v>2936</v>
      </c>
      <c r="AG550" s="1" t="s">
        <v>4686</v>
      </c>
      <c r="AH550" s="1"/>
      <c r="AI550" s="1" t="s">
        <v>4687</v>
      </c>
      <c r="AJ550" s="1" t="s">
        <v>4507</v>
      </c>
    </row>
    <row r="551" spans="30:36" hidden="1" outlineLevel="1">
      <c r="AD551" s="1" t="s">
        <v>924</v>
      </c>
      <c r="AE551" s="1" t="s">
        <v>807</v>
      </c>
      <c r="AF551" s="1" t="s">
        <v>2934</v>
      </c>
      <c r="AG551" s="1" t="s">
        <v>4692</v>
      </c>
      <c r="AH551" s="1"/>
      <c r="AI551" s="1" t="s">
        <v>4693</v>
      </c>
      <c r="AJ551" s="1" t="s">
        <v>4514</v>
      </c>
    </row>
    <row r="552" spans="30:36" hidden="1" outlineLevel="1">
      <c r="AD552" s="1" t="s">
        <v>924</v>
      </c>
      <c r="AE552" s="1" t="s">
        <v>233</v>
      </c>
      <c r="AF552" s="1" t="s">
        <v>2928</v>
      </c>
      <c r="AG552" s="1" t="s">
        <v>4329</v>
      </c>
      <c r="AH552" s="1"/>
      <c r="AI552" s="1" t="s">
        <v>4698</v>
      </c>
      <c r="AJ552" s="1" t="s">
        <v>4521</v>
      </c>
    </row>
    <row r="553" spans="30:36" hidden="1" outlineLevel="1">
      <c r="AD553" s="1" t="s">
        <v>924</v>
      </c>
      <c r="AE553" s="1" t="s">
        <v>234</v>
      </c>
      <c r="AF553" s="1" t="s">
        <v>2920</v>
      </c>
      <c r="AG553" s="1" t="s">
        <v>4320</v>
      </c>
      <c r="AH553" s="1"/>
      <c r="AI553" s="1" t="s">
        <v>4705</v>
      </c>
      <c r="AJ553" s="1" t="s">
        <v>4529</v>
      </c>
    </row>
    <row r="554" spans="30:36" hidden="1" outlineLevel="1">
      <c r="AD554" s="1" t="s">
        <v>924</v>
      </c>
      <c r="AE554" s="1" t="s">
        <v>235</v>
      </c>
      <c r="AF554" s="1" t="s">
        <v>2913</v>
      </c>
      <c r="AG554" s="1" t="s">
        <v>4313</v>
      </c>
      <c r="AH554" s="1"/>
      <c r="AI554" s="1" t="s">
        <v>4712</v>
      </c>
      <c r="AJ554" s="1" t="s">
        <v>4537</v>
      </c>
    </row>
    <row r="555" spans="30:36" hidden="1" outlineLevel="1">
      <c r="AD555" s="1" t="s">
        <v>924</v>
      </c>
      <c r="AE555" s="1" t="s">
        <v>236</v>
      </c>
      <c r="AF555" s="1" t="s">
        <v>2905</v>
      </c>
      <c r="AG555" s="1" t="s">
        <v>4304</v>
      </c>
      <c r="AH555" s="1"/>
      <c r="AI555" s="1" t="s">
        <v>4719</v>
      </c>
      <c r="AJ555" s="1" t="s">
        <v>4545</v>
      </c>
    </row>
    <row r="556" spans="30:36" hidden="1" outlineLevel="1">
      <c r="AD556" s="1" t="s">
        <v>924</v>
      </c>
      <c r="AE556" s="1" t="s">
        <v>237</v>
      </c>
      <c r="AF556" s="1" t="s">
        <v>2897</v>
      </c>
      <c r="AG556" s="1" t="s">
        <v>4297</v>
      </c>
      <c r="AH556" s="1"/>
      <c r="AI556" s="1" t="s">
        <v>4725</v>
      </c>
      <c r="AJ556" s="1" t="s">
        <v>4553</v>
      </c>
    </row>
    <row r="557" spans="30:36" hidden="1" outlineLevel="1">
      <c r="AD557" s="1" t="s">
        <v>924</v>
      </c>
      <c r="AE557" s="1" t="s">
        <v>238</v>
      </c>
      <c r="AF557" s="1" t="s">
        <v>2891</v>
      </c>
      <c r="AG557" s="1" t="s">
        <v>4290</v>
      </c>
      <c r="AH557" s="1"/>
      <c r="AI557" s="1" t="s">
        <v>4732</v>
      </c>
      <c r="AJ557" s="1" t="s">
        <v>4561</v>
      </c>
    </row>
    <row r="558" spans="30:36" hidden="1" outlineLevel="1">
      <c r="AD558" s="1" t="s">
        <v>924</v>
      </c>
      <c r="AE558" s="1" t="s">
        <v>239</v>
      </c>
      <c r="AF558" s="1" t="s">
        <v>2883</v>
      </c>
      <c r="AG558" s="1" t="s">
        <v>4281</v>
      </c>
      <c r="AH558" s="1"/>
      <c r="AI558" s="1" t="s">
        <v>4739</v>
      </c>
      <c r="AJ558" s="1" t="s">
        <v>4569</v>
      </c>
    </row>
    <row r="559" spans="30:36" hidden="1" outlineLevel="1">
      <c r="AD559" s="1" t="s">
        <v>924</v>
      </c>
      <c r="AE559" s="1" t="s">
        <v>240</v>
      </c>
      <c r="AF559" s="1" t="s">
        <v>2875</v>
      </c>
      <c r="AG559" s="1" t="s">
        <v>4274</v>
      </c>
      <c r="AH559" s="1"/>
      <c r="AI559" s="1" t="s">
        <v>4745</v>
      </c>
      <c r="AJ559" s="1" t="s">
        <v>4577</v>
      </c>
    </row>
    <row r="560" spans="30:36" hidden="1" outlineLevel="1">
      <c r="AD560" s="1" t="s">
        <v>924</v>
      </c>
      <c r="AE560" s="1" t="s">
        <v>241</v>
      </c>
      <c r="AF560" s="1" t="s">
        <v>2867</v>
      </c>
      <c r="AG560" s="1" t="s">
        <v>4265</v>
      </c>
      <c r="AH560" s="1"/>
      <c r="AI560" s="1" t="s">
        <v>4751</v>
      </c>
      <c r="AJ560" s="1" t="s">
        <v>4584</v>
      </c>
    </row>
    <row r="561" spans="30:36" hidden="1" outlineLevel="1">
      <c r="AD561" s="1" t="s">
        <v>924</v>
      </c>
      <c r="AE561" s="1" t="s">
        <v>242</v>
      </c>
      <c r="AF561" s="1" t="s">
        <v>2859</v>
      </c>
      <c r="AG561" s="1" t="s">
        <v>4257</v>
      </c>
      <c r="AH561" s="1"/>
      <c r="AI561" s="1" t="s">
        <v>4757</v>
      </c>
      <c r="AJ561" s="1" t="s">
        <v>4592</v>
      </c>
    </row>
    <row r="562" spans="30:36" hidden="1" outlineLevel="1">
      <c r="AD562" s="1" t="s">
        <v>924</v>
      </c>
      <c r="AE562" s="1" t="s">
        <v>243</v>
      </c>
      <c r="AF562" s="1" t="s">
        <v>2852</v>
      </c>
      <c r="AG562" s="1" t="s">
        <v>4250</v>
      </c>
      <c r="AH562" s="1"/>
      <c r="AI562" s="1" t="s">
        <v>4763</v>
      </c>
      <c r="AJ562" s="1" t="s">
        <v>4600</v>
      </c>
    </row>
    <row r="563" spans="30:36" hidden="1" outlineLevel="1">
      <c r="AD563" s="1" t="s">
        <v>924</v>
      </c>
      <c r="AE563" s="1" t="s">
        <v>244</v>
      </c>
      <c r="AF563" s="1" t="s">
        <v>2844</v>
      </c>
      <c r="AG563" s="1" t="s">
        <v>4241</v>
      </c>
      <c r="AH563" s="1"/>
      <c r="AI563" s="1" t="s">
        <v>4769</v>
      </c>
      <c r="AJ563" s="1" t="s">
        <v>4607</v>
      </c>
    </row>
    <row r="564" spans="30:36" hidden="1" outlineLevel="1">
      <c r="AD564" s="1" t="s">
        <v>924</v>
      </c>
      <c r="AE564" s="1" t="s">
        <v>245</v>
      </c>
      <c r="AF564" s="1" t="s">
        <v>2837</v>
      </c>
      <c r="AG564" s="1" t="s">
        <v>4232</v>
      </c>
      <c r="AH564" s="1"/>
      <c r="AI564" s="1" t="s">
        <v>4775</v>
      </c>
      <c r="AJ564" s="1" t="s">
        <v>4615</v>
      </c>
    </row>
    <row r="565" spans="30:36" hidden="1" outlineLevel="1">
      <c r="AD565" s="1" t="s">
        <v>924</v>
      </c>
      <c r="AE565" s="1" t="s">
        <v>246</v>
      </c>
      <c r="AF565" s="1" t="s">
        <v>2829</v>
      </c>
      <c r="AG565" s="1" t="s">
        <v>4223</v>
      </c>
      <c r="AH565" s="1"/>
      <c r="AI565" s="1" t="s">
        <v>4782</v>
      </c>
      <c r="AJ565" s="1" t="s">
        <v>4620</v>
      </c>
    </row>
    <row r="566" spans="30:36" hidden="1" outlineLevel="1">
      <c r="AD566" s="1" t="s">
        <v>924</v>
      </c>
      <c r="AE566" s="1" t="s">
        <v>247</v>
      </c>
      <c r="AF566" s="1" t="s">
        <v>2822</v>
      </c>
      <c r="AG566" s="1" t="s">
        <v>2535</v>
      </c>
      <c r="AH566" s="1"/>
      <c r="AI566" s="1" t="s">
        <v>4789</v>
      </c>
      <c r="AJ566" s="1" t="s">
        <v>4627</v>
      </c>
    </row>
    <row r="567" spans="30:36" hidden="1" outlineLevel="1">
      <c r="AD567" s="1" t="s">
        <v>924</v>
      </c>
      <c r="AE567" s="1" t="s">
        <v>248</v>
      </c>
      <c r="AF567" s="1" t="s">
        <v>2814</v>
      </c>
      <c r="AG567" s="1" t="s">
        <v>1502</v>
      </c>
      <c r="AH567" s="1"/>
      <c r="AI567" s="1" t="s">
        <v>4794</v>
      </c>
      <c r="AJ567" s="1" t="s">
        <v>4635</v>
      </c>
    </row>
    <row r="568" spans="30:36" hidden="1" outlineLevel="1">
      <c r="AD568" s="1" t="s">
        <v>924</v>
      </c>
      <c r="AE568" s="1" t="s">
        <v>249</v>
      </c>
      <c r="AF568" s="1" t="s">
        <v>2806</v>
      </c>
      <c r="AG568" s="1" t="s">
        <v>4198</v>
      </c>
      <c r="AH568" s="1"/>
      <c r="AI568" s="1" t="s">
        <v>4800</v>
      </c>
      <c r="AJ568" s="1" t="s">
        <v>4643</v>
      </c>
    </row>
    <row r="569" spans="30:36" hidden="1" outlineLevel="1">
      <c r="AD569" s="1" t="s">
        <v>924</v>
      </c>
      <c r="AE569" s="1" t="s">
        <v>250</v>
      </c>
      <c r="AF569" s="1" t="s">
        <v>2798</v>
      </c>
      <c r="AG569" s="1" t="s">
        <v>1468</v>
      </c>
      <c r="AH569" s="1"/>
      <c r="AI569" s="1" t="s">
        <v>4806</v>
      </c>
      <c r="AJ569" s="1" t="s">
        <v>4651</v>
      </c>
    </row>
    <row r="570" spans="30:36" hidden="1" outlineLevel="1">
      <c r="AD570" s="1" t="s">
        <v>924</v>
      </c>
      <c r="AE570" s="1" t="s">
        <v>251</v>
      </c>
      <c r="AF570" s="1" t="s">
        <v>2791</v>
      </c>
      <c r="AG570" s="1" t="s">
        <v>4183</v>
      </c>
      <c r="AH570" s="1"/>
      <c r="AI570" s="1" t="s">
        <v>4812</v>
      </c>
      <c r="AJ570" s="1" t="s">
        <v>4658</v>
      </c>
    </row>
    <row r="571" spans="30:36" hidden="1" outlineLevel="1">
      <c r="AD571" s="1" t="s">
        <v>924</v>
      </c>
      <c r="AE571" s="1" t="s">
        <v>252</v>
      </c>
      <c r="AF571" s="1" t="s">
        <v>2784</v>
      </c>
      <c r="AG571" s="1" t="s">
        <v>4174</v>
      </c>
      <c r="AH571" s="1"/>
      <c r="AI571" s="1" t="s">
        <v>4818</v>
      </c>
      <c r="AJ571" s="1" t="s">
        <v>4665</v>
      </c>
    </row>
    <row r="572" spans="30:36" hidden="1" outlineLevel="1">
      <c r="AD572" s="1" t="s">
        <v>924</v>
      </c>
      <c r="AE572" s="1" t="s">
        <v>253</v>
      </c>
      <c r="AF572" s="1" t="s">
        <v>2777</v>
      </c>
      <c r="AG572" s="1" t="s">
        <v>4165</v>
      </c>
      <c r="AH572" s="1"/>
      <c r="AI572" s="1" t="s">
        <v>4825</v>
      </c>
      <c r="AJ572" s="1" t="s">
        <v>4672</v>
      </c>
    </row>
    <row r="573" spans="30:36" hidden="1" outlineLevel="1">
      <c r="AD573" s="1" t="s">
        <v>924</v>
      </c>
      <c r="AE573" s="1" t="s">
        <v>254</v>
      </c>
      <c r="AF573" s="1" t="s">
        <v>2770</v>
      </c>
      <c r="AG573" s="1" t="s">
        <v>4158</v>
      </c>
      <c r="AH573" s="1"/>
      <c r="AI573" s="1" t="s">
        <v>4832</v>
      </c>
      <c r="AJ573" s="1" t="s">
        <v>4679</v>
      </c>
    </row>
    <row r="574" spans="30:36" hidden="1" outlineLevel="1">
      <c r="AD574" s="1" t="s">
        <v>924</v>
      </c>
      <c r="AE574" s="1" t="s">
        <v>255</v>
      </c>
      <c r="AF574" s="1" t="s">
        <v>2763</v>
      </c>
      <c r="AG574" s="1" t="s">
        <v>4149</v>
      </c>
      <c r="AH574" s="1"/>
      <c r="AI574" s="1" t="s">
        <v>4836</v>
      </c>
      <c r="AJ574" s="1" t="s">
        <v>4686</v>
      </c>
    </row>
    <row r="575" spans="30:36" hidden="1" outlineLevel="1">
      <c r="AD575" s="1" t="s">
        <v>924</v>
      </c>
      <c r="AE575" s="1" t="s">
        <v>256</v>
      </c>
      <c r="AF575" s="1" t="s">
        <v>2756</v>
      </c>
      <c r="AG575" s="1" t="s">
        <v>4140</v>
      </c>
      <c r="AH575" s="1"/>
      <c r="AI575" s="1" t="s">
        <v>4843</v>
      </c>
      <c r="AJ575" s="1" t="s">
        <v>4692</v>
      </c>
    </row>
    <row r="576" spans="30:36" hidden="1" outlineLevel="1">
      <c r="AD576" s="1" t="s">
        <v>937</v>
      </c>
      <c r="AE576" s="1" t="s">
        <v>736</v>
      </c>
      <c r="AF576" s="1" t="s">
        <v>4848</v>
      </c>
      <c r="AG576" s="1" t="s">
        <v>4849</v>
      </c>
      <c r="AH576" s="1"/>
      <c r="AI576" s="1" t="s">
        <v>4850</v>
      </c>
      <c r="AJ576" s="1" t="s">
        <v>4851</v>
      </c>
    </row>
    <row r="577" spans="30:36" hidden="1" outlineLevel="1">
      <c r="AD577" s="1" t="s">
        <v>937</v>
      </c>
      <c r="AE577" s="1" t="s">
        <v>737</v>
      </c>
      <c r="AF577" s="1" t="s">
        <v>4856</v>
      </c>
      <c r="AG577" s="1" t="s">
        <v>4857</v>
      </c>
      <c r="AH577" s="1"/>
      <c r="AI577" s="1" t="s">
        <v>4858</v>
      </c>
      <c r="AJ577" s="1" t="s">
        <v>4859</v>
      </c>
    </row>
    <row r="578" spans="30:36" hidden="1" outlineLevel="1">
      <c r="AD578" s="1" t="s">
        <v>937</v>
      </c>
      <c r="AE578" s="1" t="s">
        <v>738</v>
      </c>
      <c r="AF578" s="1" t="s">
        <v>4863</v>
      </c>
      <c r="AG578" s="1" t="s">
        <v>4864</v>
      </c>
      <c r="AH578" s="1"/>
      <c r="AI578" s="1" t="s">
        <v>4865</v>
      </c>
      <c r="AJ578" s="1" t="s">
        <v>4866</v>
      </c>
    </row>
    <row r="579" spans="30:36" hidden="1" outlineLevel="1">
      <c r="AD579" s="1" t="s">
        <v>937</v>
      </c>
      <c r="AE579" s="1" t="s">
        <v>739</v>
      </c>
      <c r="AF579" s="1" t="s">
        <v>4869</v>
      </c>
      <c r="AG579" s="1" t="s">
        <v>4870</v>
      </c>
      <c r="AH579" s="1"/>
      <c r="AI579" s="1" t="s">
        <v>4871</v>
      </c>
      <c r="AJ579" s="1" t="s">
        <v>4872</v>
      </c>
    </row>
    <row r="580" spans="30:36" hidden="1" outlineLevel="1">
      <c r="AD580" s="1" t="s">
        <v>937</v>
      </c>
      <c r="AE580" s="1" t="s">
        <v>740</v>
      </c>
      <c r="AF580" s="1" t="s">
        <v>4876</v>
      </c>
      <c r="AG580" s="1" t="s">
        <v>4877</v>
      </c>
      <c r="AH580" s="1"/>
      <c r="AI580" s="1" t="s">
        <v>4878</v>
      </c>
      <c r="AJ580" s="1" t="s">
        <v>4879</v>
      </c>
    </row>
    <row r="581" spans="30:36" hidden="1" outlineLevel="1">
      <c r="AD581" s="1" t="s">
        <v>937</v>
      </c>
      <c r="AE581" s="1" t="s">
        <v>741</v>
      </c>
      <c r="AF581" s="1" t="s">
        <v>4883</v>
      </c>
      <c r="AG581" s="1" t="s">
        <v>4884</v>
      </c>
      <c r="AH581" s="1"/>
      <c r="AI581" s="1" t="s">
        <v>4885</v>
      </c>
      <c r="AJ581" s="1" t="s">
        <v>4886</v>
      </c>
    </row>
    <row r="582" spans="30:36" hidden="1" outlineLevel="1">
      <c r="AD582" s="1" t="s">
        <v>937</v>
      </c>
      <c r="AE582" s="1" t="s">
        <v>742</v>
      </c>
      <c r="AF582" s="1" t="s">
        <v>4891</v>
      </c>
      <c r="AG582" s="1" t="s">
        <v>4892</v>
      </c>
      <c r="AH582" s="1"/>
      <c r="AI582" s="1" t="s">
        <v>4893</v>
      </c>
      <c r="AJ582" s="1" t="s">
        <v>4894</v>
      </c>
    </row>
    <row r="583" spans="30:36" hidden="1" outlineLevel="1">
      <c r="AD583" s="1" t="s">
        <v>937</v>
      </c>
      <c r="AE583" s="1" t="s">
        <v>743</v>
      </c>
      <c r="AF583" s="1" t="s">
        <v>4898</v>
      </c>
      <c r="AG583" s="1" t="s">
        <v>4899</v>
      </c>
      <c r="AH583" s="1"/>
      <c r="AI583" s="1" t="s">
        <v>4900</v>
      </c>
      <c r="AJ583" s="1" t="s">
        <v>4901</v>
      </c>
    </row>
    <row r="584" spans="30:36" hidden="1" outlineLevel="1">
      <c r="AD584" s="1" t="s">
        <v>937</v>
      </c>
      <c r="AE584" s="1" t="s">
        <v>744</v>
      </c>
      <c r="AF584" s="1" t="s">
        <v>4905</v>
      </c>
      <c r="AG584" s="1" t="s">
        <v>4906</v>
      </c>
      <c r="AH584" s="1"/>
      <c r="AI584" s="1" t="s">
        <v>4907</v>
      </c>
      <c r="AJ584" s="1" t="s">
        <v>4908</v>
      </c>
    </row>
    <row r="585" spans="30:36" hidden="1" outlineLevel="1">
      <c r="AD585" s="1" t="s">
        <v>937</v>
      </c>
      <c r="AE585" s="1" t="s">
        <v>745</v>
      </c>
      <c r="AF585" s="1" t="s">
        <v>4911</v>
      </c>
      <c r="AG585" s="1" t="s">
        <v>4912</v>
      </c>
      <c r="AH585" s="1"/>
      <c r="AI585" s="1" t="s">
        <v>4913</v>
      </c>
      <c r="AJ585" s="1" t="s">
        <v>4914</v>
      </c>
    </row>
    <row r="586" spans="30:36" hidden="1" outlineLevel="1">
      <c r="AD586" s="1" t="s">
        <v>937</v>
      </c>
      <c r="AE586" s="1" t="s">
        <v>746</v>
      </c>
      <c r="AF586" s="1" t="s">
        <v>4919</v>
      </c>
      <c r="AG586" s="1" t="s">
        <v>4920</v>
      </c>
      <c r="AH586" s="1"/>
      <c r="AI586" s="1" t="s">
        <v>4921</v>
      </c>
      <c r="AJ586" s="1" t="s">
        <v>4922</v>
      </c>
    </row>
    <row r="587" spans="30:36" hidden="1" outlineLevel="1">
      <c r="AD587" s="1" t="s">
        <v>937</v>
      </c>
      <c r="AE587" s="1" t="s">
        <v>747</v>
      </c>
      <c r="AF587" s="1" t="s">
        <v>4926</v>
      </c>
      <c r="AG587" s="1" t="s">
        <v>2792</v>
      </c>
      <c r="AH587" s="1"/>
      <c r="AI587" s="1" t="s">
        <v>4927</v>
      </c>
      <c r="AJ587" s="1" t="s">
        <v>4928</v>
      </c>
    </row>
    <row r="588" spans="30:36" hidden="1" outlineLevel="1">
      <c r="AD588" s="1" t="s">
        <v>937</v>
      </c>
      <c r="AE588" s="1" t="s">
        <v>748</v>
      </c>
      <c r="AF588" s="1" t="s">
        <v>4932</v>
      </c>
      <c r="AG588" s="1" t="s">
        <v>4933</v>
      </c>
      <c r="AH588" s="1"/>
      <c r="AI588" s="1" t="s">
        <v>4934</v>
      </c>
      <c r="AJ588" s="1" t="s">
        <v>4935</v>
      </c>
    </row>
    <row r="589" spans="30:36" hidden="1" outlineLevel="1">
      <c r="AD589" s="1" t="s">
        <v>937</v>
      </c>
      <c r="AE589" s="1" t="s">
        <v>749</v>
      </c>
      <c r="AF589" s="1" t="s">
        <v>4939</v>
      </c>
      <c r="AG589" s="1" t="s">
        <v>4940</v>
      </c>
      <c r="AH589" s="1"/>
      <c r="AI589" s="1" t="s">
        <v>4941</v>
      </c>
      <c r="AJ589" s="1" t="s">
        <v>4942</v>
      </c>
    </row>
    <row r="590" spans="30:36" hidden="1" outlineLevel="1">
      <c r="AD590" s="1" t="s">
        <v>937</v>
      </c>
      <c r="AE590" s="1" t="s">
        <v>750</v>
      </c>
      <c r="AF590" s="1" t="s">
        <v>4946</v>
      </c>
      <c r="AG590" s="1" t="s">
        <v>4947</v>
      </c>
      <c r="AH590" s="1"/>
      <c r="AI590" s="1" t="s">
        <v>4948</v>
      </c>
      <c r="AJ590" s="1" t="s">
        <v>4949</v>
      </c>
    </row>
    <row r="591" spans="30:36" hidden="1" outlineLevel="1">
      <c r="AD591" s="1" t="s">
        <v>937</v>
      </c>
      <c r="AE591" s="1" t="s">
        <v>751</v>
      </c>
      <c r="AF591" s="1" t="s">
        <v>4954</v>
      </c>
      <c r="AG591" s="1" t="s">
        <v>4955</v>
      </c>
      <c r="AH591" s="1"/>
      <c r="AI591" s="1" t="s">
        <v>4956</v>
      </c>
      <c r="AJ591" s="1" t="s">
        <v>4957</v>
      </c>
    </row>
    <row r="592" spans="30:36" hidden="1" outlineLevel="1">
      <c r="AD592" s="1" t="s">
        <v>937</v>
      </c>
      <c r="AE592" s="1" t="s">
        <v>752</v>
      </c>
      <c r="AF592" s="1" t="s">
        <v>4961</v>
      </c>
      <c r="AG592" s="1" t="s">
        <v>4962</v>
      </c>
      <c r="AH592" s="1"/>
      <c r="AI592" s="1" t="s">
        <v>4963</v>
      </c>
      <c r="AJ592" s="1" t="s">
        <v>4964</v>
      </c>
    </row>
    <row r="593" spans="30:36" hidden="1" outlineLevel="1">
      <c r="AD593" s="1" t="s">
        <v>937</v>
      </c>
      <c r="AE593" s="1" t="s">
        <v>753</v>
      </c>
      <c r="AF593" s="1" t="s">
        <v>4968</v>
      </c>
      <c r="AG593" s="1" t="s">
        <v>4969</v>
      </c>
      <c r="AH593" s="1"/>
      <c r="AI593" s="1" t="s">
        <v>4970</v>
      </c>
      <c r="AJ593" s="1" t="s">
        <v>4971</v>
      </c>
    </row>
    <row r="594" spans="30:36" hidden="1" outlineLevel="1">
      <c r="AD594" s="1" t="s">
        <v>937</v>
      </c>
      <c r="AE594" s="1" t="s">
        <v>754</v>
      </c>
      <c r="AF594" s="1" t="s">
        <v>4975</v>
      </c>
      <c r="AG594" s="1" t="s">
        <v>4976</v>
      </c>
      <c r="AH594" s="1"/>
      <c r="AI594" s="1" t="s">
        <v>4977</v>
      </c>
      <c r="AJ594" s="1" t="s">
        <v>4978</v>
      </c>
    </row>
    <row r="595" spans="30:36" hidden="1" outlineLevel="1">
      <c r="AD595" s="1" t="s">
        <v>937</v>
      </c>
      <c r="AE595" s="1" t="s">
        <v>755</v>
      </c>
      <c r="AF595" s="1" t="s">
        <v>4981</v>
      </c>
      <c r="AG595" s="1" t="s">
        <v>4982</v>
      </c>
      <c r="AH595" s="1"/>
      <c r="AI595" s="1" t="s">
        <v>4983</v>
      </c>
      <c r="AJ595" s="1" t="s">
        <v>4984</v>
      </c>
    </row>
    <row r="596" spans="30:36" hidden="1" outlineLevel="1">
      <c r="AD596" s="1" t="s">
        <v>937</v>
      </c>
      <c r="AE596" s="1" t="s">
        <v>756</v>
      </c>
      <c r="AF596" s="1" t="s">
        <v>4988</v>
      </c>
      <c r="AG596" s="1" t="s">
        <v>4989</v>
      </c>
      <c r="AH596" s="1"/>
      <c r="AI596" s="1" t="s">
        <v>4990</v>
      </c>
      <c r="AJ596" s="1" t="s">
        <v>4991</v>
      </c>
    </row>
    <row r="597" spans="30:36" hidden="1" outlineLevel="1">
      <c r="AD597" s="1" t="s">
        <v>937</v>
      </c>
      <c r="AE597" s="1" t="s">
        <v>757</v>
      </c>
      <c r="AF597" s="1" t="s">
        <v>4994</v>
      </c>
      <c r="AG597" s="1" t="s">
        <v>4995</v>
      </c>
      <c r="AH597" s="1"/>
      <c r="AI597" s="1" t="s">
        <v>4996</v>
      </c>
      <c r="AJ597" s="1" t="s">
        <v>4997</v>
      </c>
    </row>
    <row r="598" spans="30:36" hidden="1" outlineLevel="1">
      <c r="AD598" s="1" t="s">
        <v>937</v>
      </c>
      <c r="AE598" s="1" t="s">
        <v>758</v>
      </c>
      <c r="AF598" s="1" t="s">
        <v>5001</v>
      </c>
      <c r="AG598" s="1" t="s">
        <v>5002</v>
      </c>
      <c r="AH598" s="1"/>
      <c r="AI598" s="1" t="s">
        <v>5003</v>
      </c>
      <c r="AJ598" s="1" t="s">
        <v>5004</v>
      </c>
    </row>
    <row r="599" spans="30:36" hidden="1" outlineLevel="1">
      <c r="AD599" s="1" t="s">
        <v>937</v>
      </c>
      <c r="AE599" s="1" t="s">
        <v>759</v>
      </c>
      <c r="AF599" s="1" t="s">
        <v>5008</v>
      </c>
      <c r="AG599" s="1" t="s">
        <v>5009</v>
      </c>
      <c r="AH599" s="1"/>
      <c r="AI599" s="1" t="s">
        <v>5010</v>
      </c>
      <c r="AJ599" s="1" t="s">
        <v>5011</v>
      </c>
    </row>
    <row r="600" spans="30:36" hidden="1" outlineLevel="1">
      <c r="AD600" s="1" t="s">
        <v>937</v>
      </c>
      <c r="AE600" s="1" t="s">
        <v>760</v>
      </c>
      <c r="AF600" s="1" t="s">
        <v>5014</v>
      </c>
      <c r="AG600" s="1" t="s">
        <v>5015</v>
      </c>
      <c r="AH600" s="1"/>
      <c r="AI600" s="1" t="s">
        <v>5016</v>
      </c>
      <c r="AJ600" s="1" t="s">
        <v>5017</v>
      </c>
    </row>
    <row r="601" spans="30:36" hidden="1" outlineLevel="1">
      <c r="AD601" s="1" t="s">
        <v>937</v>
      </c>
      <c r="AE601" s="1" t="s">
        <v>761</v>
      </c>
      <c r="AF601" s="1" t="s">
        <v>5021</v>
      </c>
      <c r="AG601" s="1" t="s">
        <v>5022</v>
      </c>
      <c r="AH601" s="1"/>
      <c r="AI601" s="1" t="s">
        <v>5023</v>
      </c>
      <c r="AJ601" s="1" t="s">
        <v>5024</v>
      </c>
    </row>
    <row r="602" spans="30:36" hidden="1" outlineLevel="1">
      <c r="AD602" s="1" t="s">
        <v>937</v>
      </c>
      <c r="AE602" s="1" t="s">
        <v>762</v>
      </c>
      <c r="AF602" s="1" t="s">
        <v>5029</v>
      </c>
      <c r="AG602" s="1" t="s">
        <v>5030</v>
      </c>
      <c r="AH602" s="1"/>
      <c r="AI602" s="1" t="s">
        <v>5031</v>
      </c>
      <c r="AJ602" s="1" t="s">
        <v>5032</v>
      </c>
    </row>
    <row r="603" spans="30:36" hidden="1" outlineLevel="1">
      <c r="AD603" s="1" t="s">
        <v>937</v>
      </c>
      <c r="AE603" s="1" t="s">
        <v>763</v>
      </c>
      <c r="AF603" s="1" t="s">
        <v>5036</v>
      </c>
      <c r="AG603" s="1" t="s">
        <v>5037</v>
      </c>
      <c r="AH603" s="1"/>
      <c r="AI603" s="1" t="s">
        <v>5038</v>
      </c>
      <c r="AJ603" s="1" t="s">
        <v>5039</v>
      </c>
    </row>
    <row r="604" spans="30:36" hidden="1" outlineLevel="1">
      <c r="AD604" s="1" t="s">
        <v>937</v>
      </c>
      <c r="AE604" s="1" t="s">
        <v>764</v>
      </c>
      <c r="AF604" s="1" t="s">
        <v>5043</v>
      </c>
      <c r="AG604" s="1" t="s">
        <v>5044</v>
      </c>
      <c r="AH604" s="1"/>
      <c r="AI604" s="1" t="s">
        <v>5045</v>
      </c>
      <c r="AJ604" s="1" t="s">
        <v>5046</v>
      </c>
    </row>
    <row r="605" spans="30:36" hidden="1" outlineLevel="1">
      <c r="AD605" s="1" t="s">
        <v>937</v>
      </c>
      <c r="AE605" s="1" t="s">
        <v>765</v>
      </c>
      <c r="AF605" s="1" t="s">
        <v>5050</v>
      </c>
      <c r="AG605" s="1" t="s">
        <v>3706</v>
      </c>
      <c r="AH605" s="1"/>
      <c r="AI605" s="1" t="s">
        <v>5051</v>
      </c>
      <c r="AJ605" s="1" t="s">
        <v>5052</v>
      </c>
    </row>
    <row r="606" spans="30:36" hidden="1" outlineLevel="1">
      <c r="AD606" s="1" t="s">
        <v>937</v>
      </c>
      <c r="AE606" s="1" t="s">
        <v>766</v>
      </c>
      <c r="AF606" s="1" t="s">
        <v>5055</v>
      </c>
      <c r="AG606" s="1" t="s">
        <v>2554</v>
      </c>
      <c r="AH606" s="1"/>
      <c r="AI606" s="1" t="s">
        <v>5056</v>
      </c>
      <c r="AJ606" s="1" t="s">
        <v>5057</v>
      </c>
    </row>
    <row r="607" spans="30:36" hidden="1" outlineLevel="1">
      <c r="AD607" s="1" t="s">
        <v>937</v>
      </c>
      <c r="AE607" s="1" t="s">
        <v>767</v>
      </c>
      <c r="AF607" s="1" t="s">
        <v>5061</v>
      </c>
      <c r="AG607" s="1" t="s">
        <v>5062</v>
      </c>
      <c r="AH607" s="1"/>
      <c r="AI607" s="1" t="s">
        <v>5063</v>
      </c>
      <c r="AJ607" s="1" t="s">
        <v>5064</v>
      </c>
    </row>
    <row r="608" spans="30:36" hidden="1" outlineLevel="1">
      <c r="AD608" s="1" t="s">
        <v>937</v>
      </c>
      <c r="AE608" s="1" t="s">
        <v>768</v>
      </c>
      <c r="AF608" s="1" t="s">
        <v>5069</v>
      </c>
      <c r="AG608" s="1" t="s">
        <v>5070</v>
      </c>
      <c r="AH608" s="1"/>
      <c r="AI608" s="1" t="s">
        <v>5071</v>
      </c>
      <c r="AJ608" s="1" t="s">
        <v>5072</v>
      </c>
    </row>
    <row r="609" spans="30:36" hidden="1" outlineLevel="1">
      <c r="AD609" s="1" t="s">
        <v>937</v>
      </c>
      <c r="AE609" s="1" t="s">
        <v>769</v>
      </c>
      <c r="AF609" s="1" t="s">
        <v>5077</v>
      </c>
      <c r="AG609" s="1" t="s">
        <v>5078</v>
      </c>
      <c r="AH609" s="1"/>
      <c r="AI609" s="1" t="s">
        <v>5079</v>
      </c>
      <c r="AJ609" s="1" t="s">
        <v>5080</v>
      </c>
    </row>
    <row r="610" spans="30:36" hidden="1" outlineLevel="1">
      <c r="AD610" s="1" t="s">
        <v>937</v>
      </c>
      <c r="AE610" s="1" t="s">
        <v>770</v>
      </c>
      <c r="AF610" s="1" t="s">
        <v>5084</v>
      </c>
      <c r="AG610" s="1" t="s">
        <v>5085</v>
      </c>
      <c r="AH610" s="1"/>
      <c r="AI610" s="1" t="s">
        <v>5086</v>
      </c>
      <c r="AJ610" s="1" t="s">
        <v>5087</v>
      </c>
    </row>
    <row r="611" spans="30:36" hidden="1" outlineLevel="1">
      <c r="AD611" s="1" t="s">
        <v>937</v>
      </c>
      <c r="AE611" s="1" t="s">
        <v>771</v>
      </c>
      <c r="AF611" s="1" t="s">
        <v>5092</v>
      </c>
      <c r="AG611" s="1" t="s">
        <v>5093</v>
      </c>
      <c r="AH611" s="1"/>
      <c r="AI611" s="1" t="s">
        <v>5094</v>
      </c>
      <c r="AJ611" s="1" t="s">
        <v>5095</v>
      </c>
    </row>
    <row r="612" spans="30:36" hidden="1" outlineLevel="1">
      <c r="AD612" s="1" t="s">
        <v>937</v>
      </c>
      <c r="AE612" s="1" t="s">
        <v>772</v>
      </c>
      <c r="AF612" s="1" t="s">
        <v>5100</v>
      </c>
      <c r="AG612" s="1" t="s">
        <v>5101</v>
      </c>
      <c r="AH612" s="1"/>
      <c r="AI612" s="1" t="s">
        <v>5102</v>
      </c>
      <c r="AJ612" s="1" t="s">
        <v>5103</v>
      </c>
    </row>
    <row r="613" spans="30:36" hidden="1" outlineLevel="1">
      <c r="AD613" s="1" t="s">
        <v>937</v>
      </c>
      <c r="AE613" s="1" t="s">
        <v>773</v>
      </c>
      <c r="AF613" s="1" t="s">
        <v>5107</v>
      </c>
      <c r="AG613" s="1" t="s">
        <v>5108</v>
      </c>
      <c r="AH613" s="1"/>
      <c r="AI613" s="1" t="s">
        <v>5109</v>
      </c>
      <c r="AJ613" s="1" t="s">
        <v>3017</v>
      </c>
    </row>
    <row r="614" spans="30:36" hidden="1" outlineLevel="1">
      <c r="AD614" s="1" t="s">
        <v>937</v>
      </c>
      <c r="AE614" s="1" t="s">
        <v>774</v>
      </c>
      <c r="AF614" s="1" t="s">
        <v>5114</v>
      </c>
      <c r="AG614" s="1" t="s">
        <v>5115</v>
      </c>
      <c r="AH614" s="1"/>
      <c r="AI614" s="1" t="s">
        <v>5116</v>
      </c>
      <c r="AJ614" s="1" t="s">
        <v>5117</v>
      </c>
    </row>
    <row r="615" spans="30:36" hidden="1" outlineLevel="1">
      <c r="AD615" s="1" t="s">
        <v>937</v>
      </c>
      <c r="AE615" s="1" t="s">
        <v>775</v>
      </c>
      <c r="AF615" s="1" t="s">
        <v>5121</v>
      </c>
      <c r="AG615" s="1" t="s">
        <v>5122</v>
      </c>
      <c r="AH615" s="1"/>
      <c r="AI615" s="1" t="s">
        <v>5123</v>
      </c>
      <c r="AJ615" s="1" t="s">
        <v>5124</v>
      </c>
    </row>
    <row r="616" spans="30:36" hidden="1" outlineLevel="1">
      <c r="AD616" s="1" t="s">
        <v>937</v>
      </c>
      <c r="AE616" s="1" t="s">
        <v>776</v>
      </c>
      <c r="AF616" s="1" t="s">
        <v>5129</v>
      </c>
      <c r="AG616" s="1" t="s">
        <v>5130</v>
      </c>
      <c r="AH616" s="1"/>
      <c r="AI616" s="1" t="s">
        <v>5131</v>
      </c>
      <c r="AJ616" s="1" t="s">
        <v>5132</v>
      </c>
    </row>
    <row r="617" spans="30:36" hidden="1" outlineLevel="1">
      <c r="AD617" s="1" t="s">
        <v>937</v>
      </c>
      <c r="AE617" s="1" t="s">
        <v>777</v>
      </c>
      <c r="AF617" s="1" t="s">
        <v>5137</v>
      </c>
      <c r="AG617" s="1" t="s">
        <v>5138</v>
      </c>
      <c r="AH617" s="1"/>
      <c r="AI617" s="1" t="s">
        <v>5139</v>
      </c>
      <c r="AJ617" s="1" t="s">
        <v>5140</v>
      </c>
    </row>
    <row r="618" spans="30:36" hidden="1" outlineLevel="1">
      <c r="AD618" s="1" t="s">
        <v>937</v>
      </c>
      <c r="AE618" s="1" t="s">
        <v>778</v>
      </c>
      <c r="AF618" s="1" t="s">
        <v>5143</v>
      </c>
      <c r="AG618" s="1" t="s">
        <v>5144</v>
      </c>
      <c r="AH618" s="1"/>
      <c r="AI618" s="1" t="s">
        <v>5145</v>
      </c>
      <c r="AJ618" s="1" t="s">
        <v>5146</v>
      </c>
    </row>
    <row r="619" spans="30:36" hidden="1" outlineLevel="1">
      <c r="AD619" s="1" t="s">
        <v>937</v>
      </c>
      <c r="AE619" s="1" t="s">
        <v>779</v>
      </c>
      <c r="AF619" s="1" t="s">
        <v>5150</v>
      </c>
      <c r="AG619" s="1" t="s">
        <v>1771</v>
      </c>
      <c r="AH619" s="1"/>
      <c r="AI619" s="1" t="s">
        <v>5151</v>
      </c>
      <c r="AJ619" s="1" t="s">
        <v>5152</v>
      </c>
    </row>
    <row r="620" spans="30:36" hidden="1" outlineLevel="1">
      <c r="AD620" s="1" t="s">
        <v>937</v>
      </c>
      <c r="AE620" s="1" t="s">
        <v>780</v>
      </c>
      <c r="AF620" s="1" t="s">
        <v>5156</v>
      </c>
      <c r="AG620" s="1" t="s">
        <v>5157</v>
      </c>
      <c r="AH620" s="1"/>
      <c r="AI620" s="1" t="s">
        <v>5158</v>
      </c>
      <c r="AJ620" s="1" t="s">
        <v>5159</v>
      </c>
    </row>
    <row r="621" spans="30:36" hidden="1" outlineLevel="1">
      <c r="AD621" s="1" t="s">
        <v>937</v>
      </c>
      <c r="AE621" s="1" t="s">
        <v>781</v>
      </c>
      <c r="AF621" s="1" t="s">
        <v>5164</v>
      </c>
      <c r="AG621" s="1" t="s">
        <v>5165</v>
      </c>
      <c r="AH621" s="1"/>
      <c r="AI621" s="1" t="s">
        <v>5166</v>
      </c>
      <c r="AJ621" s="1" t="s">
        <v>5167</v>
      </c>
    </row>
    <row r="622" spans="30:36" hidden="1" outlineLevel="1">
      <c r="AD622" s="1" t="s">
        <v>937</v>
      </c>
      <c r="AE622" s="1" t="s">
        <v>782</v>
      </c>
      <c r="AF622" s="1" t="s">
        <v>5171</v>
      </c>
      <c r="AG622" s="1" t="s">
        <v>5172</v>
      </c>
      <c r="AH622" s="1"/>
      <c r="AI622" s="1" t="s">
        <v>5173</v>
      </c>
      <c r="AJ622" s="1" t="s">
        <v>5174</v>
      </c>
    </row>
    <row r="623" spans="30:36" hidden="1" outlineLevel="1">
      <c r="AD623" s="1" t="s">
        <v>937</v>
      </c>
      <c r="AE623" s="1" t="s">
        <v>783</v>
      </c>
      <c r="AF623" s="1" t="s">
        <v>5179</v>
      </c>
      <c r="AG623" s="1" t="s">
        <v>5180</v>
      </c>
      <c r="AH623" s="1"/>
      <c r="AI623" s="1" t="s">
        <v>5181</v>
      </c>
      <c r="AJ623" s="1" t="s">
        <v>5182</v>
      </c>
    </row>
    <row r="624" spans="30:36" hidden="1" outlineLevel="1">
      <c r="AD624" s="1" t="s">
        <v>937</v>
      </c>
      <c r="AE624" s="1" t="s">
        <v>784</v>
      </c>
      <c r="AF624" s="1" t="s">
        <v>5187</v>
      </c>
      <c r="AG624" s="1" t="s">
        <v>5188</v>
      </c>
      <c r="AH624" s="1"/>
      <c r="AI624" s="1" t="s">
        <v>5189</v>
      </c>
      <c r="AJ624" s="1" t="s">
        <v>5190</v>
      </c>
    </row>
    <row r="625" spans="30:36" hidden="1" outlineLevel="1">
      <c r="AD625" s="1" t="s">
        <v>937</v>
      </c>
      <c r="AE625" s="1" t="s">
        <v>785</v>
      </c>
      <c r="AF625" s="1" t="s">
        <v>5195</v>
      </c>
      <c r="AG625" s="1" t="s">
        <v>5196</v>
      </c>
      <c r="AH625" s="1"/>
      <c r="AI625" s="1" t="s">
        <v>5197</v>
      </c>
      <c r="AJ625" s="1" t="s">
        <v>5198</v>
      </c>
    </row>
    <row r="626" spans="30:36" hidden="1" outlineLevel="1">
      <c r="AD626" s="1" t="s">
        <v>937</v>
      </c>
      <c r="AE626" s="1" t="s">
        <v>786</v>
      </c>
      <c r="AF626" s="1" t="s">
        <v>5202</v>
      </c>
      <c r="AG626" s="1" t="s">
        <v>5203</v>
      </c>
      <c r="AH626" s="1"/>
      <c r="AI626" s="1" t="s">
        <v>5204</v>
      </c>
      <c r="AJ626" s="1" t="s">
        <v>5205</v>
      </c>
    </row>
    <row r="627" spans="30:36" hidden="1" outlineLevel="1">
      <c r="AD627" s="1" t="s">
        <v>937</v>
      </c>
      <c r="AE627" s="1" t="s">
        <v>787</v>
      </c>
      <c r="AF627" s="1" t="s">
        <v>5210</v>
      </c>
      <c r="AG627" s="1" t="s">
        <v>5211</v>
      </c>
      <c r="AH627" s="1"/>
      <c r="AI627" s="1" t="s">
        <v>5212</v>
      </c>
      <c r="AJ627" s="1" t="s">
        <v>5213</v>
      </c>
    </row>
    <row r="628" spans="30:36" hidden="1" outlineLevel="1">
      <c r="AD628" s="1" t="s">
        <v>937</v>
      </c>
      <c r="AE628" s="1" t="s">
        <v>788</v>
      </c>
      <c r="AF628" s="1" t="s">
        <v>5218</v>
      </c>
      <c r="AG628" s="1" t="s">
        <v>5219</v>
      </c>
      <c r="AH628" s="1"/>
      <c r="AI628" s="1" t="s">
        <v>5220</v>
      </c>
      <c r="AJ628" s="1" t="s">
        <v>5221</v>
      </c>
    </row>
    <row r="629" spans="30:36" hidden="1" outlineLevel="1">
      <c r="AD629" s="1" t="s">
        <v>937</v>
      </c>
      <c r="AE629" s="1" t="s">
        <v>789</v>
      </c>
      <c r="AF629" s="1" t="s">
        <v>5226</v>
      </c>
      <c r="AG629" s="1" t="s">
        <v>5227</v>
      </c>
      <c r="AH629" s="1"/>
      <c r="AI629" s="1" t="s">
        <v>5228</v>
      </c>
      <c r="AJ629" s="1" t="s">
        <v>5229</v>
      </c>
    </row>
    <row r="630" spans="30:36" hidden="1" outlineLevel="1">
      <c r="AD630" s="1" t="s">
        <v>937</v>
      </c>
      <c r="AE630" s="1" t="s">
        <v>790</v>
      </c>
      <c r="AF630" s="1" t="s">
        <v>5234</v>
      </c>
      <c r="AG630" s="1" t="s">
        <v>5235</v>
      </c>
      <c r="AH630" s="1"/>
      <c r="AI630" s="1" t="s">
        <v>5236</v>
      </c>
      <c r="AJ630" s="1" t="s">
        <v>5237</v>
      </c>
    </row>
    <row r="631" spans="30:36" hidden="1" outlineLevel="1">
      <c r="AD631" s="1" t="s">
        <v>937</v>
      </c>
      <c r="AE631" s="1" t="s">
        <v>791</v>
      </c>
      <c r="AF631" s="1" t="s">
        <v>5242</v>
      </c>
      <c r="AG631" s="1" t="s">
        <v>5243</v>
      </c>
      <c r="AH631" s="1"/>
      <c r="AI631" s="1" t="s">
        <v>5244</v>
      </c>
      <c r="AJ631" s="1" t="s">
        <v>5245</v>
      </c>
    </row>
    <row r="632" spans="30:36" hidden="1" outlineLevel="1">
      <c r="AD632" s="1" t="s">
        <v>937</v>
      </c>
      <c r="AE632" s="1" t="s">
        <v>792</v>
      </c>
      <c r="AF632" s="1" t="s">
        <v>5250</v>
      </c>
      <c r="AG632" s="1" t="s">
        <v>5251</v>
      </c>
      <c r="AH632" s="1"/>
      <c r="AI632" s="1" t="s">
        <v>5252</v>
      </c>
      <c r="AJ632" s="1" t="s">
        <v>5253</v>
      </c>
    </row>
    <row r="633" spans="30:36" hidden="1" outlineLevel="1">
      <c r="AD633" s="1" t="s">
        <v>937</v>
      </c>
      <c r="AE633" s="1" t="s">
        <v>793</v>
      </c>
      <c r="AF633" s="1" t="s">
        <v>5257</v>
      </c>
      <c r="AG633" s="1" t="s">
        <v>5258</v>
      </c>
      <c r="AH633" s="1"/>
      <c r="AI633" s="1" t="s">
        <v>5259</v>
      </c>
      <c r="AJ633" s="1" t="s">
        <v>5260</v>
      </c>
    </row>
    <row r="634" spans="30:36" hidden="1" outlineLevel="1">
      <c r="AD634" s="1" t="s">
        <v>937</v>
      </c>
      <c r="AE634" s="1" t="s">
        <v>794</v>
      </c>
      <c r="AF634" s="1" t="s">
        <v>5264</v>
      </c>
      <c r="AG634" s="1" t="s">
        <v>5265</v>
      </c>
      <c r="AH634" s="1"/>
      <c r="AI634" s="1" t="s">
        <v>5266</v>
      </c>
      <c r="AJ634" s="1" t="s">
        <v>5267</v>
      </c>
    </row>
    <row r="635" spans="30:36" hidden="1" outlineLevel="1">
      <c r="AD635" s="1" t="s">
        <v>937</v>
      </c>
      <c r="AE635" s="1" t="s">
        <v>795</v>
      </c>
      <c r="AF635" s="1" t="s">
        <v>5270</v>
      </c>
      <c r="AG635" s="1" t="s">
        <v>5271</v>
      </c>
      <c r="AH635" s="1"/>
      <c r="AI635" s="1" t="s">
        <v>5272</v>
      </c>
      <c r="AJ635" s="1" t="s">
        <v>5273</v>
      </c>
    </row>
    <row r="636" spans="30:36" hidden="1" outlineLevel="1">
      <c r="AD636" s="1" t="s">
        <v>937</v>
      </c>
      <c r="AE636" s="1" t="s">
        <v>796</v>
      </c>
      <c r="AF636" s="1" t="s">
        <v>5278</v>
      </c>
      <c r="AG636" s="1" t="s">
        <v>5279</v>
      </c>
      <c r="AH636" s="1"/>
      <c r="AI636" s="1" t="s">
        <v>5280</v>
      </c>
      <c r="AJ636" s="1" t="s">
        <v>5281</v>
      </c>
    </row>
    <row r="637" spans="30:36" hidden="1" outlineLevel="1">
      <c r="AD637" s="1" t="s">
        <v>937</v>
      </c>
      <c r="AE637" s="1" t="s">
        <v>797</v>
      </c>
      <c r="AF637" s="1" t="s">
        <v>5286</v>
      </c>
      <c r="AG637" s="1" t="s">
        <v>5287</v>
      </c>
      <c r="AH637" s="1"/>
      <c r="AI637" s="1" t="s">
        <v>5288</v>
      </c>
      <c r="AJ637" s="1" t="s">
        <v>5289</v>
      </c>
    </row>
    <row r="638" spans="30:36" hidden="1" outlineLevel="1">
      <c r="AD638" s="1" t="s">
        <v>937</v>
      </c>
      <c r="AE638" s="1" t="s">
        <v>798</v>
      </c>
      <c r="AF638" s="1" t="s">
        <v>5294</v>
      </c>
      <c r="AG638" s="1" t="s">
        <v>5295</v>
      </c>
      <c r="AH638" s="1"/>
      <c r="AI638" s="1" t="s">
        <v>5296</v>
      </c>
      <c r="AJ638" s="1" t="s">
        <v>5297</v>
      </c>
    </row>
    <row r="639" spans="30:36" hidden="1" outlineLevel="1">
      <c r="AD639" s="1" t="s">
        <v>937</v>
      </c>
      <c r="AE639" s="1" t="s">
        <v>799</v>
      </c>
      <c r="AF639" s="1" t="s">
        <v>5301</v>
      </c>
      <c r="AG639" s="1" t="s">
        <v>5302</v>
      </c>
      <c r="AH639" s="1"/>
      <c r="AI639" s="1" t="s">
        <v>5303</v>
      </c>
      <c r="AJ639" s="1" t="s">
        <v>5304</v>
      </c>
    </row>
    <row r="640" spans="30:36" hidden="1" outlineLevel="1">
      <c r="AD640" s="1" t="s">
        <v>937</v>
      </c>
      <c r="AE640" s="1" t="s">
        <v>800</v>
      </c>
      <c r="AF640" s="1" t="s">
        <v>5307</v>
      </c>
      <c r="AG640" s="1" t="s">
        <v>5308</v>
      </c>
      <c r="AH640" s="1"/>
      <c r="AI640" s="1" t="s">
        <v>5309</v>
      </c>
      <c r="AJ640" s="1" t="s">
        <v>5310</v>
      </c>
    </row>
    <row r="641" spans="30:36" hidden="1" outlineLevel="1">
      <c r="AD641" s="1" t="s">
        <v>937</v>
      </c>
      <c r="AE641" s="1" t="s">
        <v>801</v>
      </c>
      <c r="AF641" s="1" t="s">
        <v>5315</v>
      </c>
      <c r="AG641" s="1" t="s">
        <v>5316</v>
      </c>
      <c r="AH641" s="1"/>
      <c r="AI641" s="1" t="s">
        <v>5317</v>
      </c>
      <c r="AJ641" s="1" t="s">
        <v>5318</v>
      </c>
    </row>
    <row r="642" spans="30:36" hidden="1" outlineLevel="1">
      <c r="AD642" s="1" t="s">
        <v>937</v>
      </c>
      <c r="AE642" s="1" t="s">
        <v>802</v>
      </c>
      <c r="AF642" s="1" t="s">
        <v>5322</v>
      </c>
      <c r="AG642" s="1" t="s">
        <v>5323</v>
      </c>
      <c r="AH642" s="1"/>
      <c r="AI642" s="1" t="s">
        <v>5324</v>
      </c>
      <c r="AJ642" s="1" t="s">
        <v>5325</v>
      </c>
    </row>
    <row r="643" spans="30:36" hidden="1" outlineLevel="1">
      <c r="AD643" s="1" t="s">
        <v>937</v>
      </c>
      <c r="AE643" s="1" t="s">
        <v>803</v>
      </c>
      <c r="AF643" s="1" t="s">
        <v>5330</v>
      </c>
      <c r="AG643" s="1" t="s">
        <v>5331</v>
      </c>
      <c r="AH643" s="1"/>
      <c r="AI643" s="1" t="s">
        <v>5332</v>
      </c>
      <c r="AJ643" s="1" t="s">
        <v>5333</v>
      </c>
    </row>
    <row r="644" spans="30:36" hidden="1" outlineLevel="1">
      <c r="AD644" s="1" t="s">
        <v>937</v>
      </c>
      <c r="AE644" s="1" t="s">
        <v>804</v>
      </c>
      <c r="AF644" s="1" t="s">
        <v>5338</v>
      </c>
      <c r="AG644" s="1" t="s">
        <v>5339</v>
      </c>
      <c r="AH644" s="1"/>
      <c r="AI644" s="1" t="s">
        <v>5340</v>
      </c>
      <c r="AJ644" s="1" t="s">
        <v>5341</v>
      </c>
    </row>
    <row r="645" spans="30:36" hidden="1" outlineLevel="1">
      <c r="AD645" s="1" t="s">
        <v>937</v>
      </c>
      <c r="AE645" s="1" t="s">
        <v>805</v>
      </c>
      <c r="AF645" s="1" t="s">
        <v>5346</v>
      </c>
      <c r="AG645" s="1" t="s">
        <v>5347</v>
      </c>
      <c r="AH645" s="1"/>
      <c r="AI645" s="1" t="s">
        <v>3062</v>
      </c>
      <c r="AJ645" s="1" t="s">
        <v>5348</v>
      </c>
    </row>
    <row r="646" spans="30:36" hidden="1" outlineLevel="1">
      <c r="AD646" s="1" t="s">
        <v>937</v>
      </c>
      <c r="AE646" s="1" t="s">
        <v>806</v>
      </c>
      <c r="AF646" s="1" t="s">
        <v>5353</v>
      </c>
      <c r="AG646" s="1" t="s">
        <v>5354</v>
      </c>
      <c r="AH646" s="1"/>
      <c r="AI646" s="1" t="s">
        <v>4949</v>
      </c>
      <c r="AJ646" s="1" t="s">
        <v>4948</v>
      </c>
    </row>
    <row r="647" spans="30:36" hidden="1" outlineLevel="1">
      <c r="AD647" s="1" t="s">
        <v>937</v>
      </c>
      <c r="AE647" s="1" t="s">
        <v>807</v>
      </c>
      <c r="AF647" s="1" t="s">
        <v>5357</v>
      </c>
      <c r="AG647" s="1" t="s">
        <v>5358</v>
      </c>
      <c r="AH647" s="1"/>
      <c r="AI647" s="1" t="s">
        <v>5359</v>
      </c>
      <c r="AJ647" s="1" t="s">
        <v>5360</v>
      </c>
    </row>
    <row r="648" spans="30:36" hidden="1" outlineLevel="1">
      <c r="AD648" s="1" t="s">
        <v>937</v>
      </c>
      <c r="AE648" s="1" t="s">
        <v>233</v>
      </c>
      <c r="AF648" s="1" t="s">
        <v>5365</v>
      </c>
      <c r="AG648" s="1" t="s">
        <v>5366</v>
      </c>
      <c r="AH648" s="1"/>
      <c r="AI648" s="1" t="s">
        <v>5367</v>
      </c>
      <c r="AJ648" s="1" t="s">
        <v>5368</v>
      </c>
    </row>
    <row r="649" spans="30:36" hidden="1" outlineLevel="1">
      <c r="AD649" s="1" t="s">
        <v>937</v>
      </c>
      <c r="AE649" s="1" t="s">
        <v>234</v>
      </c>
      <c r="AF649" s="1" t="s">
        <v>5373</v>
      </c>
      <c r="AG649" s="1" t="s">
        <v>5374</v>
      </c>
      <c r="AH649" s="1"/>
      <c r="AI649" s="1" t="s">
        <v>5375</v>
      </c>
      <c r="AJ649" s="1" t="s">
        <v>5376</v>
      </c>
    </row>
    <row r="650" spans="30:36" hidden="1" outlineLevel="1">
      <c r="AD650" s="1" t="s">
        <v>937</v>
      </c>
      <c r="AE650" s="1" t="s">
        <v>235</v>
      </c>
      <c r="AF650" s="1" t="s">
        <v>5380</v>
      </c>
      <c r="AG650" s="1" t="s">
        <v>5381</v>
      </c>
      <c r="AH650" s="1"/>
      <c r="AI650" s="1" t="s">
        <v>5382</v>
      </c>
      <c r="AJ650" s="1" t="s">
        <v>5383</v>
      </c>
    </row>
    <row r="651" spans="30:36" hidden="1" outlineLevel="1">
      <c r="AD651" s="1" t="s">
        <v>937</v>
      </c>
      <c r="AE651" s="1" t="s">
        <v>236</v>
      </c>
      <c r="AF651" s="1" t="s">
        <v>5388</v>
      </c>
      <c r="AG651" s="1" t="s">
        <v>5389</v>
      </c>
      <c r="AH651" s="1"/>
      <c r="AI651" s="1" t="s">
        <v>5390</v>
      </c>
      <c r="AJ651" s="1" t="s">
        <v>5391</v>
      </c>
    </row>
    <row r="652" spans="30:36" hidden="1" outlineLevel="1">
      <c r="AD652" s="1" t="s">
        <v>937</v>
      </c>
      <c r="AE652" s="1" t="s">
        <v>237</v>
      </c>
      <c r="AF652" s="1" t="s">
        <v>5395</v>
      </c>
      <c r="AG652" s="1" t="s">
        <v>5396</v>
      </c>
      <c r="AH652" s="1"/>
      <c r="AI652" s="1" t="s">
        <v>5397</v>
      </c>
      <c r="AJ652" s="1" t="s">
        <v>5398</v>
      </c>
    </row>
    <row r="653" spans="30:36" hidden="1" outlineLevel="1">
      <c r="AD653" s="1" t="s">
        <v>937</v>
      </c>
      <c r="AE653" s="1" t="s">
        <v>238</v>
      </c>
      <c r="AF653" s="1" t="s">
        <v>5401</v>
      </c>
      <c r="AG653" s="1" t="s">
        <v>5402</v>
      </c>
      <c r="AH653" s="1"/>
      <c r="AI653" s="1" t="s">
        <v>5403</v>
      </c>
      <c r="AJ653" s="1" t="s">
        <v>5404</v>
      </c>
    </row>
    <row r="654" spans="30:36" hidden="1" outlineLevel="1">
      <c r="AD654" s="1" t="s">
        <v>937</v>
      </c>
      <c r="AE654" s="1" t="s">
        <v>239</v>
      </c>
      <c r="AF654" s="1" t="s">
        <v>5408</v>
      </c>
      <c r="AG654" s="1" t="s">
        <v>5409</v>
      </c>
      <c r="AH654" s="1"/>
      <c r="AI654" s="1" t="s">
        <v>5410</v>
      </c>
      <c r="AJ654" s="1" t="s">
        <v>5411</v>
      </c>
    </row>
    <row r="655" spans="30:36" hidden="1" outlineLevel="1">
      <c r="AD655" s="1" t="s">
        <v>937</v>
      </c>
      <c r="AE655" s="1" t="s">
        <v>240</v>
      </c>
      <c r="AF655" s="1" t="s">
        <v>5416</v>
      </c>
      <c r="AG655" s="1" t="s">
        <v>5417</v>
      </c>
      <c r="AH655" s="1"/>
      <c r="AI655" s="1" t="s">
        <v>5418</v>
      </c>
      <c r="AJ655" s="1" t="s">
        <v>5419</v>
      </c>
    </row>
    <row r="656" spans="30:36" hidden="1" outlineLevel="1">
      <c r="AD656" s="1" t="s">
        <v>937</v>
      </c>
      <c r="AE656" s="1" t="s">
        <v>241</v>
      </c>
      <c r="AF656" s="1" t="s">
        <v>5424</v>
      </c>
      <c r="AG656" s="1" t="s">
        <v>5425</v>
      </c>
      <c r="AH656" s="1"/>
      <c r="AI656" s="1" t="s">
        <v>5426</v>
      </c>
      <c r="AJ656" s="1" t="s">
        <v>5427</v>
      </c>
    </row>
    <row r="657" spans="30:36" hidden="1" outlineLevel="1">
      <c r="AD657" s="1" t="s">
        <v>937</v>
      </c>
      <c r="AE657" s="1" t="s">
        <v>242</v>
      </c>
      <c r="AF657" s="1" t="s">
        <v>5432</v>
      </c>
      <c r="AG657" s="1" t="s">
        <v>5433</v>
      </c>
      <c r="AH657" s="1"/>
      <c r="AI657" s="1" t="s">
        <v>5434</v>
      </c>
      <c r="AJ657" s="1" t="s">
        <v>5435</v>
      </c>
    </row>
    <row r="658" spans="30:36" hidden="1" outlineLevel="1">
      <c r="AD658" s="1" t="s">
        <v>937</v>
      </c>
      <c r="AE658" s="1" t="s">
        <v>243</v>
      </c>
      <c r="AF658" s="1" t="s">
        <v>5439</v>
      </c>
      <c r="AG658" s="1" t="s">
        <v>5440</v>
      </c>
      <c r="AH658" s="1"/>
      <c r="AI658" s="1" t="s">
        <v>5441</v>
      </c>
      <c r="AJ658" s="1" t="s">
        <v>5442</v>
      </c>
    </row>
    <row r="659" spans="30:36" hidden="1" outlineLevel="1">
      <c r="AD659" s="1" t="s">
        <v>937</v>
      </c>
      <c r="AE659" s="1" t="s">
        <v>244</v>
      </c>
      <c r="AF659" s="1" t="s">
        <v>5446</v>
      </c>
      <c r="AG659" s="1" t="s">
        <v>5447</v>
      </c>
      <c r="AH659" s="1"/>
      <c r="AI659" s="1" t="s">
        <v>5448</v>
      </c>
      <c r="AJ659" s="1" t="s">
        <v>5449</v>
      </c>
    </row>
    <row r="660" spans="30:36" hidden="1" outlineLevel="1">
      <c r="AD660" s="1" t="s">
        <v>937</v>
      </c>
      <c r="AE660" s="1" t="s">
        <v>245</v>
      </c>
      <c r="AF660" s="1" t="s">
        <v>5454</v>
      </c>
      <c r="AG660" s="1" t="s">
        <v>5455</v>
      </c>
      <c r="AH660" s="1"/>
      <c r="AI660" s="1" t="s">
        <v>5456</v>
      </c>
      <c r="AJ660" s="1" t="s">
        <v>5457</v>
      </c>
    </row>
    <row r="661" spans="30:36" hidden="1" outlineLevel="1">
      <c r="AD661" s="1" t="s">
        <v>937</v>
      </c>
      <c r="AE661" s="1" t="s">
        <v>246</v>
      </c>
      <c r="AF661" s="1" t="s">
        <v>5462</v>
      </c>
      <c r="AG661" s="1" t="s">
        <v>5463</v>
      </c>
      <c r="AH661" s="1"/>
      <c r="AI661" s="1" t="s">
        <v>5464</v>
      </c>
      <c r="AJ661" s="1" t="s">
        <v>5465</v>
      </c>
    </row>
    <row r="662" spans="30:36" hidden="1" outlineLevel="1">
      <c r="AD662" s="1" t="s">
        <v>937</v>
      </c>
      <c r="AE662" s="1" t="s">
        <v>247</v>
      </c>
      <c r="AF662" s="1" t="s">
        <v>5470</v>
      </c>
      <c r="AG662" s="1" t="s">
        <v>5471</v>
      </c>
      <c r="AH662" s="1"/>
      <c r="AI662" s="1" t="s">
        <v>5472</v>
      </c>
      <c r="AJ662" s="1" t="s">
        <v>5473</v>
      </c>
    </row>
    <row r="663" spans="30:36" hidden="1" outlineLevel="1">
      <c r="AD663" s="1" t="s">
        <v>937</v>
      </c>
      <c r="AE663" s="1" t="s">
        <v>248</v>
      </c>
      <c r="AF663" s="1" t="s">
        <v>5477</v>
      </c>
      <c r="AG663" s="1" t="s">
        <v>5478</v>
      </c>
      <c r="AH663" s="1"/>
      <c r="AI663" s="1" t="s">
        <v>5479</v>
      </c>
      <c r="AJ663" s="1" t="s">
        <v>5480</v>
      </c>
    </row>
    <row r="664" spans="30:36" hidden="1" outlineLevel="1">
      <c r="AD664" s="1" t="s">
        <v>937</v>
      </c>
      <c r="AE664" s="1" t="s">
        <v>249</v>
      </c>
      <c r="AF664" s="1" t="s">
        <v>5484</v>
      </c>
      <c r="AG664" s="1" t="s">
        <v>5485</v>
      </c>
      <c r="AH664" s="1"/>
      <c r="AI664" s="1" t="s">
        <v>5486</v>
      </c>
      <c r="AJ664" s="1" t="s">
        <v>5487</v>
      </c>
    </row>
    <row r="665" spans="30:36" hidden="1" outlineLevel="1">
      <c r="AD665" s="1" t="s">
        <v>937</v>
      </c>
      <c r="AE665" s="1" t="s">
        <v>250</v>
      </c>
      <c r="AF665" s="1" t="s">
        <v>5492</v>
      </c>
      <c r="AG665" s="1" t="s">
        <v>5493</v>
      </c>
      <c r="AH665" s="1"/>
      <c r="AI665" s="1" t="s">
        <v>5494</v>
      </c>
      <c r="AJ665" s="1" t="s">
        <v>5495</v>
      </c>
    </row>
    <row r="666" spans="30:36" hidden="1" outlineLevel="1">
      <c r="AD666" s="1" t="s">
        <v>937</v>
      </c>
      <c r="AE666" s="1" t="s">
        <v>251</v>
      </c>
      <c r="AF666" s="1" t="s">
        <v>5499</v>
      </c>
      <c r="AG666" s="1" t="s">
        <v>5500</v>
      </c>
      <c r="AH666" s="1"/>
      <c r="AI666" s="1" t="s">
        <v>5501</v>
      </c>
      <c r="AJ666" s="1" t="s">
        <v>5502</v>
      </c>
    </row>
    <row r="667" spans="30:36" hidden="1" outlineLevel="1">
      <c r="AD667" s="1" t="s">
        <v>937</v>
      </c>
      <c r="AE667" s="1" t="s">
        <v>252</v>
      </c>
      <c r="AF667" s="1" t="s">
        <v>5506</v>
      </c>
      <c r="AG667" s="1" t="s">
        <v>5507</v>
      </c>
      <c r="AH667" s="1"/>
      <c r="AI667" s="1" t="s">
        <v>5508</v>
      </c>
      <c r="AJ667" s="1" t="s">
        <v>5509</v>
      </c>
    </row>
    <row r="668" spans="30:36" hidden="1" outlineLevel="1">
      <c r="AD668" s="1" t="s">
        <v>937</v>
      </c>
      <c r="AE668" s="1" t="s">
        <v>253</v>
      </c>
      <c r="AF668" s="1" t="s">
        <v>5513</v>
      </c>
      <c r="AG668" s="1" t="s">
        <v>5514</v>
      </c>
      <c r="AH668" s="1"/>
      <c r="AI668" s="1" t="s">
        <v>5515</v>
      </c>
      <c r="AJ668" s="1" t="s">
        <v>5516</v>
      </c>
    </row>
    <row r="669" spans="30:36" hidden="1" outlineLevel="1">
      <c r="AD669" s="1" t="s">
        <v>937</v>
      </c>
      <c r="AE669" s="1" t="s">
        <v>254</v>
      </c>
      <c r="AF669" s="1" t="s">
        <v>5521</v>
      </c>
      <c r="AG669" s="1" t="s">
        <v>5522</v>
      </c>
      <c r="AH669" s="1"/>
      <c r="AI669" s="1" t="s">
        <v>5523</v>
      </c>
      <c r="AJ669" s="1" t="s">
        <v>5524</v>
      </c>
    </row>
    <row r="670" spans="30:36" hidden="1" outlineLevel="1">
      <c r="AD670" s="1" t="s">
        <v>937</v>
      </c>
      <c r="AE670" s="1" t="s">
        <v>255</v>
      </c>
      <c r="AF670" s="1" t="s">
        <v>5529</v>
      </c>
      <c r="AG670" s="1" t="s">
        <v>5530</v>
      </c>
      <c r="AH670" s="1"/>
      <c r="AI670" s="1" t="s">
        <v>5531</v>
      </c>
      <c r="AJ670" s="1" t="s">
        <v>5532</v>
      </c>
    </row>
    <row r="671" spans="30:36" hidden="1" outlineLevel="1">
      <c r="AD671" s="1" t="s">
        <v>937</v>
      </c>
      <c r="AE671" s="1" t="s">
        <v>256</v>
      </c>
      <c r="AF671" s="1" t="s">
        <v>5536</v>
      </c>
      <c r="AG671" s="1" t="s">
        <v>1530</v>
      </c>
      <c r="AH671" s="1"/>
      <c r="AI671" s="1" t="s">
        <v>5537</v>
      </c>
      <c r="AJ671" s="1" t="s">
        <v>5538</v>
      </c>
    </row>
    <row r="672" spans="30:36" ht="15.75" collapsed="1" thickBot="1"/>
    <row r="673" spans="30:31" ht="15.75" thickBot="1">
      <c r="AD673" s="804" t="s">
        <v>2523</v>
      </c>
      <c r="AE673" s="805"/>
    </row>
    <row r="674" spans="30:31" hidden="1" outlineLevel="1">
      <c r="AD674" s="635" t="s">
        <v>2521</v>
      </c>
      <c r="AE674" s="635" t="s">
        <v>580</v>
      </c>
    </row>
    <row r="675" spans="30:31" hidden="1" outlineLevel="1">
      <c r="AD675" s="1" t="s">
        <v>2519</v>
      </c>
      <c r="AE675" s="1" t="s">
        <v>586</v>
      </c>
    </row>
    <row r="676" spans="30:31" hidden="1" outlineLevel="1">
      <c r="AD676" s="1" t="s">
        <v>2517</v>
      </c>
      <c r="AE676" s="1" t="s">
        <v>581</v>
      </c>
    </row>
    <row r="677" spans="30:31" hidden="1" outlineLevel="1">
      <c r="AD677" s="1" t="s">
        <v>2515</v>
      </c>
      <c r="AE677" s="1" t="s">
        <v>587</v>
      </c>
    </row>
    <row r="678" spans="30:31" hidden="1" outlineLevel="1">
      <c r="AD678" s="1" t="s">
        <v>2513</v>
      </c>
      <c r="AE678" s="1" t="s">
        <v>588</v>
      </c>
    </row>
    <row r="679" spans="30:31" hidden="1" outlineLevel="1">
      <c r="AD679" s="1" t="s">
        <v>2511</v>
      </c>
      <c r="AE679" s="1" t="s">
        <v>589</v>
      </c>
    </row>
    <row r="680" spans="30:31" hidden="1" outlineLevel="1">
      <c r="AD680" s="1" t="s">
        <v>2509</v>
      </c>
      <c r="AE680" s="1" t="s">
        <v>590</v>
      </c>
    </row>
    <row r="681" spans="30:31" hidden="1" outlineLevel="1">
      <c r="AD681" s="1" t="s">
        <v>2507</v>
      </c>
      <c r="AE681" s="1" t="s">
        <v>582</v>
      </c>
    </row>
    <row r="682" spans="30:31" hidden="1" outlineLevel="1">
      <c r="AD682" s="1" t="s">
        <v>2505</v>
      </c>
      <c r="AE682" s="1" t="s">
        <v>583</v>
      </c>
    </row>
    <row r="683" spans="30:31" hidden="1" outlineLevel="1">
      <c r="AD683" s="1" t="s">
        <v>2503</v>
      </c>
      <c r="AE683" s="1" t="s">
        <v>584</v>
      </c>
    </row>
    <row r="684" spans="30:31" hidden="1" outlineLevel="1">
      <c r="AD684" s="1" t="s">
        <v>2501</v>
      </c>
      <c r="AE684" s="1" t="s">
        <v>585</v>
      </c>
    </row>
    <row r="685" spans="30:31" hidden="1" outlineLevel="1">
      <c r="AD685" s="1" t="s">
        <v>2499</v>
      </c>
      <c r="AE685" s="1" t="s">
        <v>591</v>
      </c>
    </row>
    <row r="686" spans="30:31" hidden="1" outlineLevel="1">
      <c r="AD686" s="1" t="s">
        <v>2497</v>
      </c>
      <c r="AE686" s="1" t="s">
        <v>980</v>
      </c>
    </row>
    <row r="687" spans="30:31" hidden="1" outlineLevel="1">
      <c r="AD687" s="1" t="s">
        <v>2495</v>
      </c>
      <c r="AE687" s="1" t="s">
        <v>981</v>
      </c>
    </row>
    <row r="688" spans="30:31" hidden="1" outlineLevel="1">
      <c r="AD688" s="1" t="s">
        <v>2493</v>
      </c>
      <c r="AE688" s="1" t="s">
        <v>1022</v>
      </c>
    </row>
    <row r="689" spans="30:31" hidden="1" outlineLevel="1">
      <c r="AD689" s="1" t="s">
        <v>2491</v>
      </c>
      <c r="AE689" s="1" t="s">
        <v>982</v>
      </c>
    </row>
    <row r="690" spans="30:31" hidden="1" outlineLevel="1">
      <c r="AD690" s="1" t="s">
        <v>2489</v>
      </c>
      <c r="AE690" s="1" t="s">
        <v>1023</v>
      </c>
    </row>
    <row r="691" spans="30:31" hidden="1" outlineLevel="1">
      <c r="AD691" s="1" t="s">
        <v>2487</v>
      </c>
      <c r="AE691" s="1" t="s">
        <v>984</v>
      </c>
    </row>
    <row r="692" spans="30:31" hidden="1" outlineLevel="1">
      <c r="AD692" s="1" t="s">
        <v>2485</v>
      </c>
      <c r="AE692" s="1" t="s">
        <v>986</v>
      </c>
    </row>
    <row r="693" spans="30:31" hidden="1" outlineLevel="1">
      <c r="AD693" s="1" t="s">
        <v>2483</v>
      </c>
      <c r="AE693" s="1" t="s">
        <v>988</v>
      </c>
    </row>
    <row r="694" spans="30:31" hidden="1" outlineLevel="1">
      <c r="AD694" s="1" t="s">
        <v>2481</v>
      </c>
      <c r="AE694" s="1" t="s">
        <v>1025</v>
      </c>
    </row>
    <row r="695" spans="30:31" hidden="1" outlineLevel="1">
      <c r="AD695" s="1" t="s">
        <v>2478</v>
      </c>
      <c r="AE695" s="1" t="s">
        <v>990</v>
      </c>
    </row>
    <row r="696" spans="30:31" hidden="1" outlineLevel="1">
      <c r="AD696" s="1" t="s">
        <v>2476</v>
      </c>
      <c r="AE696" s="1" t="s">
        <v>304</v>
      </c>
    </row>
    <row r="697" spans="30:31" hidden="1" outlineLevel="1">
      <c r="AD697" s="1" t="s">
        <v>2474</v>
      </c>
      <c r="AE697" s="1" t="s">
        <v>1026</v>
      </c>
    </row>
    <row r="698" spans="30:31" hidden="1" outlineLevel="1">
      <c r="AD698" s="1" t="s">
        <v>2472</v>
      </c>
      <c r="AE698" s="1" t="s">
        <v>306</v>
      </c>
    </row>
    <row r="699" spans="30:31" hidden="1" outlineLevel="1">
      <c r="AD699" s="1" t="s">
        <v>2470</v>
      </c>
      <c r="AE699" s="1" t="s">
        <v>1027</v>
      </c>
    </row>
    <row r="700" spans="30:31" hidden="1" outlineLevel="1">
      <c r="AD700" s="1" t="s">
        <v>2468</v>
      </c>
      <c r="AE700" s="1" t="s">
        <v>994</v>
      </c>
    </row>
    <row r="701" spans="30:31" hidden="1" outlineLevel="1">
      <c r="AD701" s="1" t="s">
        <v>2466</v>
      </c>
      <c r="AE701" s="1" t="s">
        <v>1028</v>
      </c>
    </row>
    <row r="702" spans="30:31" hidden="1" outlineLevel="1">
      <c r="AD702" s="1" t="s">
        <v>2464</v>
      </c>
      <c r="AE702" s="1" t="s">
        <v>996</v>
      </c>
    </row>
    <row r="703" spans="30:31" hidden="1" outlineLevel="1">
      <c r="AD703" s="1" t="s">
        <v>2462</v>
      </c>
      <c r="AE703" s="1" t="s">
        <v>998</v>
      </c>
    </row>
    <row r="704" spans="30:31" hidden="1" outlineLevel="1">
      <c r="AD704" s="1" t="s">
        <v>2460</v>
      </c>
      <c r="AE704" s="1" t="s">
        <v>1000</v>
      </c>
    </row>
    <row r="705" spans="30:31" hidden="1" outlineLevel="1">
      <c r="AD705" s="1" t="s">
        <v>2458</v>
      </c>
      <c r="AE705" s="1" t="s">
        <v>1029</v>
      </c>
    </row>
    <row r="706" spans="30:31" hidden="1" outlineLevel="1">
      <c r="AD706" s="1" t="s">
        <v>2456</v>
      </c>
      <c r="AE706" s="1" t="s">
        <v>1002</v>
      </c>
    </row>
    <row r="707" spans="30:31" hidden="1" outlineLevel="1">
      <c r="AD707" s="1" t="s">
        <v>2454</v>
      </c>
      <c r="AE707" s="1" t="s">
        <v>1030</v>
      </c>
    </row>
    <row r="708" spans="30:31" hidden="1" outlineLevel="1">
      <c r="AD708" s="1" t="s">
        <v>2452</v>
      </c>
      <c r="AE708" s="1" t="s">
        <v>1004</v>
      </c>
    </row>
    <row r="709" spans="30:31" hidden="1" outlineLevel="1">
      <c r="AD709" s="1" t="s">
        <v>2450</v>
      </c>
      <c r="AE709" s="1" t="s">
        <v>1031</v>
      </c>
    </row>
    <row r="710" spans="30:31" hidden="1" outlineLevel="1">
      <c r="AD710" s="1" t="s">
        <v>2448</v>
      </c>
      <c r="AE710" s="1" t="s">
        <v>1006</v>
      </c>
    </row>
    <row r="711" spans="30:31" hidden="1" outlineLevel="1">
      <c r="AD711" s="1" t="s">
        <v>2446</v>
      </c>
      <c r="AE711" s="1" t="s">
        <v>1032</v>
      </c>
    </row>
    <row r="712" spans="30:31" hidden="1" outlineLevel="1">
      <c r="AD712" s="1" t="s">
        <v>2444</v>
      </c>
      <c r="AE712" s="1" t="s">
        <v>1008</v>
      </c>
    </row>
    <row r="713" spans="30:31" hidden="1" outlineLevel="1">
      <c r="AD713" s="1" t="s">
        <v>2442</v>
      </c>
      <c r="AE713" s="1" t="s">
        <v>1033</v>
      </c>
    </row>
    <row r="714" spans="30:31" hidden="1" outlineLevel="1">
      <c r="AD714" s="1" t="s">
        <v>2440</v>
      </c>
      <c r="AE714" s="1" t="s">
        <v>1009</v>
      </c>
    </row>
    <row r="715" spans="30:31" hidden="1" outlineLevel="1">
      <c r="AD715" s="1" t="s">
        <v>2438</v>
      </c>
      <c r="AE715" s="1" t="s">
        <v>1034</v>
      </c>
    </row>
    <row r="716" spans="30:31" hidden="1" outlineLevel="1">
      <c r="AD716" s="1" t="s">
        <v>2436</v>
      </c>
      <c r="AE716" s="1" t="s">
        <v>1012</v>
      </c>
    </row>
    <row r="717" spans="30:31" hidden="1" outlineLevel="1">
      <c r="AD717" s="1" t="s">
        <v>2434</v>
      </c>
      <c r="AE717" s="1" t="s">
        <v>1035</v>
      </c>
    </row>
    <row r="718" spans="30:31" hidden="1" outlineLevel="1">
      <c r="AD718" s="1" t="s">
        <v>2433</v>
      </c>
      <c r="AE718" s="1" t="s">
        <v>1014</v>
      </c>
    </row>
    <row r="719" spans="30:31" hidden="1" outlineLevel="1">
      <c r="AD719" s="1" t="s">
        <v>2431</v>
      </c>
      <c r="AE719" s="1" t="s">
        <v>1016</v>
      </c>
    </row>
    <row r="720" spans="30:31" hidden="1" outlineLevel="1">
      <c r="AD720" s="1" t="s">
        <v>2429</v>
      </c>
      <c r="AE720" s="1" t="s">
        <v>1018</v>
      </c>
    </row>
    <row r="721" spans="30:31" hidden="1" outlineLevel="1">
      <c r="AD721" s="1" t="s">
        <v>2427</v>
      </c>
      <c r="AE721" s="1" t="s">
        <v>1036</v>
      </c>
    </row>
    <row r="722" spans="30:31" hidden="1" outlineLevel="1">
      <c r="AD722" s="1" t="s">
        <v>736</v>
      </c>
      <c r="AE722" s="1" t="s">
        <v>2425</v>
      </c>
    </row>
    <row r="723" spans="30:31" hidden="1" outlineLevel="1">
      <c r="AD723" s="1" t="s">
        <v>737</v>
      </c>
      <c r="AE723" s="1" t="s">
        <v>2423</v>
      </c>
    </row>
    <row r="724" spans="30:31" hidden="1" outlineLevel="1">
      <c r="AD724" s="1" t="s">
        <v>738</v>
      </c>
      <c r="AE724" s="1" t="s">
        <v>2421</v>
      </c>
    </row>
    <row r="725" spans="30:31" hidden="1" outlineLevel="1">
      <c r="AD725" s="1" t="s">
        <v>739</v>
      </c>
      <c r="AE725" s="1" t="s">
        <v>2419</v>
      </c>
    </row>
    <row r="726" spans="30:31" hidden="1" outlineLevel="1">
      <c r="AD726" s="1" t="s">
        <v>740</v>
      </c>
      <c r="AE726" s="1" t="s">
        <v>2417</v>
      </c>
    </row>
    <row r="727" spans="30:31" hidden="1" outlineLevel="1">
      <c r="AD727" s="1" t="s">
        <v>741</v>
      </c>
      <c r="AE727" s="1" t="s">
        <v>2415</v>
      </c>
    </row>
    <row r="728" spans="30:31" hidden="1" outlineLevel="1">
      <c r="AD728" s="1" t="s">
        <v>742</v>
      </c>
      <c r="AE728" s="1" t="s">
        <v>2413</v>
      </c>
    </row>
    <row r="729" spans="30:31" hidden="1" outlineLevel="1">
      <c r="AD729" s="1" t="s">
        <v>743</v>
      </c>
      <c r="AE729" s="1" t="s">
        <v>2411</v>
      </c>
    </row>
    <row r="730" spans="30:31" hidden="1" outlineLevel="1">
      <c r="AD730" s="1" t="s">
        <v>744</v>
      </c>
      <c r="AE730" s="1" t="s">
        <v>2409</v>
      </c>
    </row>
    <row r="731" spans="30:31" hidden="1" outlineLevel="1">
      <c r="AD731" s="1" t="s">
        <v>745</v>
      </c>
      <c r="AE731" s="1" t="s">
        <v>2407</v>
      </c>
    </row>
    <row r="732" spans="30:31" hidden="1" outlineLevel="1">
      <c r="AD732" s="1" t="s">
        <v>746</v>
      </c>
      <c r="AE732" s="1" t="s">
        <v>2405</v>
      </c>
    </row>
    <row r="733" spans="30:31" hidden="1" outlineLevel="1">
      <c r="AD733" s="1" t="s">
        <v>747</v>
      </c>
      <c r="AE733" s="1" t="s">
        <v>2403</v>
      </c>
    </row>
    <row r="734" spans="30:31" hidden="1" outlineLevel="1">
      <c r="AD734" s="1" t="s">
        <v>748</v>
      </c>
      <c r="AE734" s="1" t="s">
        <v>2401</v>
      </c>
    </row>
    <row r="735" spans="30:31" hidden="1" outlineLevel="1">
      <c r="AD735" s="1" t="s">
        <v>749</v>
      </c>
      <c r="AE735" s="1" t="s">
        <v>2400</v>
      </c>
    </row>
    <row r="736" spans="30:31" hidden="1" outlineLevel="1">
      <c r="AD736" s="1" t="s">
        <v>750</v>
      </c>
      <c r="AE736" s="1" t="s">
        <v>2399</v>
      </c>
    </row>
    <row r="737" spans="30:31" hidden="1" outlineLevel="1">
      <c r="AD737" s="1" t="s">
        <v>751</v>
      </c>
      <c r="AE737" s="1" t="s">
        <v>2398</v>
      </c>
    </row>
    <row r="738" spans="30:31" hidden="1" outlineLevel="1">
      <c r="AD738" s="1" t="s">
        <v>752</v>
      </c>
      <c r="AE738" s="1" t="s">
        <v>2397</v>
      </c>
    </row>
    <row r="739" spans="30:31" hidden="1" outlineLevel="1">
      <c r="AD739" s="1" t="s">
        <v>753</v>
      </c>
      <c r="AE739" s="1" t="s">
        <v>2396</v>
      </c>
    </row>
    <row r="740" spans="30:31" hidden="1" outlineLevel="1">
      <c r="AD740" s="1" t="s">
        <v>754</v>
      </c>
      <c r="AE740" s="1" t="s">
        <v>2395</v>
      </c>
    </row>
    <row r="741" spans="30:31" hidden="1" outlineLevel="1">
      <c r="AD741" s="1" t="s">
        <v>755</v>
      </c>
      <c r="AE741" s="1" t="s">
        <v>2394</v>
      </c>
    </row>
    <row r="742" spans="30:31" hidden="1" outlineLevel="1">
      <c r="AD742" s="1" t="s">
        <v>756</v>
      </c>
      <c r="AE742" s="1" t="s">
        <v>2393</v>
      </c>
    </row>
    <row r="743" spans="30:31" hidden="1" outlineLevel="1">
      <c r="AD743" s="1" t="s">
        <v>757</v>
      </c>
      <c r="AE743" s="1" t="s">
        <v>2392</v>
      </c>
    </row>
    <row r="744" spans="30:31" hidden="1" outlineLevel="1">
      <c r="AD744" s="1" t="s">
        <v>758</v>
      </c>
      <c r="AE744" s="1" t="s">
        <v>2391</v>
      </c>
    </row>
    <row r="745" spans="30:31" hidden="1" outlineLevel="1">
      <c r="AD745" s="1" t="s">
        <v>759</v>
      </c>
      <c r="AE745" s="1" t="s">
        <v>2390</v>
      </c>
    </row>
    <row r="746" spans="30:31" hidden="1" outlineLevel="1">
      <c r="AD746" s="1" t="s">
        <v>760</v>
      </c>
      <c r="AE746" s="1" t="s">
        <v>2389</v>
      </c>
    </row>
    <row r="747" spans="30:31" hidden="1" outlineLevel="1">
      <c r="AD747" s="1" t="s">
        <v>761</v>
      </c>
      <c r="AE747" s="1" t="s">
        <v>2388</v>
      </c>
    </row>
    <row r="748" spans="30:31" hidden="1" outlineLevel="1">
      <c r="AD748" s="1" t="s">
        <v>762</v>
      </c>
      <c r="AE748" s="1" t="s">
        <v>2387</v>
      </c>
    </row>
    <row r="749" spans="30:31" hidden="1" outlineLevel="1">
      <c r="AD749" s="1" t="s">
        <v>763</v>
      </c>
      <c r="AE749" s="1" t="s">
        <v>2386</v>
      </c>
    </row>
    <row r="750" spans="30:31" hidden="1" outlineLevel="1">
      <c r="AD750" s="1" t="s">
        <v>764</v>
      </c>
      <c r="AE750" s="1" t="s">
        <v>2385</v>
      </c>
    </row>
    <row r="751" spans="30:31" hidden="1" outlineLevel="1">
      <c r="AD751" s="1" t="s">
        <v>765</v>
      </c>
      <c r="AE751" s="1" t="s">
        <v>2384</v>
      </c>
    </row>
    <row r="752" spans="30:31" hidden="1" outlineLevel="1">
      <c r="AD752" s="1" t="s">
        <v>766</v>
      </c>
      <c r="AE752" s="1" t="s">
        <v>2383</v>
      </c>
    </row>
    <row r="753" spans="30:31" hidden="1" outlineLevel="1">
      <c r="AD753" s="1" t="s">
        <v>767</v>
      </c>
      <c r="AE753" s="1" t="s">
        <v>2382</v>
      </c>
    </row>
    <row r="754" spans="30:31" hidden="1" outlineLevel="1">
      <c r="AD754" s="1" t="s">
        <v>768</v>
      </c>
      <c r="AE754" s="1" t="s">
        <v>2381</v>
      </c>
    </row>
    <row r="755" spans="30:31" hidden="1" outlineLevel="1">
      <c r="AD755" s="1" t="s">
        <v>769</v>
      </c>
      <c r="AE755" s="1" t="s">
        <v>2380</v>
      </c>
    </row>
    <row r="756" spans="30:31" hidden="1" outlineLevel="1">
      <c r="AD756" s="1" t="s">
        <v>770</v>
      </c>
      <c r="AE756" s="1" t="s">
        <v>2379</v>
      </c>
    </row>
    <row r="757" spans="30:31" hidden="1" outlineLevel="1">
      <c r="AD757" s="1" t="s">
        <v>771</v>
      </c>
      <c r="AE757" s="1" t="s">
        <v>2378</v>
      </c>
    </row>
    <row r="758" spans="30:31" hidden="1" outlineLevel="1">
      <c r="AD758" s="1" t="s">
        <v>772</v>
      </c>
      <c r="AE758" s="1" t="s">
        <v>2377</v>
      </c>
    </row>
    <row r="759" spans="30:31" hidden="1" outlineLevel="1">
      <c r="AD759" s="1" t="s">
        <v>773</v>
      </c>
      <c r="AE759" s="1" t="s">
        <v>2376</v>
      </c>
    </row>
    <row r="760" spans="30:31" hidden="1" outlineLevel="1">
      <c r="AD760" s="1" t="s">
        <v>774</v>
      </c>
      <c r="AE760" s="1" t="s">
        <v>2375</v>
      </c>
    </row>
    <row r="761" spans="30:31" hidden="1" outlineLevel="1">
      <c r="AD761" s="1" t="s">
        <v>775</v>
      </c>
      <c r="AE761" s="1" t="s">
        <v>2374</v>
      </c>
    </row>
    <row r="762" spans="30:31" hidden="1" outlineLevel="1">
      <c r="AD762" s="1" t="s">
        <v>776</v>
      </c>
      <c r="AE762" s="1" t="s">
        <v>2373</v>
      </c>
    </row>
    <row r="763" spans="30:31" hidden="1" outlineLevel="1">
      <c r="AD763" s="1" t="s">
        <v>777</v>
      </c>
      <c r="AE763" s="1" t="s">
        <v>2372</v>
      </c>
    </row>
    <row r="764" spans="30:31" hidden="1" outlineLevel="1">
      <c r="AD764" s="1" t="s">
        <v>778</v>
      </c>
      <c r="AE764" s="1" t="s">
        <v>2371</v>
      </c>
    </row>
    <row r="765" spans="30:31" hidden="1" outlineLevel="1">
      <c r="AD765" s="1" t="s">
        <v>779</v>
      </c>
      <c r="AE765" s="1" t="s">
        <v>2370</v>
      </c>
    </row>
    <row r="766" spans="30:31" hidden="1" outlineLevel="1">
      <c r="AD766" s="1" t="s">
        <v>780</v>
      </c>
      <c r="AE766" s="1" t="s">
        <v>2369</v>
      </c>
    </row>
    <row r="767" spans="30:31" hidden="1" outlineLevel="1">
      <c r="AD767" s="1" t="s">
        <v>781</v>
      </c>
      <c r="AE767" s="1" t="s">
        <v>2368</v>
      </c>
    </row>
    <row r="768" spans="30:31" hidden="1" outlineLevel="1">
      <c r="AD768" s="1" t="s">
        <v>782</v>
      </c>
      <c r="AE768" s="1" t="s">
        <v>2367</v>
      </c>
    </row>
    <row r="769" spans="30:31" hidden="1" outlineLevel="1">
      <c r="AD769" s="1" t="s">
        <v>783</v>
      </c>
      <c r="AE769" s="1" t="s">
        <v>2366</v>
      </c>
    </row>
    <row r="770" spans="30:31" hidden="1" outlineLevel="1">
      <c r="AD770" s="1" t="s">
        <v>784</v>
      </c>
      <c r="AE770" s="1" t="s">
        <v>2365</v>
      </c>
    </row>
    <row r="771" spans="30:31" hidden="1" outlineLevel="1">
      <c r="AD771" s="1" t="s">
        <v>785</v>
      </c>
      <c r="AE771" s="1" t="s">
        <v>2364</v>
      </c>
    </row>
    <row r="772" spans="30:31" hidden="1" outlineLevel="1">
      <c r="AD772" s="1" t="s">
        <v>786</v>
      </c>
      <c r="AE772" s="1" t="s">
        <v>2363</v>
      </c>
    </row>
    <row r="773" spans="30:31" hidden="1" outlineLevel="1">
      <c r="AD773" s="1" t="s">
        <v>787</v>
      </c>
      <c r="AE773" s="1" t="s">
        <v>2362</v>
      </c>
    </row>
    <row r="774" spans="30:31" hidden="1" outlineLevel="1">
      <c r="AD774" s="1" t="s">
        <v>788</v>
      </c>
      <c r="AE774" s="1" t="s">
        <v>2361</v>
      </c>
    </row>
    <row r="775" spans="30:31" hidden="1" outlineLevel="1">
      <c r="AD775" s="1" t="s">
        <v>789</v>
      </c>
      <c r="AE775" s="1" t="s">
        <v>2360</v>
      </c>
    </row>
    <row r="776" spans="30:31" hidden="1" outlineLevel="1">
      <c r="AD776" s="1" t="s">
        <v>790</v>
      </c>
      <c r="AE776" s="1" t="s">
        <v>2359</v>
      </c>
    </row>
    <row r="777" spans="30:31" hidden="1" outlineLevel="1">
      <c r="AD777" s="1" t="s">
        <v>791</v>
      </c>
      <c r="AE777" s="1" t="s">
        <v>2358</v>
      </c>
    </row>
    <row r="778" spans="30:31" hidden="1" outlineLevel="1">
      <c r="AD778" s="1" t="s">
        <v>792</v>
      </c>
      <c r="AE778" s="1" t="s">
        <v>2357</v>
      </c>
    </row>
    <row r="779" spans="30:31" hidden="1" outlineLevel="1">
      <c r="AD779" s="1" t="s">
        <v>793</v>
      </c>
      <c r="AE779" s="1" t="s">
        <v>2356</v>
      </c>
    </row>
    <row r="780" spans="30:31" hidden="1" outlineLevel="1">
      <c r="AD780" s="1" t="s">
        <v>794</v>
      </c>
      <c r="AE780" s="1" t="s">
        <v>2355</v>
      </c>
    </row>
    <row r="781" spans="30:31" hidden="1" outlineLevel="1">
      <c r="AD781" s="1" t="s">
        <v>795</v>
      </c>
      <c r="AE781" s="1" t="s">
        <v>2354</v>
      </c>
    </row>
    <row r="782" spans="30:31" hidden="1" outlineLevel="1">
      <c r="AD782" s="1" t="s">
        <v>796</v>
      </c>
      <c r="AE782" s="1" t="s">
        <v>2353</v>
      </c>
    </row>
    <row r="783" spans="30:31" hidden="1" outlineLevel="1">
      <c r="AD783" s="1" t="s">
        <v>797</v>
      </c>
      <c r="AE783" s="1" t="s">
        <v>2352</v>
      </c>
    </row>
    <row r="784" spans="30:31" hidden="1" outlineLevel="1">
      <c r="AD784" s="1" t="s">
        <v>798</v>
      </c>
      <c r="AE784" s="1" t="s">
        <v>2351</v>
      </c>
    </row>
    <row r="785" spans="30:31" hidden="1" outlineLevel="1">
      <c r="AD785" s="1" t="s">
        <v>799</v>
      </c>
      <c r="AE785" s="1" t="s">
        <v>2350</v>
      </c>
    </row>
    <row r="786" spans="30:31" hidden="1" outlineLevel="1">
      <c r="AD786" s="1" t="s">
        <v>800</v>
      </c>
      <c r="AE786" s="1" t="s">
        <v>2349</v>
      </c>
    </row>
    <row r="787" spans="30:31" hidden="1" outlineLevel="1">
      <c r="AD787" s="1" t="s">
        <v>801</v>
      </c>
      <c r="AE787" s="1" t="s">
        <v>2348</v>
      </c>
    </row>
    <row r="788" spans="30:31" hidden="1" outlineLevel="1">
      <c r="AD788" s="1" t="s">
        <v>802</v>
      </c>
      <c r="AE788" s="1" t="s">
        <v>2347</v>
      </c>
    </row>
    <row r="789" spans="30:31" hidden="1" outlineLevel="1">
      <c r="AD789" s="1" t="s">
        <v>803</v>
      </c>
      <c r="AE789" s="1" t="s">
        <v>2346</v>
      </c>
    </row>
    <row r="790" spans="30:31" hidden="1" outlineLevel="1">
      <c r="AD790" s="1" t="s">
        <v>804</v>
      </c>
      <c r="AE790" s="1" t="s">
        <v>2345</v>
      </c>
    </row>
    <row r="791" spans="30:31" hidden="1" outlineLevel="1">
      <c r="AD791" s="1" t="s">
        <v>805</v>
      </c>
      <c r="AE791" s="1" t="s">
        <v>2344</v>
      </c>
    </row>
    <row r="792" spans="30:31" hidden="1" outlineLevel="1">
      <c r="AD792" s="1" t="s">
        <v>806</v>
      </c>
      <c r="AE792" s="1" t="s">
        <v>2343</v>
      </c>
    </row>
    <row r="793" spans="30:31" hidden="1" outlineLevel="1">
      <c r="AD793" s="1" t="s">
        <v>807</v>
      </c>
      <c r="AE793" s="1" t="s">
        <v>2342</v>
      </c>
    </row>
    <row r="794" spans="30:31" hidden="1" outlineLevel="1">
      <c r="AD794" s="1" t="s">
        <v>233</v>
      </c>
      <c r="AE794" s="1" t="s">
        <v>2341</v>
      </c>
    </row>
    <row r="795" spans="30:31" hidden="1" outlineLevel="1">
      <c r="AD795" s="1" t="s">
        <v>234</v>
      </c>
      <c r="AE795" s="1" t="s">
        <v>2340</v>
      </c>
    </row>
    <row r="796" spans="30:31" hidden="1" outlineLevel="1">
      <c r="AD796" s="1" t="s">
        <v>235</v>
      </c>
      <c r="AE796" s="1" t="s">
        <v>2339</v>
      </c>
    </row>
    <row r="797" spans="30:31" hidden="1" outlineLevel="1">
      <c r="AD797" s="1" t="s">
        <v>236</v>
      </c>
      <c r="AE797" s="1" t="s">
        <v>2338</v>
      </c>
    </row>
    <row r="798" spans="30:31" hidden="1" outlineLevel="1">
      <c r="AD798" s="1" t="s">
        <v>237</v>
      </c>
      <c r="AE798" s="1" t="s">
        <v>2337</v>
      </c>
    </row>
    <row r="799" spans="30:31" hidden="1" outlineLevel="1">
      <c r="AD799" s="1" t="s">
        <v>238</v>
      </c>
      <c r="AE799" s="1" t="s">
        <v>2336</v>
      </c>
    </row>
    <row r="800" spans="30:31" hidden="1" outlineLevel="1">
      <c r="AD800" s="1" t="s">
        <v>239</v>
      </c>
      <c r="AE800" s="1" t="s">
        <v>2335</v>
      </c>
    </row>
    <row r="801" spans="30:31" hidden="1" outlineLevel="1">
      <c r="AD801" s="1" t="s">
        <v>240</v>
      </c>
      <c r="AE801" s="1" t="s">
        <v>2334</v>
      </c>
    </row>
    <row r="802" spans="30:31" hidden="1" outlineLevel="1">
      <c r="AD802" s="1" t="s">
        <v>241</v>
      </c>
      <c r="AE802" s="1" t="s">
        <v>2333</v>
      </c>
    </row>
    <row r="803" spans="30:31" hidden="1" outlineLevel="1">
      <c r="AD803" s="1" t="s">
        <v>242</v>
      </c>
      <c r="AE803" s="1" t="s">
        <v>2332</v>
      </c>
    </row>
    <row r="804" spans="30:31" hidden="1" outlineLevel="1">
      <c r="AD804" s="1" t="s">
        <v>243</v>
      </c>
      <c r="AE804" s="1" t="s">
        <v>2331</v>
      </c>
    </row>
    <row r="805" spans="30:31" hidden="1" outlineLevel="1">
      <c r="AD805" s="1" t="s">
        <v>244</v>
      </c>
      <c r="AE805" s="1" t="s">
        <v>2330</v>
      </c>
    </row>
    <row r="806" spans="30:31" hidden="1" outlineLevel="1">
      <c r="AD806" s="1" t="s">
        <v>245</v>
      </c>
      <c r="AE806" s="1" t="s">
        <v>2329</v>
      </c>
    </row>
    <row r="807" spans="30:31" hidden="1" outlineLevel="1">
      <c r="AD807" s="1" t="s">
        <v>246</v>
      </c>
      <c r="AE807" s="1" t="s">
        <v>2328</v>
      </c>
    </row>
    <row r="808" spans="30:31" hidden="1" outlineLevel="1">
      <c r="AD808" s="1" t="s">
        <v>247</v>
      </c>
      <c r="AE808" s="1" t="s">
        <v>2327</v>
      </c>
    </row>
    <row r="809" spans="30:31" hidden="1" outlineLevel="1">
      <c r="AD809" s="1" t="s">
        <v>248</v>
      </c>
      <c r="AE809" s="1" t="s">
        <v>2326</v>
      </c>
    </row>
    <row r="810" spans="30:31" hidden="1" outlineLevel="1">
      <c r="AD810" s="1" t="s">
        <v>249</v>
      </c>
      <c r="AE810" s="1" t="s">
        <v>2325</v>
      </c>
    </row>
    <row r="811" spans="30:31" hidden="1" outlineLevel="1">
      <c r="AD811" s="1" t="s">
        <v>250</v>
      </c>
      <c r="AE811" s="1" t="s">
        <v>2324</v>
      </c>
    </row>
    <row r="812" spans="30:31" hidden="1" outlineLevel="1">
      <c r="AD812" s="1" t="s">
        <v>251</v>
      </c>
      <c r="AE812" s="1" t="s">
        <v>37</v>
      </c>
    </row>
    <row r="813" spans="30:31" hidden="1" outlineLevel="1">
      <c r="AD813" s="1" t="s">
        <v>252</v>
      </c>
      <c r="AE813" s="1" t="s">
        <v>2323</v>
      </c>
    </row>
    <row r="814" spans="30:31" hidden="1" outlineLevel="1">
      <c r="AD814" s="1" t="s">
        <v>253</v>
      </c>
      <c r="AE814" s="1" t="s">
        <v>2322</v>
      </c>
    </row>
    <row r="815" spans="30:31" hidden="1" outlineLevel="1">
      <c r="AD815" s="1" t="s">
        <v>254</v>
      </c>
      <c r="AE815" s="1" t="s">
        <v>2321</v>
      </c>
    </row>
    <row r="816" spans="30:31" hidden="1" outlineLevel="1">
      <c r="AD816" s="1" t="s">
        <v>255</v>
      </c>
      <c r="AE816" s="1" t="s">
        <v>2320</v>
      </c>
    </row>
    <row r="817" spans="30:32" hidden="1" outlineLevel="1">
      <c r="AD817" s="1" t="s">
        <v>256</v>
      </c>
      <c r="AE817" s="1" t="s">
        <v>2319</v>
      </c>
    </row>
    <row r="818" spans="30:32" collapsed="1"/>
    <row r="819" spans="30:32">
      <c r="AD819" s="798" t="s">
        <v>2655</v>
      </c>
      <c r="AE819" s="799"/>
      <c r="AF819" s="800"/>
    </row>
    <row r="820" spans="30:32" hidden="1" outlineLevel="1">
      <c r="AD820" s="1" t="s">
        <v>736</v>
      </c>
      <c r="AE820" s="1">
        <v>7001</v>
      </c>
      <c r="AF820" s="1" t="s">
        <v>2652</v>
      </c>
    </row>
    <row r="821" spans="30:32" hidden="1" outlineLevel="1">
      <c r="AD821" s="1" t="s">
        <v>737</v>
      </c>
      <c r="AE821" s="1">
        <v>7002</v>
      </c>
      <c r="AF821" s="1" t="s">
        <v>2649</v>
      </c>
    </row>
    <row r="822" spans="30:32" hidden="1" outlineLevel="1">
      <c r="AD822" s="1" t="s">
        <v>738</v>
      </c>
      <c r="AE822" s="1">
        <v>7003</v>
      </c>
      <c r="AF822" s="1" t="s">
        <v>2645</v>
      </c>
    </row>
    <row r="823" spans="30:32" hidden="1" outlineLevel="1">
      <c r="AD823" s="1" t="s">
        <v>739</v>
      </c>
      <c r="AE823" s="1">
        <v>7004</v>
      </c>
      <c r="AF823" s="1" t="s">
        <v>2641</v>
      </c>
    </row>
    <row r="824" spans="30:32" hidden="1" outlineLevel="1">
      <c r="AD824" s="1" t="s">
        <v>740</v>
      </c>
      <c r="AE824" s="1">
        <v>7005</v>
      </c>
      <c r="AF824" s="1" t="s">
        <v>2637</v>
      </c>
    </row>
    <row r="825" spans="30:32" hidden="1" outlineLevel="1">
      <c r="AD825" s="1" t="s">
        <v>741</v>
      </c>
      <c r="AE825" s="1">
        <v>7006</v>
      </c>
      <c r="AF825" s="1" t="s">
        <v>2633</v>
      </c>
    </row>
    <row r="826" spans="30:32" hidden="1" outlineLevel="1">
      <c r="AD826" s="1" t="s">
        <v>742</v>
      </c>
      <c r="AE826" s="1">
        <v>7007</v>
      </c>
      <c r="AF826" s="1" t="s">
        <v>2629</v>
      </c>
    </row>
    <row r="827" spans="30:32" hidden="1" outlineLevel="1">
      <c r="AD827" s="1" t="s">
        <v>743</v>
      </c>
      <c r="AE827" s="1">
        <v>7008</v>
      </c>
      <c r="AF827" s="1" t="s">
        <v>2625</v>
      </c>
    </row>
    <row r="828" spans="30:32" hidden="1" outlineLevel="1">
      <c r="AD828" s="1" t="s">
        <v>744</v>
      </c>
      <c r="AE828" s="1">
        <v>7009</v>
      </c>
      <c r="AF828" s="1" t="s">
        <v>2621</v>
      </c>
    </row>
    <row r="829" spans="30:32" hidden="1" outlineLevel="1">
      <c r="AD829" s="1" t="s">
        <v>745</v>
      </c>
      <c r="AE829" s="1">
        <v>7010</v>
      </c>
      <c r="AF829" s="1" t="s">
        <v>2617</v>
      </c>
    </row>
    <row r="830" spans="30:32" hidden="1" outlineLevel="1">
      <c r="AD830" s="1" t="s">
        <v>746</v>
      </c>
      <c r="AE830" s="1">
        <v>7011</v>
      </c>
      <c r="AF830" s="1" t="s">
        <v>2613</v>
      </c>
    </row>
    <row r="831" spans="30:32" hidden="1" outlineLevel="1">
      <c r="AD831" s="1" t="s">
        <v>747</v>
      </c>
      <c r="AE831" s="1">
        <v>7012</v>
      </c>
      <c r="AF831" s="1" t="s">
        <v>2609</v>
      </c>
    </row>
    <row r="832" spans="30:32" hidden="1" outlineLevel="1">
      <c r="AD832" s="1" t="s">
        <v>748</v>
      </c>
      <c r="AE832" s="1">
        <v>7013</v>
      </c>
      <c r="AF832" s="1" t="s">
        <v>2605</v>
      </c>
    </row>
    <row r="833" spans="30:32" hidden="1" outlineLevel="1">
      <c r="AD833" s="1" t="s">
        <v>749</v>
      </c>
      <c r="AE833" s="1">
        <v>7014</v>
      </c>
      <c r="AF833" s="1" t="s">
        <v>2601</v>
      </c>
    </row>
    <row r="834" spans="30:32" hidden="1" outlineLevel="1">
      <c r="AD834" s="1" t="s">
        <v>750</v>
      </c>
      <c r="AE834" s="1">
        <v>7015</v>
      </c>
      <c r="AF834" s="1" t="s">
        <v>2597</v>
      </c>
    </row>
    <row r="835" spans="30:32" hidden="1" outlineLevel="1">
      <c r="AD835" s="1" t="s">
        <v>751</v>
      </c>
      <c r="AE835" s="1">
        <v>7016</v>
      </c>
      <c r="AF835" s="1" t="s">
        <v>2593</v>
      </c>
    </row>
    <row r="836" spans="30:32" hidden="1" outlineLevel="1">
      <c r="AD836" s="1" t="s">
        <v>752</v>
      </c>
      <c r="AE836" s="1">
        <v>7017</v>
      </c>
      <c r="AF836" s="1" t="s">
        <v>2589</v>
      </c>
    </row>
    <row r="837" spans="30:32" hidden="1" outlineLevel="1">
      <c r="AD837" s="1" t="s">
        <v>753</v>
      </c>
      <c r="AE837" s="1">
        <v>7018</v>
      </c>
      <c r="AF837" s="1" t="s">
        <v>2585</v>
      </c>
    </row>
    <row r="838" spans="30:32" hidden="1" outlineLevel="1">
      <c r="AD838" s="1" t="s">
        <v>754</v>
      </c>
      <c r="AE838" s="1">
        <v>7019</v>
      </c>
      <c r="AF838" s="1" t="s">
        <v>2581</v>
      </c>
    </row>
    <row r="839" spans="30:32" hidden="1" outlineLevel="1">
      <c r="AD839" s="1" t="s">
        <v>755</v>
      </c>
      <c r="AE839" s="1">
        <v>7020</v>
      </c>
      <c r="AF839" s="1" t="s">
        <v>2577</v>
      </c>
    </row>
    <row r="840" spans="30:32" hidden="1" outlineLevel="1">
      <c r="AD840" s="1" t="s">
        <v>756</v>
      </c>
      <c r="AE840" s="1">
        <v>7021</v>
      </c>
      <c r="AF840" s="1" t="s">
        <v>2574</v>
      </c>
    </row>
    <row r="841" spans="30:32" hidden="1" outlineLevel="1">
      <c r="AD841" s="1" t="s">
        <v>757</v>
      </c>
      <c r="AE841" s="1">
        <v>7022</v>
      </c>
      <c r="AF841" s="1" t="s">
        <v>2570</v>
      </c>
    </row>
    <row r="842" spans="30:32" hidden="1" outlineLevel="1">
      <c r="AD842" s="1" t="s">
        <v>758</v>
      </c>
      <c r="AE842" s="1">
        <v>7023</v>
      </c>
      <c r="AF842" s="1" t="s">
        <v>2566</v>
      </c>
    </row>
    <row r="843" spans="30:32" hidden="1" outlineLevel="1">
      <c r="AD843" s="1" t="s">
        <v>759</v>
      </c>
      <c r="AE843" s="1">
        <v>7024</v>
      </c>
      <c r="AF843" s="1" t="s">
        <v>2562</v>
      </c>
    </row>
    <row r="844" spans="30:32" hidden="1" outlineLevel="1">
      <c r="AD844" s="1" t="s">
        <v>760</v>
      </c>
      <c r="AE844" s="1">
        <v>7025</v>
      </c>
      <c r="AF844" s="1" t="s">
        <v>2558</v>
      </c>
    </row>
    <row r="845" spans="30:32" hidden="1" outlineLevel="1">
      <c r="AD845" s="1" t="s">
        <v>761</v>
      </c>
      <c r="AE845" s="1">
        <v>7026</v>
      </c>
      <c r="AF845" s="1" t="s">
        <v>2554</v>
      </c>
    </row>
    <row r="846" spans="30:32" hidden="1" outlineLevel="1">
      <c r="AD846" s="1" t="s">
        <v>762</v>
      </c>
      <c r="AE846" s="1">
        <v>7027</v>
      </c>
      <c r="AF846" s="1" t="s">
        <v>2550</v>
      </c>
    </row>
    <row r="847" spans="30:32" hidden="1" outlineLevel="1">
      <c r="AD847" s="1" t="s">
        <v>763</v>
      </c>
      <c r="AE847" s="1">
        <v>7028</v>
      </c>
      <c r="AF847" s="1" t="s">
        <v>2546</v>
      </c>
    </row>
    <row r="848" spans="30:32" hidden="1" outlineLevel="1">
      <c r="AD848" s="1" t="s">
        <v>764</v>
      </c>
      <c r="AE848" s="1">
        <v>7029</v>
      </c>
      <c r="AF848" s="1" t="s">
        <v>2542</v>
      </c>
    </row>
    <row r="849" spans="30:32" hidden="1" outlineLevel="1">
      <c r="AD849" s="1" t="s">
        <v>765</v>
      </c>
      <c r="AE849" s="1">
        <v>7030</v>
      </c>
      <c r="AF849" s="1" t="s">
        <v>2538</v>
      </c>
    </row>
    <row r="850" spans="30:32" hidden="1" outlineLevel="1">
      <c r="AD850" s="1" t="s">
        <v>766</v>
      </c>
      <c r="AE850" s="1">
        <v>7031</v>
      </c>
      <c r="AF850" s="1" t="s">
        <v>2534</v>
      </c>
    </row>
    <row r="851" spans="30:32" hidden="1" outlineLevel="1">
      <c r="AD851" s="1" t="s">
        <v>767</v>
      </c>
      <c r="AE851" s="1">
        <v>7032</v>
      </c>
      <c r="AF851" s="1" t="s">
        <v>2530</v>
      </c>
    </row>
    <row r="852" spans="30:32" hidden="1" outlineLevel="1">
      <c r="AD852" s="1" t="s">
        <v>768</v>
      </c>
      <c r="AE852" s="1">
        <v>7033</v>
      </c>
      <c r="AF852" s="1" t="s">
        <v>2526</v>
      </c>
    </row>
    <row r="853" spans="30:32" hidden="1" outlineLevel="1">
      <c r="AD853" s="1" t="s">
        <v>769</v>
      </c>
      <c r="AE853" s="1">
        <v>7034</v>
      </c>
      <c r="AF853" s="1" t="s">
        <v>2525</v>
      </c>
    </row>
    <row r="854" spans="30:32" hidden="1" outlineLevel="1">
      <c r="AD854" s="1" t="s">
        <v>770</v>
      </c>
      <c r="AE854" s="1">
        <v>7035</v>
      </c>
      <c r="AF854" s="1" t="s">
        <v>2524</v>
      </c>
    </row>
    <row r="855" spans="30:32" hidden="1" outlineLevel="1">
      <c r="AD855" s="1" t="s">
        <v>771</v>
      </c>
      <c r="AE855" s="1">
        <v>7036</v>
      </c>
      <c r="AF855" s="1" t="s">
        <v>2522</v>
      </c>
    </row>
    <row r="856" spans="30:32" hidden="1" outlineLevel="1">
      <c r="AD856" s="1" t="s">
        <v>772</v>
      </c>
      <c r="AE856" s="1">
        <v>7037</v>
      </c>
      <c r="AF856" s="1" t="s">
        <v>2520</v>
      </c>
    </row>
    <row r="857" spans="30:32" hidden="1" outlineLevel="1">
      <c r="AD857" s="1" t="s">
        <v>773</v>
      </c>
      <c r="AE857" s="1">
        <v>7038</v>
      </c>
      <c r="AF857" s="1" t="s">
        <v>2518</v>
      </c>
    </row>
    <row r="858" spans="30:32" hidden="1" outlineLevel="1">
      <c r="AD858" s="1" t="s">
        <v>774</v>
      </c>
      <c r="AE858" s="1">
        <v>7039</v>
      </c>
      <c r="AF858" s="1" t="s">
        <v>2516</v>
      </c>
    </row>
    <row r="859" spans="30:32" hidden="1" outlineLevel="1">
      <c r="AD859" s="1" t="s">
        <v>775</v>
      </c>
      <c r="AE859" s="1">
        <v>7040</v>
      </c>
      <c r="AF859" s="1" t="s">
        <v>2514</v>
      </c>
    </row>
    <row r="860" spans="30:32" hidden="1" outlineLevel="1">
      <c r="AD860" s="1" t="s">
        <v>776</v>
      </c>
      <c r="AE860" s="1">
        <v>7041</v>
      </c>
      <c r="AF860" s="1" t="s">
        <v>2512</v>
      </c>
    </row>
    <row r="861" spans="30:32" hidden="1" outlineLevel="1">
      <c r="AD861" s="1" t="s">
        <v>777</v>
      </c>
      <c r="AE861" s="1">
        <v>7042</v>
      </c>
      <c r="AF861" s="1" t="s">
        <v>2510</v>
      </c>
    </row>
    <row r="862" spans="30:32" hidden="1" outlineLevel="1">
      <c r="AD862" s="1" t="s">
        <v>778</v>
      </c>
      <c r="AE862" s="1">
        <v>7043</v>
      </c>
      <c r="AF862" s="1" t="s">
        <v>2508</v>
      </c>
    </row>
    <row r="863" spans="30:32" hidden="1" outlineLevel="1">
      <c r="AD863" s="1" t="s">
        <v>779</v>
      </c>
      <c r="AE863" s="1">
        <v>7044</v>
      </c>
      <c r="AF863" s="1" t="s">
        <v>2506</v>
      </c>
    </row>
    <row r="864" spans="30:32" hidden="1" outlineLevel="1">
      <c r="AD864" s="1" t="s">
        <v>780</v>
      </c>
      <c r="AE864" s="1">
        <v>7045</v>
      </c>
      <c r="AF864" s="1" t="s">
        <v>2504</v>
      </c>
    </row>
    <row r="865" spans="30:32" hidden="1" outlineLevel="1">
      <c r="AD865" s="1" t="s">
        <v>781</v>
      </c>
      <c r="AE865" s="1">
        <v>7046</v>
      </c>
      <c r="AF865" s="1" t="s">
        <v>2502</v>
      </c>
    </row>
    <row r="866" spans="30:32" hidden="1" outlineLevel="1">
      <c r="AD866" s="1" t="s">
        <v>782</v>
      </c>
      <c r="AE866" s="1">
        <v>7047</v>
      </c>
      <c r="AF866" s="1" t="s">
        <v>2500</v>
      </c>
    </row>
    <row r="867" spans="30:32" hidden="1" outlineLevel="1">
      <c r="AD867" s="1" t="s">
        <v>783</v>
      </c>
      <c r="AE867" s="1">
        <v>7048</v>
      </c>
      <c r="AF867" s="1" t="s">
        <v>2498</v>
      </c>
    </row>
    <row r="868" spans="30:32" hidden="1" outlineLevel="1">
      <c r="AD868" s="1" t="s">
        <v>784</v>
      </c>
      <c r="AE868" s="1">
        <v>7049</v>
      </c>
      <c r="AF868" s="1" t="s">
        <v>2496</v>
      </c>
    </row>
    <row r="869" spans="30:32" hidden="1" outlineLevel="1">
      <c r="AD869" s="1" t="s">
        <v>785</v>
      </c>
      <c r="AE869" s="1">
        <v>7050</v>
      </c>
      <c r="AF869" s="1" t="s">
        <v>2494</v>
      </c>
    </row>
    <row r="870" spans="30:32" hidden="1" outlineLevel="1">
      <c r="AD870" s="1" t="s">
        <v>786</v>
      </c>
      <c r="AE870" s="1">
        <v>7051</v>
      </c>
      <c r="AF870" s="1" t="s">
        <v>2492</v>
      </c>
    </row>
    <row r="871" spans="30:32" hidden="1" outlineLevel="1">
      <c r="AD871" s="1" t="s">
        <v>787</v>
      </c>
      <c r="AE871" s="1">
        <v>7052</v>
      </c>
      <c r="AF871" s="1" t="s">
        <v>2490</v>
      </c>
    </row>
    <row r="872" spans="30:32" hidden="1" outlineLevel="1">
      <c r="AD872" s="1" t="s">
        <v>788</v>
      </c>
      <c r="AE872" s="1">
        <v>7053</v>
      </c>
      <c r="AF872" s="1" t="s">
        <v>2488</v>
      </c>
    </row>
    <row r="873" spans="30:32" hidden="1" outlineLevel="1">
      <c r="AD873" s="1" t="s">
        <v>789</v>
      </c>
      <c r="AE873" s="1">
        <v>7054</v>
      </c>
      <c r="AF873" s="1" t="s">
        <v>2486</v>
      </c>
    </row>
    <row r="874" spans="30:32" hidden="1" outlineLevel="1">
      <c r="AD874" s="1" t="s">
        <v>790</v>
      </c>
      <c r="AE874" s="1">
        <v>7055</v>
      </c>
      <c r="AF874" s="1" t="s">
        <v>2484</v>
      </c>
    </row>
    <row r="875" spans="30:32" hidden="1" outlineLevel="1">
      <c r="AD875" s="1" t="s">
        <v>791</v>
      </c>
      <c r="AE875" s="1">
        <v>7056</v>
      </c>
      <c r="AF875" s="1" t="s">
        <v>2482</v>
      </c>
    </row>
    <row r="876" spans="30:32" hidden="1" outlineLevel="1">
      <c r="AD876" s="1" t="s">
        <v>792</v>
      </c>
      <c r="AE876" s="1">
        <v>7057</v>
      </c>
      <c r="AF876" s="1" t="s">
        <v>2480</v>
      </c>
    </row>
    <row r="877" spans="30:32" hidden="1" outlineLevel="1">
      <c r="AD877" s="1" t="s">
        <v>793</v>
      </c>
      <c r="AE877" s="1">
        <v>7058</v>
      </c>
      <c r="AF877" s="1" t="s">
        <v>2477</v>
      </c>
    </row>
    <row r="878" spans="30:32" hidden="1" outlineLevel="1">
      <c r="AD878" s="1" t="s">
        <v>794</v>
      </c>
      <c r="AE878" s="1">
        <v>7059</v>
      </c>
      <c r="AF878" s="1" t="s">
        <v>2475</v>
      </c>
    </row>
    <row r="879" spans="30:32" hidden="1" outlineLevel="1">
      <c r="AD879" s="1" t="s">
        <v>795</v>
      </c>
      <c r="AE879" s="1">
        <v>7060</v>
      </c>
      <c r="AF879" s="1" t="s">
        <v>2473</v>
      </c>
    </row>
    <row r="880" spans="30:32" hidden="1" outlineLevel="1">
      <c r="AD880" s="1" t="s">
        <v>796</v>
      </c>
      <c r="AE880" s="1">
        <v>7061</v>
      </c>
      <c r="AF880" s="1" t="s">
        <v>2471</v>
      </c>
    </row>
    <row r="881" spans="30:32" hidden="1" outlineLevel="1">
      <c r="AD881" s="1" t="s">
        <v>797</v>
      </c>
      <c r="AE881" s="1">
        <v>7062</v>
      </c>
      <c r="AF881" s="1" t="s">
        <v>2469</v>
      </c>
    </row>
    <row r="882" spans="30:32" hidden="1" outlineLevel="1">
      <c r="AD882" s="1" t="s">
        <v>798</v>
      </c>
      <c r="AE882" s="1">
        <v>7063</v>
      </c>
      <c r="AF882" s="1" t="s">
        <v>2467</v>
      </c>
    </row>
    <row r="883" spans="30:32" hidden="1" outlineLevel="1">
      <c r="AD883" s="1" t="s">
        <v>799</v>
      </c>
      <c r="AE883" s="1">
        <v>7064</v>
      </c>
      <c r="AF883" s="1" t="s">
        <v>2465</v>
      </c>
    </row>
    <row r="884" spans="30:32" hidden="1" outlineLevel="1">
      <c r="AD884" s="1" t="s">
        <v>800</v>
      </c>
      <c r="AE884" s="1">
        <v>7065</v>
      </c>
      <c r="AF884" s="1" t="s">
        <v>2463</v>
      </c>
    </row>
    <row r="885" spans="30:32" hidden="1" outlineLevel="1">
      <c r="AD885" s="1" t="s">
        <v>801</v>
      </c>
      <c r="AE885" s="1">
        <v>7066</v>
      </c>
      <c r="AF885" s="1" t="s">
        <v>2461</v>
      </c>
    </row>
    <row r="886" spans="30:32" hidden="1" outlineLevel="1">
      <c r="AD886" s="1" t="s">
        <v>802</v>
      </c>
      <c r="AE886" s="1">
        <v>7067</v>
      </c>
      <c r="AF886" s="1" t="s">
        <v>2459</v>
      </c>
    </row>
    <row r="887" spans="30:32" hidden="1" outlineLevel="1">
      <c r="AD887" s="1" t="s">
        <v>803</v>
      </c>
      <c r="AE887" s="1">
        <v>7068</v>
      </c>
      <c r="AF887" s="1" t="s">
        <v>2457</v>
      </c>
    </row>
    <row r="888" spans="30:32" hidden="1" outlineLevel="1">
      <c r="AD888" s="1" t="s">
        <v>804</v>
      </c>
      <c r="AE888" s="1">
        <v>7069</v>
      </c>
      <c r="AF888" s="1" t="s">
        <v>2455</v>
      </c>
    </row>
    <row r="889" spans="30:32" hidden="1" outlineLevel="1">
      <c r="AD889" s="1" t="s">
        <v>805</v>
      </c>
      <c r="AE889" s="1">
        <v>7070</v>
      </c>
      <c r="AF889" s="1" t="s">
        <v>2453</v>
      </c>
    </row>
    <row r="890" spans="30:32" hidden="1" outlineLevel="1">
      <c r="AD890" s="1" t="s">
        <v>806</v>
      </c>
      <c r="AE890" s="1">
        <v>7071</v>
      </c>
      <c r="AF890" s="1" t="s">
        <v>2451</v>
      </c>
    </row>
    <row r="891" spans="30:32" hidden="1" outlineLevel="1">
      <c r="AD891" s="1" t="s">
        <v>807</v>
      </c>
      <c r="AE891" s="1">
        <v>7072</v>
      </c>
      <c r="AF891" s="1" t="s">
        <v>2449</v>
      </c>
    </row>
    <row r="892" spans="30:32" hidden="1" outlineLevel="1">
      <c r="AD892" s="1" t="s">
        <v>233</v>
      </c>
      <c r="AE892" s="1">
        <v>7073</v>
      </c>
      <c r="AF892" s="1" t="s">
        <v>2447</v>
      </c>
    </row>
    <row r="893" spans="30:32" hidden="1" outlineLevel="1">
      <c r="AD893" s="1" t="s">
        <v>234</v>
      </c>
      <c r="AE893" s="1">
        <v>7074</v>
      </c>
      <c r="AF893" s="1" t="s">
        <v>2445</v>
      </c>
    </row>
    <row r="894" spans="30:32" hidden="1" outlineLevel="1">
      <c r="AD894" s="1" t="s">
        <v>235</v>
      </c>
      <c r="AE894" s="1">
        <v>7075</v>
      </c>
      <c r="AF894" s="1" t="s">
        <v>2443</v>
      </c>
    </row>
    <row r="895" spans="30:32" hidden="1" outlineLevel="1">
      <c r="AD895" s="1" t="s">
        <v>236</v>
      </c>
      <c r="AE895" s="1">
        <v>7076</v>
      </c>
      <c r="AF895" s="1" t="s">
        <v>2441</v>
      </c>
    </row>
    <row r="896" spans="30:32" hidden="1" outlineLevel="1">
      <c r="AD896" s="1" t="s">
        <v>237</v>
      </c>
      <c r="AE896" s="1">
        <v>7077</v>
      </c>
      <c r="AF896" s="1" t="s">
        <v>2439</v>
      </c>
    </row>
    <row r="897" spans="30:32" hidden="1" outlineLevel="1">
      <c r="AD897" s="1" t="s">
        <v>238</v>
      </c>
      <c r="AE897" s="1">
        <v>7078</v>
      </c>
      <c r="AF897" s="1" t="s">
        <v>2437</v>
      </c>
    </row>
    <row r="898" spans="30:32" hidden="1" outlineLevel="1">
      <c r="AD898" s="1" t="s">
        <v>239</v>
      </c>
      <c r="AE898" s="1">
        <v>7079</v>
      </c>
      <c r="AF898" s="1" t="s">
        <v>2435</v>
      </c>
    </row>
    <row r="899" spans="30:32" hidden="1" outlineLevel="1">
      <c r="AD899" s="1" t="s">
        <v>240</v>
      </c>
      <c r="AE899" s="1">
        <v>7080</v>
      </c>
      <c r="AF899" s="1" t="s">
        <v>1564</v>
      </c>
    </row>
    <row r="900" spans="30:32" hidden="1" outlineLevel="1">
      <c r="AD900" s="1" t="s">
        <v>241</v>
      </c>
      <c r="AE900" s="1">
        <v>7081</v>
      </c>
      <c r="AF900" s="1" t="s">
        <v>2432</v>
      </c>
    </row>
    <row r="901" spans="30:32" hidden="1" outlineLevel="1">
      <c r="AD901" s="1" t="s">
        <v>242</v>
      </c>
      <c r="AE901" s="1">
        <v>7082</v>
      </c>
      <c r="AF901" s="1" t="s">
        <v>2430</v>
      </c>
    </row>
    <row r="902" spans="30:32" hidden="1" outlineLevel="1">
      <c r="AD902" s="1" t="s">
        <v>243</v>
      </c>
      <c r="AE902" s="1">
        <v>7083</v>
      </c>
      <c r="AF902" s="1" t="s">
        <v>2428</v>
      </c>
    </row>
    <row r="903" spans="30:32" hidden="1" outlineLevel="1">
      <c r="AD903" s="1" t="s">
        <v>244</v>
      </c>
      <c r="AE903" s="1">
        <v>7084</v>
      </c>
      <c r="AF903" s="1" t="s">
        <v>2426</v>
      </c>
    </row>
    <row r="904" spans="30:32" hidden="1" outlineLevel="1">
      <c r="AD904" s="1" t="s">
        <v>245</v>
      </c>
      <c r="AE904" s="1">
        <v>7085</v>
      </c>
      <c r="AF904" s="1" t="s">
        <v>2424</v>
      </c>
    </row>
    <row r="905" spans="30:32" hidden="1" outlineLevel="1">
      <c r="AD905" s="1" t="s">
        <v>246</v>
      </c>
      <c r="AE905" s="1">
        <v>7086</v>
      </c>
      <c r="AF905" s="1" t="s">
        <v>2422</v>
      </c>
    </row>
    <row r="906" spans="30:32" hidden="1" outlineLevel="1">
      <c r="AD906" s="1" t="s">
        <v>247</v>
      </c>
      <c r="AE906" s="1">
        <v>7087</v>
      </c>
      <c r="AF906" s="1" t="s">
        <v>2420</v>
      </c>
    </row>
    <row r="907" spans="30:32" hidden="1" outlineLevel="1">
      <c r="AD907" s="1" t="s">
        <v>248</v>
      </c>
      <c r="AE907" s="1">
        <v>7088</v>
      </c>
      <c r="AF907" s="1" t="s">
        <v>2418</v>
      </c>
    </row>
    <row r="908" spans="30:32" hidden="1" outlineLevel="1">
      <c r="AD908" s="1" t="s">
        <v>249</v>
      </c>
      <c r="AE908" s="1">
        <v>7089</v>
      </c>
      <c r="AF908" s="1" t="s">
        <v>2416</v>
      </c>
    </row>
    <row r="909" spans="30:32" hidden="1" outlineLevel="1">
      <c r="AD909" s="1" t="s">
        <v>250</v>
      </c>
      <c r="AE909" s="1">
        <v>7090</v>
      </c>
      <c r="AF909" s="1" t="s">
        <v>2414</v>
      </c>
    </row>
    <row r="910" spans="30:32" hidden="1" outlineLevel="1">
      <c r="AD910" s="1" t="s">
        <v>251</v>
      </c>
      <c r="AE910" s="1">
        <v>7091</v>
      </c>
      <c r="AF910" s="1" t="s">
        <v>2412</v>
      </c>
    </row>
    <row r="911" spans="30:32" hidden="1" outlineLevel="1">
      <c r="AD911" s="1" t="s">
        <v>252</v>
      </c>
      <c r="AE911" s="1">
        <v>7092</v>
      </c>
      <c r="AF911" s="1" t="s">
        <v>2410</v>
      </c>
    </row>
    <row r="912" spans="30:32" hidden="1" outlineLevel="1">
      <c r="AD912" s="1" t="s">
        <v>253</v>
      </c>
      <c r="AE912" s="1">
        <v>7093</v>
      </c>
      <c r="AF912" s="1" t="s">
        <v>2408</v>
      </c>
    </row>
    <row r="913" spans="30:32" hidden="1" outlineLevel="1">
      <c r="AD913" s="1" t="s">
        <v>254</v>
      </c>
      <c r="AE913" s="1">
        <v>7094</v>
      </c>
      <c r="AF913" s="1" t="s">
        <v>2406</v>
      </c>
    </row>
    <row r="914" spans="30:32" hidden="1" outlineLevel="1">
      <c r="AD914" s="1" t="s">
        <v>255</v>
      </c>
      <c r="AE914" s="1">
        <v>7095</v>
      </c>
      <c r="AF914" s="1" t="s">
        <v>2404</v>
      </c>
    </row>
    <row r="915" spans="30:32" hidden="1" outlineLevel="1">
      <c r="AD915" s="1" t="s">
        <v>256</v>
      </c>
      <c r="AE915" s="1">
        <v>7096</v>
      </c>
      <c r="AF915" s="1" t="s">
        <v>2402</v>
      </c>
    </row>
    <row r="916" spans="30:32" ht="15.75" collapsed="1" thickBot="1"/>
    <row r="917" spans="30:32">
      <c r="AD917" s="801" t="s">
        <v>3459</v>
      </c>
      <c r="AE917" s="802"/>
    </row>
    <row r="918" spans="30:32" hidden="1" outlineLevel="1">
      <c r="AD918" s="1" t="s">
        <v>1152</v>
      </c>
      <c r="AE918" s="1" t="s">
        <v>1147</v>
      </c>
    </row>
    <row r="919" spans="30:32" hidden="1" outlineLevel="1">
      <c r="AD919" s="1" t="s">
        <v>1159</v>
      </c>
      <c r="AE919" s="1" t="s">
        <v>1148</v>
      </c>
    </row>
    <row r="920" spans="30:32" hidden="1" outlineLevel="1">
      <c r="AD920" s="1" t="s">
        <v>1167</v>
      </c>
      <c r="AE920" s="1" t="s">
        <v>1149</v>
      </c>
    </row>
    <row r="921" spans="30:32" hidden="1" outlineLevel="1">
      <c r="AD921" s="1" t="s">
        <v>1176</v>
      </c>
      <c r="AE921" s="1" t="s">
        <v>1150</v>
      </c>
    </row>
    <row r="922" spans="30:32" hidden="1" outlineLevel="1">
      <c r="AD922" s="1" t="s">
        <v>1160</v>
      </c>
      <c r="AE922" s="1" t="s">
        <v>1154</v>
      </c>
    </row>
    <row r="923" spans="30:32" hidden="1" outlineLevel="1">
      <c r="AD923" s="1" t="s">
        <v>1193</v>
      </c>
      <c r="AE923" s="1" t="s">
        <v>1155</v>
      </c>
    </row>
    <row r="924" spans="30:32" hidden="1" outlineLevel="1">
      <c r="AD924" s="1" t="s">
        <v>1202</v>
      </c>
      <c r="AE924" s="1" t="s">
        <v>1156</v>
      </c>
    </row>
    <row r="925" spans="30:32" hidden="1" outlineLevel="1">
      <c r="AD925" s="1" t="s">
        <v>1211</v>
      </c>
      <c r="AE925" s="1" t="s">
        <v>1157</v>
      </c>
    </row>
    <row r="926" spans="30:32" hidden="1" outlineLevel="1">
      <c r="AD926" s="1" t="s">
        <v>1168</v>
      </c>
      <c r="AE926" s="1" t="s">
        <v>1162</v>
      </c>
    </row>
    <row r="927" spans="30:32" hidden="1" outlineLevel="1">
      <c r="AD927" s="1" t="s">
        <v>1226</v>
      </c>
      <c r="AE927" s="1" t="s">
        <v>1163</v>
      </c>
    </row>
    <row r="928" spans="30:32" hidden="1" outlineLevel="1">
      <c r="AD928" s="1" t="s">
        <v>1235</v>
      </c>
      <c r="AE928" s="1" t="s">
        <v>1164</v>
      </c>
    </row>
    <row r="929" spans="30:31" hidden="1" outlineLevel="1">
      <c r="AD929" s="1" t="s">
        <v>1244</v>
      </c>
      <c r="AE929" s="1" t="s">
        <v>1165</v>
      </c>
    </row>
    <row r="930" spans="30:31" hidden="1" outlineLevel="1">
      <c r="AD930" s="1" t="s">
        <v>1178</v>
      </c>
      <c r="AE930" s="1" t="s">
        <v>1171</v>
      </c>
    </row>
    <row r="931" spans="30:31" hidden="1" outlineLevel="1">
      <c r="AD931" s="1" t="s">
        <v>1258</v>
      </c>
      <c r="AE931" s="1" t="s">
        <v>1172</v>
      </c>
    </row>
    <row r="932" spans="30:31" hidden="1" outlineLevel="1">
      <c r="AD932" s="1" t="s">
        <v>1267</v>
      </c>
      <c r="AE932" s="1" t="s">
        <v>1173</v>
      </c>
    </row>
    <row r="933" spans="30:31" hidden="1" outlineLevel="1">
      <c r="AD933" s="1" t="s">
        <v>1274</v>
      </c>
      <c r="AE933" s="1" t="s">
        <v>1174</v>
      </c>
    </row>
    <row r="934" spans="30:31" hidden="1" outlineLevel="1">
      <c r="AD934" s="1" t="s">
        <v>1186</v>
      </c>
      <c r="AE934" s="1" t="s">
        <v>1181</v>
      </c>
    </row>
    <row r="935" spans="30:31" hidden="1" outlineLevel="1">
      <c r="AD935" s="1" t="s">
        <v>1288</v>
      </c>
      <c r="AE935" s="1" t="s">
        <v>1182</v>
      </c>
    </row>
    <row r="936" spans="30:31" hidden="1" outlineLevel="1">
      <c r="AD936" s="1" t="s">
        <v>1295</v>
      </c>
      <c r="AE936" s="1" t="s">
        <v>1183</v>
      </c>
    </row>
    <row r="937" spans="30:31" hidden="1" outlineLevel="1">
      <c r="AD937" s="1" t="s">
        <v>1303</v>
      </c>
      <c r="AE937" s="1" t="s">
        <v>1184</v>
      </c>
    </row>
    <row r="938" spans="30:31" hidden="1" outlineLevel="1">
      <c r="AD938" s="1" t="s">
        <v>1195</v>
      </c>
      <c r="AE938" s="1" t="s">
        <v>1188</v>
      </c>
    </row>
    <row r="939" spans="30:31" hidden="1" outlineLevel="1">
      <c r="AD939" s="1" t="s">
        <v>1317</v>
      </c>
      <c r="AE939" s="1" t="s">
        <v>1189</v>
      </c>
    </row>
    <row r="940" spans="30:31" hidden="1" outlineLevel="1">
      <c r="AD940" s="1" t="s">
        <v>1324</v>
      </c>
      <c r="AE940" s="1" t="s">
        <v>1190</v>
      </c>
    </row>
    <row r="941" spans="30:31" hidden="1" outlineLevel="1">
      <c r="AD941" s="1" t="s">
        <v>1332</v>
      </c>
      <c r="AE941" s="1" t="s">
        <v>1191</v>
      </c>
    </row>
    <row r="942" spans="30:31" hidden="1" outlineLevel="1">
      <c r="AD942" s="1" t="s">
        <v>1203</v>
      </c>
      <c r="AE942" s="1" t="s">
        <v>1197</v>
      </c>
    </row>
    <row r="943" spans="30:31" hidden="1" outlineLevel="1">
      <c r="AD943" s="1" t="s">
        <v>1347</v>
      </c>
      <c r="AE943" s="1" t="s">
        <v>1198</v>
      </c>
    </row>
    <row r="944" spans="30:31" hidden="1" outlineLevel="1">
      <c r="AD944" s="1" t="s">
        <v>1354</v>
      </c>
      <c r="AE944" s="1" t="s">
        <v>1199</v>
      </c>
    </row>
    <row r="945" spans="30:31" hidden="1" outlineLevel="1">
      <c r="AD945" s="1" t="s">
        <v>1361</v>
      </c>
      <c r="AE945" s="1" t="s">
        <v>1200</v>
      </c>
    </row>
    <row r="946" spans="30:31" hidden="1" outlineLevel="1">
      <c r="AD946" s="1" t="s">
        <v>1213</v>
      </c>
      <c r="AE946" s="1" t="s">
        <v>1206</v>
      </c>
    </row>
    <row r="947" spans="30:31" hidden="1" outlineLevel="1">
      <c r="AD947" s="1" t="s">
        <v>1376</v>
      </c>
      <c r="AE947" s="1" t="s">
        <v>1207</v>
      </c>
    </row>
    <row r="948" spans="30:31" hidden="1" outlineLevel="1">
      <c r="AD948" s="1" t="s">
        <v>1384</v>
      </c>
      <c r="AE948" s="1" t="s">
        <v>1208</v>
      </c>
    </row>
    <row r="949" spans="30:31" hidden="1" outlineLevel="1">
      <c r="AD949" s="1" t="s">
        <v>1392</v>
      </c>
      <c r="AE949" s="1" t="s">
        <v>1209</v>
      </c>
    </row>
    <row r="950" spans="30:31" hidden="1" outlineLevel="1">
      <c r="AD950" s="1" t="s">
        <v>1220</v>
      </c>
      <c r="AE950" s="1" t="s">
        <v>1216</v>
      </c>
    </row>
    <row r="951" spans="30:31" hidden="1" outlineLevel="1">
      <c r="AD951" s="1" t="s">
        <v>1409</v>
      </c>
      <c r="AE951" s="1" t="s">
        <v>1217</v>
      </c>
    </row>
    <row r="952" spans="30:31" hidden="1" outlineLevel="1">
      <c r="AD952" s="1" t="s">
        <v>1419</v>
      </c>
      <c r="AE952" s="1" t="s">
        <v>1218</v>
      </c>
    </row>
    <row r="953" spans="30:31" hidden="1" outlineLevel="1">
      <c r="AD953" s="1" t="s">
        <v>1429</v>
      </c>
      <c r="AE953" s="1" t="s">
        <v>1219</v>
      </c>
    </row>
    <row r="954" spans="30:31" hidden="1" outlineLevel="1">
      <c r="AD954" s="1" t="s">
        <v>1228</v>
      </c>
      <c r="AE954" s="1" t="s">
        <v>1222</v>
      </c>
    </row>
    <row r="955" spans="30:31" hidden="1" outlineLevel="1">
      <c r="AD955" s="1" t="s">
        <v>1445</v>
      </c>
      <c r="AE955" s="1" t="s">
        <v>1223</v>
      </c>
    </row>
    <row r="956" spans="30:31" hidden="1" outlineLevel="1">
      <c r="AD956" s="1" t="s">
        <v>1454</v>
      </c>
      <c r="AE956" s="1" t="s">
        <v>1224</v>
      </c>
    </row>
    <row r="957" spans="30:31" hidden="1" outlineLevel="1">
      <c r="AD957" s="1" t="s">
        <v>1463</v>
      </c>
      <c r="AE957" s="1" t="s">
        <v>1225</v>
      </c>
    </row>
    <row r="958" spans="30:31" hidden="1" outlineLevel="1">
      <c r="AD958" s="1" t="s">
        <v>1237</v>
      </c>
      <c r="AE958" s="1" t="s">
        <v>1231</v>
      </c>
    </row>
    <row r="959" spans="30:31" hidden="1" outlineLevel="1">
      <c r="AD959" s="1" t="s">
        <v>1479</v>
      </c>
      <c r="AE959" s="1" t="s">
        <v>1232</v>
      </c>
    </row>
    <row r="960" spans="30:31" hidden="1" outlineLevel="1">
      <c r="AD960" s="1" t="s">
        <v>1486</v>
      </c>
      <c r="AE960" s="1" t="s">
        <v>1233</v>
      </c>
    </row>
    <row r="961" spans="30:31" hidden="1" outlineLevel="1">
      <c r="AD961" s="1" t="s">
        <v>1494</v>
      </c>
      <c r="AE961" s="1" t="s">
        <v>1234</v>
      </c>
    </row>
    <row r="962" spans="30:31" hidden="1" outlineLevel="1">
      <c r="AD962" s="1" t="s">
        <v>1245</v>
      </c>
      <c r="AE962" s="1" t="s">
        <v>1240</v>
      </c>
    </row>
    <row r="963" spans="30:31" hidden="1" outlineLevel="1">
      <c r="AD963" s="1" t="s">
        <v>1509</v>
      </c>
      <c r="AE963" s="1" t="s">
        <v>1241</v>
      </c>
    </row>
    <row r="964" spans="30:31" hidden="1" outlineLevel="1">
      <c r="AD964" s="1" t="s">
        <v>1516</v>
      </c>
      <c r="AE964" s="1" t="s">
        <v>1242</v>
      </c>
    </row>
    <row r="965" spans="30:31" hidden="1" outlineLevel="1">
      <c r="AD965" s="1" t="s">
        <v>1524</v>
      </c>
      <c r="AE965" s="1" t="s">
        <v>1243</v>
      </c>
    </row>
    <row r="966" spans="30:31" hidden="1" outlineLevel="1">
      <c r="AD966" s="1" t="s">
        <v>1252</v>
      </c>
      <c r="AE966" s="1" t="s">
        <v>1248</v>
      </c>
    </row>
    <row r="967" spans="30:31" hidden="1" outlineLevel="1">
      <c r="AD967" s="1" t="s">
        <v>1538</v>
      </c>
      <c r="AE967" s="1" t="s">
        <v>1249</v>
      </c>
    </row>
    <row r="968" spans="30:31" hidden="1" outlineLevel="1">
      <c r="AD968" s="1" t="s">
        <v>1545</v>
      </c>
      <c r="AE968" s="1" t="s">
        <v>1250</v>
      </c>
    </row>
    <row r="969" spans="30:31" hidden="1" outlineLevel="1">
      <c r="AD969" s="1" t="s">
        <v>1552</v>
      </c>
      <c r="AE969" s="1" t="s">
        <v>1251</v>
      </c>
    </row>
    <row r="970" spans="30:31" hidden="1" outlineLevel="1">
      <c r="AD970" s="1" t="s">
        <v>1260</v>
      </c>
      <c r="AE970" s="1" t="s">
        <v>1254</v>
      </c>
    </row>
    <row r="971" spans="30:31" hidden="1" outlineLevel="1">
      <c r="AD971" s="1" t="s">
        <v>1567</v>
      </c>
      <c r="AE971" s="1" t="s">
        <v>1255</v>
      </c>
    </row>
    <row r="972" spans="30:31" hidden="1" outlineLevel="1">
      <c r="AD972" s="1" t="s">
        <v>1575</v>
      </c>
      <c r="AE972" s="1" t="s">
        <v>1256</v>
      </c>
    </row>
    <row r="973" spans="30:31" hidden="1" outlineLevel="1">
      <c r="AD973" s="1" t="s">
        <v>1582</v>
      </c>
      <c r="AE973" s="1" t="s">
        <v>1257</v>
      </c>
    </row>
    <row r="974" spans="30:31" hidden="1" outlineLevel="1">
      <c r="AD974" s="1" t="s">
        <v>1268</v>
      </c>
      <c r="AE974" s="1" t="s">
        <v>1263</v>
      </c>
    </row>
    <row r="975" spans="30:31" hidden="1" outlineLevel="1">
      <c r="AD975" s="1" t="s">
        <v>1596</v>
      </c>
      <c r="AE975" s="1" t="s">
        <v>1264</v>
      </c>
    </row>
    <row r="976" spans="30:31" hidden="1" outlineLevel="1">
      <c r="AD976" s="1" t="s">
        <v>1605</v>
      </c>
      <c r="AE976" s="1" t="s">
        <v>1265</v>
      </c>
    </row>
    <row r="977" spans="30:31" hidden="1" outlineLevel="1">
      <c r="AD977" s="1" t="s">
        <v>1613</v>
      </c>
      <c r="AE977" s="1" t="s">
        <v>1266</v>
      </c>
    </row>
    <row r="978" spans="30:31" hidden="1" outlineLevel="1">
      <c r="AD978" s="1" t="s">
        <v>1275</v>
      </c>
      <c r="AE978" s="1" t="s">
        <v>1270</v>
      </c>
    </row>
    <row r="979" spans="30:31" hidden="1" outlineLevel="1">
      <c r="AD979" s="1" t="s">
        <v>1627</v>
      </c>
      <c r="AE979" s="1" t="s">
        <v>1271</v>
      </c>
    </row>
    <row r="980" spans="30:31" hidden="1" outlineLevel="1">
      <c r="AD980" s="1" t="s">
        <v>1636</v>
      </c>
      <c r="AE980" s="1" t="s">
        <v>1272</v>
      </c>
    </row>
    <row r="981" spans="30:31" hidden="1" outlineLevel="1">
      <c r="AD981" s="1" t="s">
        <v>1645</v>
      </c>
      <c r="AE981" s="1" t="s">
        <v>1273</v>
      </c>
    </row>
    <row r="982" spans="30:31" hidden="1" outlineLevel="1">
      <c r="AD982" s="1" t="s">
        <v>1281</v>
      </c>
      <c r="AE982" s="1" t="s">
        <v>1277</v>
      </c>
    </row>
    <row r="983" spans="30:31" hidden="1" outlineLevel="1">
      <c r="AD983" s="1" t="s">
        <v>1659</v>
      </c>
      <c r="AE983" s="1" t="s">
        <v>1278</v>
      </c>
    </row>
    <row r="984" spans="30:31" hidden="1" outlineLevel="1">
      <c r="AD984" s="1" t="s">
        <v>1667</v>
      </c>
      <c r="AE984" s="1" t="s">
        <v>1279</v>
      </c>
    </row>
    <row r="985" spans="30:31" hidden="1" outlineLevel="1">
      <c r="AD985" s="1" t="s">
        <v>1676</v>
      </c>
      <c r="AE985" s="1" t="s">
        <v>1280</v>
      </c>
    </row>
    <row r="986" spans="30:31" hidden="1" outlineLevel="1">
      <c r="AD986" s="1" t="s">
        <v>1289</v>
      </c>
      <c r="AE986" s="1" t="s">
        <v>1284</v>
      </c>
    </row>
    <row r="987" spans="30:31" hidden="1" outlineLevel="1">
      <c r="AD987" s="1" t="s">
        <v>1691</v>
      </c>
      <c r="AE987" s="1" t="s">
        <v>1285</v>
      </c>
    </row>
    <row r="988" spans="30:31" hidden="1" outlineLevel="1">
      <c r="AD988" s="1" t="s">
        <v>1699</v>
      </c>
      <c r="AE988" s="1" t="s">
        <v>1286</v>
      </c>
    </row>
    <row r="989" spans="30:31" hidden="1" outlineLevel="1">
      <c r="AD989" s="1" t="s">
        <v>1709</v>
      </c>
      <c r="AE989" s="1" t="s">
        <v>1287</v>
      </c>
    </row>
    <row r="990" spans="30:31" hidden="1" outlineLevel="1">
      <c r="AD990" s="1" t="s">
        <v>1297</v>
      </c>
      <c r="AE990" s="1" t="s">
        <v>1291</v>
      </c>
    </row>
    <row r="991" spans="30:31" hidden="1" outlineLevel="1">
      <c r="AD991" s="1" t="s">
        <v>1723</v>
      </c>
      <c r="AE991" s="1" t="s">
        <v>1292</v>
      </c>
    </row>
    <row r="992" spans="30:31" hidden="1" outlineLevel="1">
      <c r="AD992" s="1" t="s">
        <v>1730</v>
      </c>
      <c r="AE992" s="1" t="s">
        <v>1293</v>
      </c>
    </row>
    <row r="993" spans="30:31" hidden="1" outlineLevel="1">
      <c r="AD993" s="1" t="s">
        <v>1737</v>
      </c>
      <c r="AE993" s="1" t="s">
        <v>1294</v>
      </c>
    </row>
    <row r="994" spans="30:31" hidden="1" outlineLevel="1">
      <c r="AD994" s="1" t="s">
        <v>1304</v>
      </c>
      <c r="AE994" s="1" t="s">
        <v>1299</v>
      </c>
    </row>
    <row r="995" spans="30:31" hidden="1" outlineLevel="1">
      <c r="AD995" s="1" t="s">
        <v>1751</v>
      </c>
      <c r="AE995" s="1" t="s">
        <v>1300</v>
      </c>
    </row>
    <row r="996" spans="30:31" hidden="1" outlineLevel="1">
      <c r="AD996" s="1" t="s">
        <v>1758</v>
      </c>
      <c r="AE996" s="1" t="s">
        <v>1301</v>
      </c>
    </row>
    <row r="997" spans="30:31" hidden="1" outlineLevel="1">
      <c r="AD997" s="1" t="s">
        <v>1765</v>
      </c>
      <c r="AE997" s="1" t="s">
        <v>1302</v>
      </c>
    </row>
    <row r="998" spans="30:31" hidden="1" outlineLevel="1">
      <c r="AD998" s="1" t="s">
        <v>1310</v>
      </c>
      <c r="AE998" s="1" t="s">
        <v>1306</v>
      </c>
    </row>
    <row r="999" spans="30:31" hidden="1" outlineLevel="1">
      <c r="AD999" s="1" t="s">
        <v>1778</v>
      </c>
      <c r="AE999" s="1" t="s">
        <v>1307</v>
      </c>
    </row>
    <row r="1000" spans="30:31" hidden="1" outlineLevel="1">
      <c r="AD1000" s="1" t="s">
        <v>1787</v>
      </c>
      <c r="AE1000" s="1" t="s">
        <v>1308</v>
      </c>
    </row>
    <row r="1001" spans="30:31" hidden="1" outlineLevel="1">
      <c r="AD1001" s="1" t="s">
        <v>1796</v>
      </c>
      <c r="AE1001" s="1" t="s">
        <v>1309</v>
      </c>
    </row>
    <row r="1002" spans="30:31" hidden="1" outlineLevel="1">
      <c r="AD1002" s="1" t="s">
        <v>1318</v>
      </c>
      <c r="AE1002" s="1" t="s">
        <v>1313</v>
      </c>
    </row>
    <row r="1003" spans="30:31" hidden="1" outlineLevel="1">
      <c r="AD1003" s="1" t="s">
        <v>1811</v>
      </c>
      <c r="AE1003" s="1" t="s">
        <v>1314</v>
      </c>
    </row>
    <row r="1004" spans="30:31" hidden="1" outlineLevel="1">
      <c r="AD1004" s="1" t="s">
        <v>1820</v>
      </c>
      <c r="AE1004" s="1" t="s">
        <v>1315</v>
      </c>
    </row>
    <row r="1005" spans="30:31" hidden="1" outlineLevel="1">
      <c r="AD1005" s="1" t="s">
        <v>1827</v>
      </c>
      <c r="AE1005" s="1" t="s">
        <v>1316</v>
      </c>
    </row>
    <row r="1006" spans="30:31" hidden="1" outlineLevel="1">
      <c r="AD1006" s="1" t="s">
        <v>1325</v>
      </c>
      <c r="AE1006" s="1" t="s">
        <v>1320</v>
      </c>
    </row>
    <row r="1007" spans="30:31" hidden="1" outlineLevel="1">
      <c r="AD1007" s="1" t="s">
        <v>1842</v>
      </c>
      <c r="AE1007" s="1" t="s">
        <v>1321</v>
      </c>
    </row>
    <row r="1008" spans="30:31" hidden="1" outlineLevel="1">
      <c r="AD1008" s="1" t="s">
        <v>1850</v>
      </c>
      <c r="AE1008" s="1" t="s">
        <v>1322</v>
      </c>
    </row>
    <row r="1009" spans="30:31" hidden="1" outlineLevel="1">
      <c r="AD1009" s="1" t="s">
        <v>1858</v>
      </c>
      <c r="AE1009" s="1" t="s">
        <v>1323</v>
      </c>
    </row>
    <row r="1010" spans="30:31" hidden="1" outlineLevel="1">
      <c r="AD1010" s="1" t="s">
        <v>1334</v>
      </c>
      <c r="AE1010" s="1" t="s">
        <v>1328</v>
      </c>
    </row>
    <row r="1011" spans="30:31" hidden="1" outlineLevel="1">
      <c r="AD1011" s="1" t="s">
        <v>1874</v>
      </c>
      <c r="AE1011" s="1" t="s">
        <v>1329</v>
      </c>
    </row>
    <row r="1012" spans="30:31" hidden="1" outlineLevel="1">
      <c r="AD1012" s="1" t="s">
        <v>1882</v>
      </c>
      <c r="AE1012" s="1" t="s">
        <v>1330</v>
      </c>
    </row>
    <row r="1013" spans="30:31" hidden="1" outlineLevel="1">
      <c r="AD1013" s="1" t="s">
        <v>1891</v>
      </c>
      <c r="AE1013" s="1" t="s">
        <v>1331</v>
      </c>
    </row>
    <row r="1014" spans="30:31" hidden="1" outlineLevel="1">
      <c r="AD1014" s="1" t="s">
        <v>1341</v>
      </c>
      <c r="AE1014" s="1" t="s">
        <v>1337</v>
      </c>
    </row>
    <row r="1015" spans="30:31" hidden="1" outlineLevel="1">
      <c r="AD1015" s="1" t="s">
        <v>1896</v>
      </c>
      <c r="AE1015" s="1" t="s">
        <v>1338</v>
      </c>
    </row>
    <row r="1016" spans="30:31" hidden="1" outlineLevel="1">
      <c r="AD1016" s="1" t="s">
        <v>1899</v>
      </c>
      <c r="AE1016" s="1" t="s">
        <v>1339</v>
      </c>
    </row>
    <row r="1017" spans="30:31" hidden="1" outlineLevel="1">
      <c r="AD1017" s="1" t="s">
        <v>1902</v>
      </c>
      <c r="AE1017" s="1" t="s">
        <v>1340</v>
      </c>
    </row>
    <row r="1018" spans="30:31" hidden="1" outlineLevel="1">
      <c r="AD1018" s="1" t="s">
        <v>1348</v>
      </c>
      <c r="AE1018" s="1" t="s">
        <v>1343</v>
      </c>
    </row>
    <row r="1019" spans="30:31" hidden="1" outlineLevel="1">
      <c r="AD1019" s="1" t="s">
        <v>1905</v>
      </c>
      <c r="AE1019" s="1" t="s">
        <v>1344</v>
      </c>
    </row>
    <row r="1020" spans="30:31" hidden="1" outlineLevel="1">
      <c r="AD1020" s="1" t="s">
        <v>1908</v>
      </c>
      <c r="AE1020" s="1" t="s">
        <v>1345</v>
      </c>
    </row>
    <row r="1021" spans="30:31" hidden="1" outlineLevel="1">
      <c r="AD1021" s="1" t="s">
        <v>1911</v>
      </c>
      <c r="AE1021" s="1" t="s">
        <v>1346</v>
      </c>
    </row>
    <row r="1022" spans="30:31" hidden="1" outlineLevel="1">
      <c r="AD1022" s="1" t="s">
        <v>1355</v>
      </c>
      <c r="AE1022" s="1" t="s">
        <v>1350</v>
      </c>
    </row>
    <row r="1023" spans="30:31" hidden="1" outlineLevel="1">
      <c r="AD1023" s="1" t="s">
        <v>1913</v>
      </c>
      <c r="AE1023" s="1" t="s">
        <v>1351</v>
      </c>
    </row>
    <row r="1024" spans="30:31" hidden="1" outlineLevel="1">
      <c r="AD1024" s="1" t="s">
        <v>1915</v>
      </c>
      <c r="AE1024" s="1" t="s">
        <v>1352</v>
      </c>
    </row>
    <row r="1025" spans="30:31" hidden="1" outlineLevel="1">
      <c r="AD1025" s="1" t="s">
        <v>1916</v>
      </c>
      <c r="AE1025" s="1" t="s">
        <v>1353</v>
      </c>
    </row>
    <row r="1026" spans="30:31" hidden="1" outlineLevel="1">
      <c r="AD1026" s="1" t="s">
        <v>1363</v>
      </c>
      <c r="AE1026" s="1" t="s">
        <v>1357</v>
      </c>
    </row>
    <row r="1027" spans="30:31" hidden="1" outlineLevel="1">
      <c r="AD1027" s="1" t="s">
        <v>1918</v>
      </c>
      <c r="AE1027" s="1" t="s">
        <v>1358</v>
      </c>
    </row>
    <row r="1028" spans="30:31" hidden="1" outlineLevel="1">
      <c r="AD1028" s="1" t="s">
        <v>1920</v>
      </c>
      <c r="AE1028" s="1" t="s">
        <v>1359</v>
      </c>
    </row>
    <row r="1029" spans="30:31" hidden="1" outlineLevel="1">
      <c r="AD1029" s="1" t="s">
        <v>1922</v>
      </c>
      <c r="AE1029" s="1" t="s">
        <v>1360</v>
      </c>
    </row>
    <row r="1030" spans="30:31" hidden="1" outlineLevel="1">
      <c r="AD1030" s="1" t="s">
        <v>1370</v>
      </c>
      <c r="AE1030" s="1" t="s">
        <v>1366</v>
      </c>
    </row>
    <row r="1031" spans="30:31" hidden="1" outlineLevel="1">
      <c r="AD1031" s="1" t="s">
        <v>1924</v>
      </c>
      <c r="AE1031" s="1" t="s">
        <v>1367</v>
      </c>
    </row>
    <row r="1032" spans="30:31" hidden="1" outlineLevel="1">
      <c r="AD1032" s="1" t="s">
        <v>1925</v>
      </c>
      <c r="AE1032" s="1" t="s">
        <v>1368</v>
      </c>
    </row>
    <row r="1033" spans="30:31" hidden="1" outlineLevel="1">
      <c r="AD1033" s="1" t="s">
        <v>1927</v>
      </c>
      <c r="AE1033" s="1" t="s">
        <v>1369</v>
      </c>
    </row>
    <row r="1034" spans="30:31" hidden="1" outlineLevel="1">
      <c r="AD1034" s="1" t="s">
        <v>1377</v>
      </c>
      <c r="AE1034" s="1" t="s">
        <v>1372</v>
      </c>
    </row>
    <row r="1035" spans="30:31" hidden="1" outlineLevel="1">
      <c r="AD1035" s="1" t="s">
        <v>1928</v>
      </c>
      <c r="AE1035" s="1" t="s">
        <v>1373</v>
      </c>
    </row>
    <row r="1036" spans="30:31" hidden="1" outlineLevel="1">
      <c r="AD1036" s="1" t="s">
        <v>1930</v>
      </c>
      <c r="AE1036" s="1" t="s">
        <v>1374</v>
      </c>
    </row>
    <row r="1037" spans="30:31" hidden="1" outlineLevel="1">
      <c r="AD1037" s="1" t="s">
        <v>1932</v>
      </c>
      <c r="AE1037" s="1" t="s">
        <v>1375</v>
      </c>
    </row>
    <row r="1038" spans="30:31" hidden="1" outlineLevel="1">
      <c r="AD1038" s="1" t="s">
        <v>1386</v>
      </c>
      <c r="AE1038" s="1" t="s">
        <v>1380</v>
      </c>
    </row>
    <row r="1039" spans="30:31" hidden="1" outlineLevel="1">
      <c r="AD1039" s="1" t="s">
        <v>1933</v>
      </c>
      <c r="AE1039" s="1" t="s">
        <v>1381</v>
      </c>
    </row>
    <row r="1040" spans="30:31" hidden="1" outlineLevel="1">
      <c r="AD1040" s="1" t="s">
        <v>1934</v>
      </c>
      <c r="AE1040" s="1" t="s">
        <v>1382</v>
      </c>
    </row>
    <row r="1041" spans="30:31" hidden="1" outlineLevel="1">
      <c r="AD1041" s="1" t="s">
        <v>1936</v>
      </c>
      <c r="AE1041" s="1" t="s">
        <v>1383</v>
      </c>
    </row>
    <row r="1042" spans="30:31" hidden="1" outlineLevel="1">
      <c r="AD1042" s="1" t="s">
        <v>1393</v>
      </c>
      <c r="AE1042" s="1" t="s">
        <v>1388</v>
      </c>
    </row>
    <row r="1043" spans="30:31" hidden="1" outlineLevel="1">
      <c r="AD1043" s="1" t="s">
        <v>1937</v>
      </c>
      <c r="AE1043" s="1" t="s">
        <v>1389</v>
      </c>
    </row>
    <row r="1044" spans="30:31" hidden="1" outlineLevel="1">
      <c r="AD1044" s="1" t="s">
        <v>1938</v>
      </c>
      <c r="AE1044" s="1" t="s">
        <v>1390</v>
      </c>
    </row>
    <row r="1045" spans="30:31" hidden="1" outlineLevel="1">
      <c r="AD1045" s="1" t="s">
        <v>1939</v>
      </c>
      <c r="AE1045" s="1" t="s">
        <v>1391</v>
      </c>
    </row>
    <row r="1046" spans="30:31" hidden="1" outlineLevel="1">
      <c r="AD1046" s="1" t="s">
        <v>1401</v>
      </c>
      <c r="AE1046" s="1" t="s">
        <v>1396</v>
      </c>
    </row>
    <row r="1047" spans="30:31" hidden="1" outlineLevel="1">
      <c r="AD1047" s="1" t="s">
        <v>1942</v>
      </c>
      <c r="AE1047" s="1" t="s">
        <v>1397</v>
      </c>
    </row>
    <row r="1048" spans="30:31" hidden="1" outlineLevel="1">
      <c r="AD1048" s="1" t="s">
        <v>1947</v>
      </c>
      <c r="AE1048" s="1" t="s">
        <v>1398</v>
      </c>
    </row>
    <row r="1049" spans="30:31" hidden="1" outlineLevel="1">
      <c r="AD1049" s="1" t="s">
        <v>1951</v>
      </c>
      <c r="AE1049" s="1" t="s">
        <v>1399</v>
      </c>
    </row>
    <row r="1050" spans="30:31" hidden="1" outlineLevel="1">
      <c r="AD1050" s="1" t="s">
        <v>1411</v>
      </c>
      <c r="AE1050" s="1" t="s">
        <v>1404</v>
      </c>
    </row>
    <row r="1051" spans="30:31" hidden="1" outlineLevel="1">
      <c r="AD1051" s="1" t="s">
        <v>1945</v>
      </c>
      <c r="AE1051" s="1" t="s">
        <v>1405</v>
      </c>
    </row>
    <row r="1052" spans="30:31" hidden="1" outlineLevel="1">
      <c r="AD1052" s="1" t="s">
        <v>1959</v>
      </c>
      <c r="AE1052" s="1" t="s">
        <v>1406</v>
      </c>
    </row>
    <row r="1053" spans="30:31" hidden="1" outlineLevel="1">
      <c r="AD1053" s="1" t="s">
        <v>1963</v>
      </c>
      <c r="AE1053" s="1" t="s">
        <v>1407</v>
      </c>
    </row>
    <row r="1054" spans="30:31" hidden="1" outlineLevel="1">
      <c r="AD1054" s="1" t="s">
        <v>1421</v>
      </c>
      <c r="AE1054" s="1" t="s">
        <v>1414</v>
      </c>
    </row>
    <row r="1055" spans="30:31" hidden="1" outlineLevel="1">
      <c r="AD1055" s="1" t="s">
        <v>1949</v>
      </c>
      <c r="AE1055" s="1" t="s">
        <v>1415</v>
      </c>
    </row>
    <row r="1056" spans="30:31" hidden="1" outlineLevel="1">
      <c r="AD1056" s="1" t="s">
        <v>1969</v>
      </c>
      <c r="AE1056" s="1" t="s">
        <v>1416</v>
      </c>
    </row>
    <row r="1057" spans="30:31" hidden="1" outlineLevel="1">
      <c r="AD1057" s="1" t="s">
        <v>1972</v>
      </c>
      <c r="AE1057" s="1" t="s">
        <v>1417</v>
      </c>
    </row>
    <row r="1058" spans="30:31" hidden="1" outlineLevel="1">
      <c r="AD1058" s="1" t="s">
        <v>1430</v>
      </c>
      <c r="AE1058" s="1" t="s">
        <v>1424</v>
      </c>
    </row>
    <row r="1059" spans="30:31" hidden="1" outlineLevel="1">
      <c r="AD1059" s="1" t="s">
        <v>1952</v>
      </c>
      <c r="AE1059" s="1" t="s">
        <v>1425</v>
      </c>
    </row>
    <row r="1060" spans="30:31" hidden="1" outlineLevel="1">
      <c r="AD1060" s="1" t="s">
        <v>1976</v>
      </c>
      <c r="AE1060" s="1" t="s">
        <v>1426</v>
      </c>
    </row>
    <row r="1061" spans="30:31" hidden="1" outlineLevel="1">
      <c r="AD1061" s="1" t="s">
        <v>1979</v>
      </c>
      <c r="AE1061" s="1" t="s">
        <v>1427</v>
      </c>
    </row>
    <row r="1062" spans="30:31" hidden="1" outlineLevel="1">
      <c r="AD1062" s="1" t="s">
        <v>1438</v>
      </c>
      <c r="AE1062" s="1" t="s">
        <v>1433</v>
      </c>
    </row>
    <row r="1063" spans="30:31" hidden="1" outlineLevel="1">
      <c r="AD1063" s="1" t="s">
        <v>1954</v>
      </c>
      <c r="AE1063" s="1" t="s">
        <v>1434</v>
      </c>
    </row>
    <row r="1064" spans="30:31" hidden="1" outlineLevel="1">
      <c r="AD1064" s="1" t="s">
        <v>1984</v>
      </c>
      <c r="AE1064" s="1" t="s">
        <v>1435</v>
      </c>
    </row>
    <row r="1065" spans="30:31" hidden="1" outlineLevel="1">
      <c r="AD1065" s="1" t="s">
        <v>1987</v>
      </c>
      <c r="AE1065" s="1" t="s">
        <v>1436</v>
      </c>
    </row>
    <row r="1066" spans="30:31" hidden="1" outlineLevel="1">
      <c r="AD1066" s="1" t="s">
        <v>1446</v>
      </c>
      <c r="AE1066" s="1" t="s">
        <v>1440</v>
      </c>
    </row>
    <row r="1067" spans="30:31" hidden="1" outlineLevel="1">
      <c r="AD1067" s="1" t="s">
        <v>1957</v>
      </c>
      <c r="AE1067" s="1" t="s">
        <v>1441</v>
      </c>
    </row>
    <row r="1068" spans="30:31" hidden="1" outlineLevel="1">
      <c r="AD1068" s="1" t="s">
        <v>1991</v>
      </c>
      <c r="AE1068" s="1" t="s">
        <v>1442</v>
      </c>
    </row>
    <row r="1069" spans="30:31" hidden="1" outlineLevel="1">
      <c r="AD1069" s="1" t="s">
        <v>1995</v>
      </c>
      <c r="AE1069" s="1" t="s">
        <v>1443</v>
      </c>
    </row>
    <row r="1070" spans="30:31" hidden="1" outlineLevel="1">
      <c r="AD1070" s="1" t="s">
        <v>1456</v>
      </c>
      <c r="AE1070" s="1" t="s">
        <v>1449</v>
      </c>
    </row>
    <row r="1071" spans="30:31" hidden="1" outlineLevel="1">
      <c r="AD1071" s="1" t="s">
        <v>1960</v>
      </c>
      <c r="AE1071" s="1" t="s">
        <v>1450</v>
      </c>
    </row>
    <row r="1072" spans="30:31" hidden="1" outlineLevel="1">
      <c r="AD1072" s="1" t="s">
        <v>2000</v>
      </c>
      <c r="AE1072" s="1" t="s">
        <v>1451</v>
      </c>
    </row>
    <row r="1073" spans="30:31" hidden="1" outlineLevel="1">
      <c r="AD1073" s="1" t="s">
        <v>2002</v>
      </c>
      <c r="AE1073" s="1" t="s">
        <v>1452</v>
      </c>
    </row>
    <row r="1074" spans="30:31" hidden="1" outlineLevel="1">
      <c r="AD1074" s="1" t="s">
        <v>1465</v>
      </c>
      <c r="AE1074" s="1" t="s">
        <v>1458</v>
      </c>
    </row>
    <row r="1075" spans="30:31" hidden="1" outlineLevel="1">
      <c r="AD1075" s="1" t="s">
        <v>1965</v>
      </c>
      <c r="AE1075" s="1" t="s">
        <v>1459</v>
      </c>
    </row>
    <row r="1076" spans="30:31" hidden="1" outlineLevel="1">
      <c r="AD1076" s="1" t="s">
        <v>2008</v>
      </c>
      <c r="AE1076" s="1" t="s">
        <v>1460</v>
      </c>
    </row>
    <row r="1077" spans="30:31" hidden="1" outlineLevel="1">
      <c r="AD1077" s="1" t="s">
        <v>2010</v>
      </c>
      <c r="AE1077" s="1" t="s">
        <v>1461</v>
      </c>
    </row>
    <row r="1078" spans="30:31" hidden="1" outlineLevel="1">
      <c r="AD1078" s="1" t="s">
        <v>1472</v>
      </c>
      <c r="AE1078" s="1" t="s">
        <v>1468</v>
      </c>
    </row>
    <row r="1079" spans="30:31" hidden="1" outlineLevel="1">
      <c r="AD1079" s="1" t="s">
        <v>1966</v>
      </c>
      <c r="AE1079" s="1" t="s">
        <v>1469</v>
      </c>
    </row>
    <row r="1080" spans="30:31" hidden="1" outlineLevel="1">
      <c r="AD1080" s="1" t="s">
        <v>2018</v>
      </c>
      <c r="AE1080" s="1" t="s">
        <v>1470</v>
      </c>
    </row>
    <row r="1081" spans="30:31" hidden="1" outlineLevel="1">
      <c r="AD1081" s="1" t="s">
        <v>2022</v>
      </c>
      <c r="AE1081" s="1" t="s">
        <v>1471</v>
      </c>
    </row>
    <row r="1082" spans="30:31" hidden="1" outlineLevel="1">
      <c r="AD1082" s="1" t="s">
        <v>1480</v>
      </c>
      <c r="AE1082" s="1" t="s">
        <v>1475</v>
      </c>
    </row>
    <row r="1083" spans="30:31" hidden="1" outlineLevel="1">
      <c r="AD1083" s="1" t="s">
        <v>1968</v>
      </c>
      <c r="AE1083" s="1" t="s">
        <v>1476</v>
      </c>
    </row>
    <row r="1084" spans="30:31" hidden="1" outlineLevel="1">
      <c r="AD1084" s="1" t="s">
        <v>2029</v>
      </c>
      <c r="AE1084" s="1" t="s">
        <v>1477</v>
      </c>
    </row>
    <row r="1085" spans="30:31" hidden="1" outlineLevel="1">
      <c r="AD1085" s="1" t="s">
        <v>2032</v>
      </c>
      <c r="AE1085" s="1" t="s">
        <v>1478</v>
      </c>
    </row>
    <row r="1086" spans="30:31" hidden="1" outlineLevel="1">
      <c r="AD1086" s="1" t="s">
        <v>1487</v>
      </c>
      <c r="AE1086" s="1" t="s">
        <v>1482</v>
      </c>
    </row>
    <row r="1087" spans="30:31" hidden="1" outlineLevel="1">
      <c r="AD1087" s="1" t="s">
        <v>1970</v>
      </c>
      <c r="AE1087" s="1" t="s">
        <v>1483</v>
      </c>
    </row>
    <row r="1088" spans="30:31" hidden="1" outlineLevel="1">
      <c r="AD1088" s="1" t="s">
        <v>2037</v>
      </c>
      <c r="AE1088" s="1" t="s">
        <v>1484</v>
      </c>
    </row>
    <row r="1089" spans="30:31" hidden="1" outlineLevel="1">
      <c r="AD1089" s="1" t="s">
        <v>2040</v>
      </c>
      <c r="AE1089" s="1" t="s">
        <v>1485</v>
      </c>
    </row>
    <row r="1090" spans="30:31" hidden="1" outlineLevel="1">
      <c r="AD1090" s="1" t="s">
        <v>1496</v>
      </c>
      <c r="AE1090" s="1" t="s">
        <v>1490</v>
      </c>
    </row>
    <row r="1091" spans="30:31" hidden="1" outlineLevel="1">
      <c r="AD1091" s="1" t="s">
        <v>1973</v>
      </c>
      <c r="AE1091" s="1" t="s">
        <v>1491</v>
      </c>
    </row>
    <row r="1092" spans="30:31" hidden="1" outlineLevel="1">
      <c r="AD1092" s="1" t="s">
        <v>2047</v>
      </c>
      <c r="AE1092" s="1" t="s">
        <v>1492</v>
      </c>
    </row>
    <row r="1093" spans="30:31" hidden="1" outlineLevel="1">
      <c r="AD1093" s="1" t="s">
        <v>2050</v>
      </c>
      <c r="AE1093" s="1" t="s">
        <v>1493</v>
      </c>
    </row>
    <row r="1094" spans="30:31" hidden="1" outlineLevel="1">
      <c r="AD1094" s="1" t="s">
        <v>1503</v>
      </c>
      <c r="AE1094" s="1" t="s">
        <v>1499</v>
      </c>
    </row>
    <row r="1095" spans="30:31" hidden="1" outlineLevel="1">
      <c r="AD1095" s="1" t="s">
        <v>1974</v>
      </c>
      <c r="AE1095" s="1" t="s">
        <v>1500</v>
      </c>
    </row>
    <row r="1096" spans="30:31" hidden="1" outlineLevel="1">
      <c r="AD1096" s="1" t="s">
        <v>2056</v>
      </c>
      <c r="AE1096" s="1" t="s">
        <v>1501</v>
      </c>
    </row>
    <row r="1097" spans="30:31" hidden="1" outlineLevel="1">
      <c r="AD1097" s="1" t="s">
        <v>2058</v>
      </c>
      <c r="AE1097" s="1" t="s">
        <v>1502</v>
      </c>
    </row>
    <row r="1098" spans="30:31" hidden="1" outlineLevel="1">
      <c r="AD1098" s="1" t="s">
        <v>1510</v>
      </c>
      <c r="AE1098" s="1" t="s">
        <v>1505</v>
      </c>
    </row>
    <row r="1099" spans="30:31" hidden="1" outlineLevel="1">
      <c r="AD1099" s="1" t="s">
        <v>1975</v>
      </c>
      <c r="AE1099" s="1" t="s">
        <v>1506</v>
      </c>
    </row>
    <row r="1100" spans="30:31" hidden="1" outlineLevel="1">
      <c r="AD1100" s="1" t="s">
        <v>2064</v>
      </c>
      <c r="AE1100" s="1" t="s">
        <v>1507</v>
      </c>
    </row>
    <row r="1101" spans="30:31" hidden="1" outlineLevel="1">
      <c r="AD1101" s="1" t="s">
        <v>2068</v>
      </c>
      <c r="AE1101" s="1" t="s">
        <v>1508</v>
      </c>
    </row>
    <row r="1102" spans="30:31" hidden="1" outlineLevel="1">
      <c r="AD1102" s="1" t="s">
        <v>1518</v>
      </c>
      <c r="AE1102" s="1" t="s">
        <v>1512</v>
      </c>
    </row>
    <row r="1103" spans="30:31" hidden="1" outlineLevel="1">
      <c r="AD1103" s="1" t="s">
        <v>1978</v>
      </c>
      <c r="AE1103" s="1" t="s">
        <v>1513</v>
      </c>
    </row>
    <row r="1104" spans="30:31" hidden="1" outlineLevel="1">
      <c r="AD1104" s="1" t="s">
        <v>2075</v>
      </c>
      <c r="AE1104" s="1" t="s">
        <v>1514</v>
      </c>
    </row>
    <row r="1105" spans="30:31" hidden="1" outlineLevel="1">
      <c r="AD1105" s="1" t="s">
        <v>2078</v>
      </c>
      <c r="AE1105" s="1" t="s">
        <v>1515</v>
      </c>
    </row>
    <row r="1106" spans="30:31" hidden="1" outlineLevel="1">
      <c r="AD1106" s="1" t="s">
        <v>1525</v>
      </c>
      <c r="AE1106" s="1" t="s">
        <v>1520</v>
      </c>
    </row>
    <row r="1107" spans="30:31" hidden="1" outlineLevel="1">
      <c r="AD1107" s="1" t="s">
        <v>1980</v>
      </c>
      <c r="AE1107" s="1" t="s">
        <v>1521</v>
      </c>
    </row>
    <row r="1108" spans="30:31" hidden="1" outlineLevel="1">
      <c r="AD1108" s="1" t="s">
        <v>2083</v>
      </c>
      <c r="AE1108" s="1" t="s">
        <v>1522</v>
      </c>
    </row>
    <row r="1109" spans="30:31" hidden="1" outlineLevel="1">
      <c r="AD1109" s="1" t="s">
        <v>2086</v>
      </c>
      <c r="AE1109" s="1" t="s">
        <v>1523</v>
      </c>
    </row>
    <row r="1110" spans="30:31" hidden="1" outlineLevel="1">
      <c r="AD1110" s="1" t="s">
        <v>1531</v>
      </c>
      <c r="AE1110" s="1" t="s">
        <v>1527</v>
      </c>
    </row>
    <row r="1111" spans="30:31" hidden="1" outlineLevel="1">
      <c r="AD1111" s="1" t="s">
        <v>1982</v>
      </c>
      <c r="AE1111" s="1" t="s">
        <v>1528</v>
      </c>
    </row>
    <row r="1112" spans="30:31" hidden="1" outlineLevel="1">
      <c r="AD1112" s="1" t="s">
        <v>2092</v>
      </c>
      <c r="AE1112" s="1" t="s">
        <v>1529</v>
      </c>
    </row>
    <row r="1113" spans="30:31" hidden="1" outlineLevel="1">
      <c r="AD1113" s="1" t="s">
        <v>2094</v>
      </c>
      <c r="AE1113" s="1" t="s">
        <v>1530</v>
      </c>
    </row>
    <row r="1114" spans="30:31" hidden="1" outlineLevel="1">
      <c r="AD1114" s="1" t="s">
        <v>1539</v>
      </c>
      <c r="AE1114" s="1" t="s">
        <v>1534</v>
      </c>
    </row>
    <row r="1115" spans="30:31" hidden="1" outlineLevel="1">
      <c r="AD1115" s="1" t="s">
        <v>1983</v>
      </c>
      <c r="AE1115" s="1" t="s">
        <v>1535</v>
      </c>
    </row>
    <row r="1116" spans="30:31" hidden="1" outlineLevel="1">
      <c r="AD1116" s="1" t="s">
        <v>2099</v>
      </c>
      <c r="AE1116" s="1" t="s">
        <v>1536</v>
      </c>
    </row>
    <row r="1117" spans="30:31" hidden="1" outlineLevel="1">
      <c r="AD1117" s="1" t="s">
        <v>2102</v>
      </c>
      <c r="AE1117" s="1" t="s">
        <v>1537</v>
      </c>
    </row>
    <row r="1118" spans="30:31" hidden="1" outlineLevel="1">
      <c r="AD1118" s="1" t="s">
        <v>1546</v>
      </c>
      <c r="AE1118" s="1" t="s">
        <v>1541</v>
      </c>
    </row>
    <row r="1119" spans="30:31" hidden="1" outlineLevel="1">
      <c r="AD1119" s="1" t="s">
        <v>1986</v>
      </c>
      <c r="AE1119" s="1" t="s">
        <v>1542</v>
      </c>
    </row>
    <row r="1120" spans="30:31" hidden="1" outlineLevel="1">
      <c r="AD1120" s="1" t="s">
        <v>2104</v>
      </c>
      <c r="AE1120" s="1" t="s">
        <v>1543</v>
      </c>
    </row>
    <row r="1121" spans="30:31" hidden="1" outlineLevel="1">
      <c r="AD1121" s="1" t="s">
        <v>2105</v>
      </c>
      <c r="AE1121" s="1" t="s">
        <v>1544</v>
      </c>
    </row>
    <row r="1122" spans="30:31" hidden="1" outlineLevel="1">
      <c r="AD1122" s="1" t="s">
        <v>1554</v>
      </c>
      <c r="AE1122" s="1" t="s">
        <v>1548</v>
      </c>
    </row>
    <row r="1123" spans="30:31" hidden="1" outlineLevel="1">
      <c r="AD1123" s="1" t="s">
        <v>1988</v>
      </c>
      <c r="AE1123" s="1" t="s">
        <v>1549</v>
      </c>
    </row>
    <row r="1124" spans="30:31" hidden="1" outlineLevel="1">
      <c r="AD1124" s="1" t="s">
        <v>2107</v>
      </c>
      <c r="AE1124" s="1" t="s">
        <v>1550</v>
      </c>
    </row>
    <row r="1125" spans="30:31" hidden="1" outlineLevel="1">
      <c r="AD1125" s="1" t="s">
        <v>2108</v>
      </c>
      <c r="AE1125" s="1" t="s">
        <v>1551</v>
      </c>
    </row>
    <row r="1126" spans="30:31" hidden="1" outlineLevel="1">
      <c r="AD1126" s="1" t="s">
        <v>1560</v>
      </c>
      <c r="AE1126" s="1" t="s">
        <v>1556</v>
      </c>
    </row>
    <row r="1127" spans="30:31" hidden="1" outlineLevel="1">
      <c r="AD1127" s="1" t="s">
        <v>1989</v>
      </c>
      <c r="AE1127" s="1" t="s">
        <v>1557</v>
      </c>
    </row>
    <row r="1128" spans="30:31" hidden="1" outlineLevel="1">
      <c r="AD1128" s="1" t="s">
        <v>2109</v>
      </c>
      <c r="AE1128" s="1" t="s">
        <v>1558</v>
      </c>
    </row>
    <row r="1129" spans="30:31" hidden="1" outlineLevel="1">
      <c r="AD1129" s="1" t="s">
        <v>2110</v>
      </c>
      <c r="AE1129" s="1" t="s">
        <v>1559</v>
      </c>
    </row>
    <row r="1130" spans="30:31" hidden="1" outlineLevel="1">
      <c r="AD1130" s="1" t="s">
        <v>1569</v>
      </c>
      <c r="AE1130" s="1" t="s">
        <v>1563</v>
      </c>
    </row>
    <row r="1131" spans="30:31" hidden="1" outlineLevel="1">
      <c r="AD1131" s="1" t="s">
        <v>2112</v>
      </c>
      <c r="AE1131" s="1" t="s">
        <v>1564</v>
      </c>
    </row>
    <row r="1132" spans="30:31" hidden="1" outlineLevel="1">
      <c r="AD1132" s="1" t="s">
        <v>2113</v>
      </c>
      <c r="AE1132" s="1" t="s">
        <v>1565</v>
      </c>
    </row>
    <row r="1133" spans="30:31" hidden="1" outlineLevel="1">
      <c r="AD1133" s="1" t="s">
        <v>2115</v>
      </c>
      <c r="AE1133" s="1" t="s">
        <v>1566</v>
      </c>
    </row>
    <row r="1134" spans="30:31" hidden="1" outlineLevel="1">
      <c r="AD1134" s="1" t="s">
        <v>1576</v>
      </c>
      <c r="AE1134" s="1" t="s">
        <v>1571</v>
      </c>
    </row>
    <row r="1135" spans="30:31" hidden="1" outlineLevel="1">
      <c r="AD1135" s="1" t="s">
        <v>1993</v>
      </c>
      <c r="AE1135" s="1" t="s">
        <v>1572</v>
      </c>
    </row>
    <row r="1136" spans="30:31" hidden="1" outlineLevel="1">
      <c r="AD1136" s="1" t="s">
        <v>2116</v>
      </c>
      <c r="AE1136" s="1" t="s">
        <v>1573</v>
      </c>
    </row>
    <row r="1137" spans="30:31" hidden="1" outlineLevel="1">
      <c r="AD1137" s="1" t="s">
        <v>2118</v>
      </c>
      <c r="AE1137" s="1" t="s">
        <v>1574</v>
      </c>
    </row>
    <row r="1138" spans="30:31" hidden="1" outlineLevel="1">
      <c r="AD1138" s="1" t="s">
        <v>1584</v>
      </c>
      <c r="AE1138" s="1" t="s">
        <v>1578</v>
      </c>
    </row>
    <row r="1139" spans="30:31" hidden="1" outlineLevel="1">
      <c r="AD1139" s="1" t="s">
        <v>1996</v>
      </c>
      <c r="AE1139" s="1" t="s">
        <v>1579</v>
      </c>
    </row>
    <row r="1140" spans="30:31" hidden="1" outlineLevel="1">
      <c r="AD1140" s="1" t="s">
        <v>2120</v>
      </c>
      <c r="AE1140" s="1" t="s">
        <v>1580</v>
      </c>
    </row>
    <row r="1141" spans="30:31" hidden="1" outlineLevel="1">
      <c r="AD1141" s="1" t="s">
        <v>2121</v>
      </c>
      <c r="AE1141" s="1" t="s">
        <v>1581</v>
      </c>
    </row>
    <row r="1142" spans="30:31" hidden="1" outlineLevel="1">
      <c r="AD1142" s="1" t="s">
        <v>1590</v>
      </c>
      <c r="AE1142" s="1" t="s">
        <v>1586</v>
      </c>
    </row>
    <row r="1143" spans="30:31" hidden="1" outlineLevel="1">
      <c r="AD1143" s="1" t="s">
        <v>1998</v>
      </c>
      <c r="AE1143" s="1" t="s">
        <v>1587</v>
      </c>
    </row>
    <row r="1144" spans="30:31" hidden="1" outlineLevel="1">
      <c r="AD1144" s="1" t="s">
        <v>2126</v>
      </c>
      <c r="AE1144" s="1" t="s">
        <v>1588</v>
      </c>
    </row>
    <row r="1145" spans="30:31" hidden="1" outlineLevel="1">
      <c r="AD1145" s="1" t="s">
        <v>2128</v>
      </c>
      <c r="AE1145" s="1" t="s">
        <v>1589</v>
      </c>
    </row>
    <row r="1146" spans="30:31" hidden="1" outlineLevel="1">
      <c r="AD1146" s="1" t="s">
        <v>1598</v>
      </c>
      <c r="AE1146" s="1" t="s">
        <v>1592</v>
      </c>
    </row>
    <row r="1147" spans="30:31" hidden="1" outlineLevel="1">
      <c r="AD1147" s="1" t="s">
        <v>1999</v>
      </c>
      <c r="AE1147" s="1" t="s">
        <v>1593</v>
      </c>
    </row>
    <row r="1148" spans="30:31" hidden="1" outlineLevel="1">
      <c r="AD1148" s="1" t="s">
        <v>2132</v>
      </c>
      <c r="AE1148" s="1" t="s">
        <v>1594</v>
      </c>
    </row>
    <row r="1149" spans="30:31" hidden="1" outlineLevel="1">
      <c r="AD1149" s="1" t="s">
        <v>2135</v>
      </c>
      <c r="AE1149" s="1" t="s">
        <v>1595</v>
      </c>
    </row>
    <row r="1150" spans="30:31" hidden="1" outlineLevel="1">
      <c r="AD1150" s="1" t="s">
        <v>1606</v>
      </c>
      <c r="AE1150" s="1" t="s">
        <v>1601</v>
      </c>
    </row>
    <row r="1151" spans="30:31" hidden="1" outlineLevel="1">
      <c r="AD1151" s="1" t="s">
        <v>2001</v>
      </c>
      <c r="AE1151" s="1" t="s">
        <v>1602</v>
      </c>
    </row>
    <row r="1152" spans="30:31" hidden="1" outlineLevel="1">
      <c r="AD1152" s="1" t="s">
        <v>2137</v>
      </c>
      <c r="AE1152" s="1" t="s">
        <v>1603</v>
      </c>
    </row>
    <row r="1153" spans="30:31" hidden="1" outlineLevel="1">
      <c r="AD1153" s="1" t="s">
        <v>2138</v>
      </c>
      <c r="AE1153" s="1" t="s">
        <v>1604</v>
      </c>
    </row>
    <row r="1154" spans="30:31" hidden="1" outlineLevel="1">
      <c r="AD1154" s="1" t="s">
        <v>1614</v>
      </c>
      <c r="AE1154" s="1" t="s">
        <v>1609</v>
      </c>
    </row>
    <row r="1155" spans="30:31" hidden="1" outlineLevel="1">
      <c r="AD1155" s="1" t="s">
        <v>2003</v>
      </c>
      <c r="AE1155" s="1" t="s">
        <v>1610</v>
      </c>
    </row>
    <row r="1156" spans="30:31" hidden="1" outlineLevel="1">
      <c r="AD1156" s="1" t="s">
        <v>2139</v>
      </c>
      <c r="AE1156" s="1" t="s">
        <v>1611</v>
      </c>
    </row>
    <row r="1157" spans="30:31" hidden="1" outlineLevel="1">
      <c r="AD1157" s="1" t="s">
        <v>2140</v>
      </c>
      <c r="AE1157" s="1" t="s">
        <v>1612</v>
      </c>
    </row>
    <row r="1158" spans="30:31" hidden="1" outlineLevel="1">
      <c r="AD1158" s="1" t="s">
        <v>1621</v>
      </c>
      <c r="AE1158" s="1" t="s">
        <v>1617</v>
      </c>
    </row>
    <row r="1159" spans="30:31" hidden="1" outlineLevel="1">
      <c r="AD1159" s="1" t="s">
        <v>2004</v>
      </c>
      <c r="AE1159" s="1" t="s">
        <v>1618</v>
      </c>
    </row>
    <row r="1160" spans="30:31" hidden="1" outlineLevel="1">
      <c r="AD1160" s="1" t="s">
        <v>2141</v>
      </c>
      <c r="AE1160" s="1" t="s">
        <v>1619</v>
      </c>
    </row>
    <row r="1161" spans="30:31" hidden="1" outlineLevel="1">
      <c r="AD1161" s="1" t="s">
        <v>2143</v>
      </c>
      <c r="AE1161" s="1" t="s">
        <v>1620</v>
      </c>
    </row>
    <row r="1162" spans="30:31" hidden="1" outlineLevel="1">
      <c r="AD1162" s="1" t="s">
        <v>1629</v>
      </c>
      <c r="AE1162" s="1" t="s">
        <v>1623</v>
      </c>
    </row>
    <row r="1163" spans="30:31" hidden="1" outlineLevel="1">
      <c r="AD1163" s="1" t="s">
        <v>2006</v>
      </c>
      <c r="AE1163" s="1" t="s">
        <v>1624</v>
      </c>
    </row>
    <row r="1164" spans="30:31" hidden="1" outlineLevel="1">
      <c r="AD1164" s="1" t="s">
        <v>2145</v>
      </c>
      <c r="AE1164" s="1" t="s">
        <v>1625</v>
      </c>
    </row>
    <row r="1165" spans="30:31" hidden="1" outlineLevel="1">
      <c r="AD1165" s="1" t="s">
        <v>2146</v>
      </c>
      <c r="AE1165" s="1" t="s">
        <v>1626</v>
      </c>
    </row>
    <row r="1166" spans="30:31" hidden="1" outlineLevel="1">
      <c r="AD1166" s="1" t="s">
        <v>1638</v>
      </c>
      <c r="AE1166" s="1" t="s">
        <v>1632</v>
      </c>
    </row>
    <row r="1167" spans="30:31" hidden="1" outlineLevel="1">
      <c r="AD1167" s="1" t="s">
        <v>2009</v>
      </c>
      <c r="AE1167" s="1" t="s">
        <v>1633</v>
      </c>
    </row>
    <row r="1168" spans="30:31" hidden="1" outlineLevel="1">
      <c r="AD1168" s="1" t="s">
        <v>2147</v>
      </c>
      <c r="AE1168" s="1" t="s">
        <v>1634</v>
      </c>
    </row>
    <row r="1169" spans="30:31" hidden="1" outlineLevel="1">
      <c r="AD1169" s="1" t="s">
        <v>2148</v>
      </c>
      <c r="AE1169" s="1" t="s">
        <v>1635</v>
      </c>
    </row>
    <row r="1170" spans="30:31" hidden="1" outlineLevel="1">
      <c r="AD1170" s="1" t="s">
        <v>1646</v>
      </c>
      <c r="AE1170" s="1" t="s">
        <v>1641</v>
      </c>
    </row>
    <row r="1171" spans="30:31" hidden="1" outlineLevel="1">
      <c r="AD1171" s="1" t="s">
        <v>2011</v>
      </c>
      <c r="AE1171" s="1" t="s">
        <v>1642</v>
      </c>
    </row>
    <row r="1172" spans="30:31" hidden="1" outlineLevel="1">
      <c r="AD1172" s="1" t="s">
        <v>2149</v>
      </c>
      <c r="AE1172" s="1" t="s">
        <v>1643</v>
      </c>
    </row>
    <row r="1173" spans="30:31" hidden="1" outlineLevel="1">
      <c r="AD1173" s="1" t="s">
        <v>2151</v>
      </c>
      <c r="AE1173" s="1" t="s">
        <v>1644</v>
      </c>
    </row>
    <row r="1174" spans="30:31" hidden="1" outlineLevel="1">
      <c r="AD1174" s="1" t="s">
        <v>1652</v>
      </c>
      <c r="AE1174" s="1" t="s">
        <v>1648</v>
      </c>
    </row>
    <row r="1175" spans="30:31" hidden="1" outlineLevel="1">
      <c r="AD1175" s="1" t="s">
        <v>2014</v>
      </c>
      <c r="AE1175" s="1" t="s">
        <v>1649</v>
      </c>
    </row>
    <row r="1176" spans="30:31" hidden="1" outlineLevel="1">
      <c r="AD1176" s="1" t="s">
        <v>2154</v>
      </c>
      <c r="AE1176" s="1" t="s">
        <v>1650</v>
      </c>
    </row>
    <row r="1177" spans="30:31" hidden="1" outlineLevel="1">
      <c r="AD1177" s="1" t="s">
        <v>2160</v>
      </c>
      <c r="AE1177" s="1" t="s">
        <v>705</v>
      </c>
    </row>
    <row r="1178" spans="30:31" hidden="1" outlineLevel="1">
      <c r="AD1178" s="1" t="s">
        <v>1660</v>
      </c>
      <c r="AE1178" s="1" t="s">
        <v>1654</v>
      </c>
    </row>
    <row r="1179" spans="30:31" hidden="1" outlineLevel="1">
      <c r="AD1179" s="1" t="s">
        <v>2016</v>
      </c>
      <c r="AE1179" s="1" t="s">
        <v>1655</v>
      </c>
    </row>
    <row r="1180" spans="30:31" hidden="1" outlineLevel="1">
      <c r="AD1180" s="1" t="s">
        <v>2156</v>
      </c>
      <c r="AE1180" s="1" t="s">
        <v>1656</v>
      </c>
    </row>
    <row r="1181" spans="30:31" hidden="1" outlineLevel="1">
      <c r="AD1181" s="1" t="s">
        <v>2173</v>
      </c>
      <c r="AE1181" s="1" t="s">
        <v>1657</v>
      </c>
    </row>
    <row r="1182" spans="30:31" hidden="1" outlineLevel="1">
      <c r="AD1182" s="1" t="s">
        <v>1668</v>
      </c>
      <c r="AE1182" s="1" t="s">
        <v>1662</v>
      </c>
    </row>
    <row r="1183" spans="30:31" hidden="1" outlineLevel="1">
      <c r="AD1183" s="1" t="s">
        <v>2019</v>
      </c>
      <c r="AE1183" s="1" t="s">
        <v>1663</v>
      </c>
    </row>
    <row r="1184" spans="30:31" hidden="1" outlineLevel="1">
      <c r="AD1184" s="1" t="s">
        <v>2158</v>
      </c>
      <c r="AE1184" s="1" t="s">
        <v>1664</v>
      </c>
    </row>
    <row r="1185" spans="30:31" hidden="1" outlineLevel="1">
      <c r="AD1185" s="1" t="s">
        <v>2181</v>
      </c>
      <c r="AE1185" s="1" t="s">
        <v>1665</v>
      </c>
    </row>
    <row r="1186" spans="30:31" hidden="1" outlineLevel="1">
      <c r="AD1186" s="1" t="s">
        <v>1677</v>
      </c>
      <c r="AE1186" s="1" t="s">
        <v>1671</v>
      </c>
    </row>
    <row r="1187" spans="30:31" hidden="1" outlineLevel="1">
      <c r="AD1187" s="1" t="s">
        <v>2023</v>
      </c>
      <c r="AE1187" s="1" t="s">
        <v>1672</v>
      </c>
    </row>
    <row r="1188" spans="30:31" hidden="1" outlineLevel="1">
      <c r="AD1188" s="1" t="s">
        <v>2162</v>
      </c>
      <c r="AE1188" s="1" t="s">
        <v>1673</v>
      </c>
    </row>
    <row r="1189" spans="30:31" hidden="1" outlineLevel="1">
      <c r="AD1189" s="1" t="s">
        <v>2189</v>
      </c>
      <c r="AE1189" s="1" t="s">
        <v>1674</v>
      </c>
    </row>
    <row r="1190" spans="30:31" hidden="1" outlineLevel="1">
      <c r="AD1190" s="1" t="s">
        <v>1684</v>
      </c>
      <c r="AE1190" s="1" t="s">
        <v>1679</v>
      </c>
    </row>
    <row r="1191" spans="30:31" hidden="1" outlineLevel="1">
      <c r="AD1191" s="1" t="s">
        <v>2025</v>
      </c>
      <c r="AE1191" s="1" t="s">
        <v>1680</v>
      </c>
    </row>
    <row r="1192" spans="30:31" hidden="1" outlineLevel="1">
      <c r="AD1192" s="1" t="s">
        <v>2165</v>
      </c>
      <c r="AE1192" s="1" t="s">
        <v>1681</v>
      </c>
    </row>
    <row r="1193" spans="30:31" hidden="1" outlineLevel="1">
      <c r="AD1193" s="1" t="s">
        <v>2196</v>
      </c>
      <c r="AE1193" s="1" t="s">
        <v>1682</v>
      </c>
    </row>
    <row r="1194" spans="30:31" hidden="1" outlineLevel="1">
      <c r="AD1194" s="1" t="s">
        <v>1692</v>
      </c>
      <c r="AE1194" s="1" t="s">
        <v>1686</v>
      </c>
    </row>
    <row r="1195" spans="30:31" hidden="1" outlineLevel="1">
      <c r="AD1195" s="1" t="s">
        <v>2027</v>
      </c>
      <c r="AE1195" s="1" t="s">
        <v>1687</v>
      </c>
    </row>
    <row r="1196" spans="30:31" hidden="1" outlineLevel="1">
      <c r="AD1196" s="1" t="s">
        <v>2168</v>
      </c>
      <c r="AE1196" s="1" t="s">
        <v>1688</v>
      </c>
    </row>
    <row r="1197" spans="30:31" hidden="1" outlineLevel="1">
      <c r="AD1197" s="1" t="s">
        <v>2205</v>
      </c>
      <c r="AE1197" s="1" t="s">
        <v>1689</v>
      </c>
    </row>
    <row r="1198" spans="30:31" hidden="1" outlineLevel="1">
      <c r="AD1198" s="1" t="s">
        <v>1701</v>
      </c>
      <c r="AE1198" s="1" t="s">
        <v>1694</v>
      </c>
    </row>
    <row r="1199" spans="30:31" hidden="1" outlineLevel="1">
      <c r="AD1199" s="1" t="s">
        <v>2030</v>
      </c>
      <c r="AE1199" s="1" t="s">
        <v>1695</v>
      </c>
    </row>
    <row r="1200" spans="30:31" hidden="1" outlineLevel="1">
      <c r="AD1200" s="1" t="s">
        <v>2171</v>
      </c>
      <c r="AE1200" s="1" t="s">
        <v>1696</v>
      </c>
    </row>
    <row r="1201" spans="30:31" hidden="1" outlineLevel="1">
      <c r="AD1201" s="1" t="s">
        <v>2212</v>
      </c>
      <c r="AE1201" s="1" t="s">
        <v>1697</v>
      </c>
    </row>
    <row r="1202" spans="30:31" hidden="1" outlineLevel="1">
      <c r="AD1202" s="1" t="s">
        <v>1710</v>
      </c>
      <c r="AE1202" s="1" t="s">
        <v>1704</v>
      </c>
    </row>
    <row r="1203" spans="30:31" hidden="1" outlineLevel="1">
      <c r="AD1203" s="1" t="s">
        <v>2033</v>
      </c>
      <c r="AE1203" s="1" t="s">
        <v>1705</v>
      </c>
    </row>
    <row r="1204" spans="30:31" hidden="1" outlineLevel="1">
      <c r="AD1204" s="1" t="s">
        <v>2175</v>
      </c>
      <c r="AE1204" s="1" t="s">
        <v>1706</v>
      </c>
    </row>
    <row r="1205" spans="30:31" hidden="1" outlineLevel="1">
      <c r="AD1205" s="1" t="s">
        <v>2219</v>
      </c>
      <c r="AE1205" s="1" t="s">
        <v>1707</v>
      </c>
    </row>
    <row r="1206" spans="30:31" hidden="1" outlineLevel="1">
      <c r="AD1206" s="1" t="s">
        <v>1717</v>
      </c>
      <c r="AE1206" s="1" t="s">
        <v>1713</v>
      </c>
    </row>
    <row r="1207" spans="30:31" hidden="1" outlineLevel="1">
      <c r="AD1207" s="1" t="s">
        <v>2034</v>
      </c>
      <c r="AE1207" s="1" t="s">
        <v>1714</v>
      </c>
    </row>
    <row r="1208" spans="30:31" hidden="1" outlineLevel="1">
      <c r="AD1208" s="1" t="s">
        <v>2177</v>
      </c>
      <c r="AE1208" s="1" t="s">
        <v>1715</v>
      </c>
    </row>
    <row r="1209" spans="30:31" hidden="1" outlineLevel="1">
      <c r="AD1209" s="1" t="s">
        <v>2226</v>
      </c>
      <c r="AE1209" s="1" t="s">
        <v>1716</v>
      </c>
    </row>
    <row r="1210" spans="30:31" hidden="1" outlineLevel="1">
      <c r="AD1210" s="1" t="s">
        <v>1724</v>
      </c>
      <c r="AE1210" s="1" t="s">
        <v>1719</v>
      </c>
    </row>
    <row r="1211" spans="30:31" hidden="1" outlineLevel="1">
      <c r="AD1211" s="1" t="s">
        <v>2035</v>
      </c>
      <c r="AE1211" s="1" t="s">
        <v>1720</v>
      </c>
    </row>
    <row r="1212" spans="30:31" hidden="1" outlineLevel="1">
      <c r="AD1212" s="1" t="s">
        <v>2178</v>
      </c>
      <c r="AE1212" s="1" t="s">
        <v>1721</v>
      </c>
    </row>
    <row r="1213" spans="30:31" hidden="1" outlineLevel="1">
      <c r="AD1213" s="1" t="s">
        <v>2231</v>
      </c>
      <c r="AE1213" s="1" t="s">
        <v>1722</v>
      </c>
    </row>
    <row r="1214" spans="30:31" hidden="1" outlineLevel="1">
      <c r="AD1214" s="1" t="s">
        <v>1731</v>
      </c>
      <c r="AE1214" s="1" t="s">
        <v>1726</v>
      </c>
    </row>
    <row r="1215" spans="30:31" hidden="1" outlineLevel="1">
      <c r="AD1215" s="1" t="s">
        <v>2038</v>
      </c>
      <c r="AE1215" s="1" t="s">
        <v>1727</v>
      </c>
    </row>
    <row r="1216" spans="30:31" hidden="1" outlineLevel="1">
      <c r="AD1216" s="1" t="s">
        <v>2180</v>
      </c>
      <c r="AE1216" s="1" t="s">
        <v>1728</v>
      </c>
    </row>
    <row r="1217" spans="30:31" hidden="1" outlineLevel="1">
      <c r="AD1217" s="1" t="s">
        <v>2233</v>
      </c>
      <c r="AE1217" s="1" t="s">
        <v>1729</v>
      </c>
    </row>
    <row r="1218" spans="30:31" hidden="1" outlineLevel="1">
      <c r="AD1218" s="1" t="s">
        <v>1738</v>
      </c>
      <c r="AE1218" s="1" t="s">
        <v>1733</v>
      </c>
    </row>
    <row r="1219" spans="30:31" hidden="1" outlineLevel="1">
      <c r="AD1219" s="1" t="s">
        <v>2042</v>
      </c>
      <c r="AE1219" s="1" t="s">
        <v>1734</v>
      </c>
    </row>
    <row r="1220" spans="30:31" hidden="1" outlineLevel="1">
      <c r="AD1220" s="1" t="s">
        <v>2183</v>
      </c>
      <c r="AE1220" s="1" t="s">
        <v>1735</v>
      </c>
    </row>
    <row r="1221" spans="30:31" hidden="1" outlineLevel="1">
      <c r="AD1221" s="1" t="s">
        <v>2234</v>
      </c>
      <c r="AE1221" s="1" t="s">
        <v>1736</v>
      </c>
    </row>
    <row r="1222" spans="30:31" hidden="1" outlineLevel="1">
      <c r="AD1222" s="1" t="s">
        <v>1744</v>
      </c>
      <c r="AE1222" s="1" t="s">
        <v>1740</v>
      </c>
    </row>
    <row r="1223" spans="30:31" hidden="1" outlineLevel="1">
      <c r="AD1223" s="1" t="s">
        <v>2043</v>
      </c>
      <c r="AE1223" s="1" t="s">
        <v>1741</v>
      </c>
    </row>
    <row r="1224" spans="30:31" hidden="1" outlineLevel="1">
      <c r="AD1224" s="1" t="s">
        <v>2185</v>
      </c>
      <c r="AE1224" s="1" t="s">
        <v>1742</v>
      </c>
    </row>
    <row r="1225" spans="30:31" hidden="1" outlineLevel="1">
      <c r="AD1225" s="1" t="s">
        <v>2235</v>
      </c>
      <c r="AE1225" s="1" t="s">
        <v>1743</v>
      </c>
    </row>
    <row r="1226" spans="30:31" hidden="1" outlineLevel="1">
      <c r="AD1226" s="1" t="s">
        <v>1752</v>
      </c>
      <c r="AE1226" s="1" t="s">
        <v>1747</v>
      </c>
    </row>
    <row r="1227" spans="30:31" hidden="1" outlineLevel="1">
      <c r="AD1227" s="1" t="s">
        <v>2045</v>
      </c>
      <c r="AE1227" s="1" t="s">
        <v>1748</v>
      </c>
    </row>
    <row r="1228" spans="30:31" hidden="1" outlineLevel="1">
      <c r="AD1228" s="1" t="s">
        <v>2187</v>
      </c>
      <c r="AE1228" s="1" t="s">
        <v>1749</v>
      </c>
    </row>
    <row r="1229" spans="30:31" hidden="1" outlineLevel="1">
      <c r="AD1229" s="1" t="s">
        <v>2236</v>
      </c>
      <c r="AE1229" s="1" t="s">
        <v>1750</v>
      </c>
    </row>
    <row r="1230" spans="30:31" hidden="1" outlineLevel="1">
      <c r="AD1230" s="1" t="s">
        <v>1759</v>
      </c>
      <c r="AE1230" s="1" t="s">
        <v>1754</v>
      </c>
    </row>
    <row r="1231" spans="30:31" hidden="1" outlineLevel="1">
      <c r="AD1231" s="1" t="s">
        <v>2049</v>
      </c>
      <c r="AE1231" s="1" t="s">
        <v>1755</v>
      </c>
    </row>
    <row r="1232" spans="30:31" hidden="1" outlineLevel="1">
      <c r="AD1232" s="1" t="s">
        <v>2188</v>
      </c>
      <c r="AE1232" s="1" t="s">
        <v>1756</v>
      </c>
    </row>
    <row r="1233" spans="30:31" hidden="1" outlineLevel="1">
      <c r="AD1233" s="1" t="s">
        <v>2238</v>
      </c>
      <c r="AE1233" s="1" t="s">
        <v>1757</v>
      </c>
    </row>
    <row r="1234" spans="30:31" hidden="1" outlineLevel="1">
      <c r="AD1234" s="1" t="s">
        <v>1766</v>
      </c>
      <c r="AE1234" s="1" t="s">
        <v>1761</v>
      </c>
    </row>
    <row r="1235" spans="30:31" hidden="1" outlineLevel="1">
      <c r="AD1235" s="1" t="s">
        <v>2051</v>
      </c>
      <c r="AE1235" s="1" t="s">
        <v>1762</v>
      </c>
    </row>
    <row r="1236" spans="30:31" hidden="1" outlineLevel="1">
      <c r="AD1236" s="1" t="s">
        <v>2190</v>
      </c>
      <c r="AE1236" s="1" t="s">
        <v>1763</v>
      </c>
    </row>
    <row r="1237" spans="30:31" hidden="1" outlineLevel="1">
      <c r="AD1237" s="1" t="s">
        <v>2239</v>
      </c>
      <c r="AE1237" s="1" t="s">
        <v>1764</v>
      </c>
    </row>
    <row r="1238" spans="30:31" hidden="1" outlineLevel="1">
      <c r="AD1238" s="1" t="s">
        <v>1772</v>
      </c>
      <c r="AE1238" s="1" t="s">
        <v>1768</v>
      </c>
    </row>
    <row r="1239" spans="30:31" hidden="1" outlineLevel="1">
      <c r="AD1239" s="1" t="s">
        <v>2053</v>
      </c>
      <c r="AE1239" s="1" t="s">
        <v>1769</v>
      </c>
    </row>
    <row r="1240" spans="30:31" hidden="1" outlineLevel="1">
      <c r="AD1240" s="1" t="s">
        <v>2192</v>
      </c>
      <c r="AE1240" s="1" t="s">
        <v>1770</v>
      </c>
    </row>
    <row r="1241" spans="30:31" hidden="1" outlineLevel="1">
      <c r="AD1241" s="1" t="s">
        <v>2244</v>
      </c>
      <c r="AE1241" s="1" t="s">
        <v>1771</v>
      </c>
    </row>
    <row r="1242" spans="30:31" hidden="1" outlineLevel="1">
      <c r="AD1242" s="1" t="s">
        <v>1780</v>
      </c>
      <c r="AE1242" s="1" t="s">
        <v>1774</v>
      </c>
    </row>
    <row r="1243" spans="30:31" hidden="1" outlineLevel="1">
      <c r="AD1243" s="1" t="s">
        <v>2055</v>
      </c>
      <c r="AE1243" s="1" t="s">
        <v>1775</v>
      </c>
    </row>
    <row r="1244" spans="30:31" hidden="1" outlineLevel="1">
      <c r="AD1244" s="1" t="s">
        <v>2193</v>
      </c>
      <c r="AE1244" s="1" t="s">
        <v>1776</v>
      </c>
    </row>
    <row r="1245" spans="30:31" hidden="1" outlineLevel="1">
      <c r="AD1245" s="1" t="s">
        <v>2249</v>
      </c>
      <c r="AE1245" s="1" t="s">
        <v>1777</v>
      </c>
    </row>
    <row r="1246" spans="30:31" hidden="1" outlineLevel="1">
      <c r="AD1246" s="1" t="s">
        <v>1789</v>
      </c>
      <c r="AE1246" s="1" t="s">
        <v>1783</v>
      </c>
    </row>
    <row r="1247" spans="30:31" hidden="1" outlineLevel="1">
      <c r="AD1247" s="1" t="s">
        <v>2057</v>
      </c>
      <c r="AE1247" s="1" t="s">
        <v>1784</v>
      </c>
    </row>
    <row r="1248" spans="30:31" hidden="1" outlineLevel="1">
      <c r="AD1248" s="1" t="s">
        <v>2194</v>
      </c>
      <c r="AE1248" s="1" t="s">
        <v>1785</v>
      </c>
    </row>
    <row r="1249" spans="30:31" hidden="1" outlineLevel="1">
      <c r="AD1249" s="1" t="s">
        <v>2251</v>
      </c>
      <c r="AE1249" s="1" t="s">
        <v>1786</v>
      </c>
    </row>
    <row r="1250" spans="30:31" hidden="1" outlineLevel="1">
      <c r="AD1250" s="1" t="s">
        <v>1798</v>
      </c>
      <c r="AE1250" s="1" t="s">
        <v>1792</v>
      </c>
    </row>
    <row r="1251" spans="30:31" hidden="1" outlineLevel="1">
      <c r="AD1251" s="1" t="s">
        <v>2060</v>
      </c>
      <c r="AE1251" s="1" t="s">
        <v>1793</v>
      </c>
    </row>
    <row r="1252" spans="30:31" hidden="1" outlineLevel="1">
      <c r="AD1252" s="1" t="s">
        <v>2198</v>
      </c>
      <c r="AE1252" s="1" t="s">
        <v>1794</v>
      </c>
    </row>
    <row r="1253" spans="30:31" hidden="1" outlineLevel="1">
      <c r="AD1253" s="1" t="s">
        <v>2253</v>
      </c>
      <c r="AE1253" s="1" t="s">
        <v>1795</v>
      </c>
    </row>
    <row r="1254" spans="30:31" hidden="1" outlineLevel="1">
      <c r="AD1254" s="1" t="s">
        <v>1804</v>
      </c>
      <c r="AE1254" s="1" t="s">
        <v>1800</v>
      </c>
    </row>
    <row r="1255" spans="30:31" hidden="1" outlineLevel="1">
      <c r="AD1255" s="1" t="s">
        <v>2061</v>
      </c>
      <c r="AE1255" s="1" t="s">
        <v>1801</v>
      </c>
    </row>
    <row r="1256" spans="30:31" hidden="1" outlineLevel="1">
      <c r="AD1256" s="1" t="s">
        <v>2199</v>
      </c>
      <c r="AE1256" s="1" t="s">
        <v>1802</v>
      </c>
    </row>
    <row r="1257" spans="30:31" hidden="1" outlineLevel="1">
      <c r="AD1257" s="1" t="s">
        <v>2254</v>
      </c>
      <c r="AE1257" s="1" t="s">
        <v>1803</v>
      </c>
    </row>
    <row r="1258" spans="30:31" hidden="1" outlineLevel="1">
      <c r="AD1258" s="1" t="s">
        <v>1813</v>
      </c>
      <c r="AE1258" s="1" t="s">
        <v>1807</v>
      </c>
    </row>
    <row r="1259" spans="30:31" hidden="1" outlineLevel="1">
      <c r="AD1259" s="1" t="s">
        <v>2063</v>
      </c>
      <c r="AE1259" s="1" t="s">
        <v>1808</v>
      </c>
    </row>
    <row r="1260" spans="30:31" hidden="1" outlineLevel="1">
      <c r="AD1260" s="1" t="s">
        <v>2201</v>
      </c>
      <c r="AE1260" s="1" t="s">
        <v>1809</v>
      </c>
    </row>
    <row r="1261" spans="30:31" hidden="1" outlineLevel="1">
      <c r="AD1261" s="1" t="s">
        <v>2256</v>
      </c>
      <c r="AE1261" s="1" t="s">
        <v>1810</v>
      </c>
    </row>
    <row r="1262" spans="30:31" hidden="1" outlineLevel="1">
      <c r="AD1262" s="1" t="s">
        <v>1821</v>
      </c>
      <c r="AE1262" s="1" t="s">
        <v>1816</v>
      </c>
    </row>
    <row r="1263" spans="30:31" hidden="1" outlineLevel="1">
      <c r="AD1263" s="1" t="s">
        <v>2066</v>
      </c>
      <c r="AE1263" s="1" t="s">
        <v>1817</v>
      </c>
    </row>
    <row r="1264" spans="30:31" hidden="1" outlineLevel="1">
      <c r="AD1264" s="1" t="s">
        <v>2203</v>
      </c>
      <c r="AE1264" s="1" t="s">
        <v>1818</v>
      </c>
    </row>
    <row r="1265" spans="30:31" hidden="1" outlineLevel="1">
      <c r="AD1265" s="1" t="s">
        <v>2257</v>
      </c>
      <c r="AE1265" s="1" t="s">
        <v>1819</v>
      </c>
    </row>
    <row r="1266" spans="30:31" hidden="1" outlineLevel="1">
      <c r="AD1266" s="1" t="s">
        <v>1829</v>
      </c>
      <c r="AE1266" s="1" t="s">
        <v>1823</v>
      </c>
    </row>
    <row r="1267" spans="30:31" hidden="1" outlineLevel="1">
      <c r="AD1267" s="1" t="s">
        <v>2070</v>
      </c>
      <c r="AE1267" s="1" t="s">
        <v>1824</v>
      </c>
    </row>
    <row r="1268" spans="30:31" hidden="1" outlineLevel="1">
      <c r="AD1268" s="1" t="s">
        <v>2207</v>
      </c>
      <c r="AE1268" s="1" t="s">
        <v>1825</v>
      </c>
    </row>
    <row r="1269" spans="30:31" hidden="1" outlineLevel="1">
      <c r="AD1269" s="1" t="s">
        <v>2258</v>
      </c>
      <c r="AE1269" s="1" t="s">
        <v>1826</v>
      </c>
    </row>
    <row r="1270" spans="30:31" hidden="1" outlineLevel="1">
      <c r="AD1270" s="1" t="s">
        <v>1836</v>
      </c>
      <c r="AE1270" s="1" t="s">
        <v>1832</v>
      </c>
    </row>
    <row r="1271" spans="30:31" hidden="1" outlineLevel="1">
      <c r="AD1271" s="1" t="s">
        <v>2072</v>
      </c>
      <c r="AE1271" s="1" t="s">
        <v>1833</v>
      </c>
    </row>
    <row r="1272" spans="30:31" hidden="1" outlineLevel="1">
      <c r="AD1272" s="1" t="s">
        <v>2208</v>
      </c>
      <c r="AE1272" s="1" t="s">
        <v>1834</v>
      </c>
    </row>
    <row r="1273" spans="30:31" hidden="1" outlineLevel="1">
      <c r="AD1273" s="1" t="s">
        <v>2264</v>
      </c>
      <c r="AE1273" s="1" t="s">
        <v>1835</v>
      </c>
    </row>
    <row r="1274" spans="30:31" hidden="1" outlineLevel="1">
      <c r="AD1274" s="1" t="s">
        <v>1844</v>
      </c>
      <c r="AE1274" s="1" t="s">
        <v>1838</v>
      </c>
    </row>
    <row r="1275" spans="30:31" hidden="1" outlineLevel="1">
      <c r="AD1275" s="1" t="s">
        <v>2074</v>
      </c>
      <c r="AE1275" s="1" t="s">
        <v>1839</v>
      </c>
    </row>
    <row r="1276" spans="30:31" hidden="1" outlineLevel="1">
      <c r="AD1276" s="1" t="s">
        <v>2209</v>
      </c>
      <c r="AE1276" s="1" t="s">
        <v>1840</v>
      </c>
    </row>
    <row r="1277" spans="30:31" hidden="1" outlineLevel="1">
      <c r="AD1277" s="1" t="s">
        <v>2269</v>
      </c>
      <c r="AE1277" s="1" t="s">
        <v>1841</v>
      </c>
    </row>
    <row r="1278" spans="30:31" hidden="1" outlineLevel="1">
      <c r="AD1278" s="1" t="s">
        <v>1852</v>
      </c>
      <c r="AE1278" s="1" t="s">
        <v>1846</v>
      </c>
    </row>
    <row r="1279" spans="30:31" hidden="1" outlineLevel="1">
      <c r="AD1279" s="1" t="s">
        <v>2077</v>
      </c>
      <c r="AE1279" s="1" t="s">
        <v>1847</v>
      </c>
    </row>
    <row r="1280" spans="30:31" hidden="1" outlineLevel="1">
      <c r="AD1280" s="1" t="s">
        <v>2210</v>
      </c>
      <c r="AE1280" s="1" t="s">
        <v>1848</v>
      </c>
    </row>
    <row r="1281" spans="30:31" hidden="1" outlineLevel="1">
      <c r="AD1281" s="1" t="s">
        <v>2270</v>
      </c>
      <c r="AE1281" s="1" t="s">
        <v>1849</v>
      </c>
    </row>
    <row r="1282" spans="30:31" hidden="1" outlineLevel="1">
      <c r="AD1282" s="1" t="s">
        <v>1860</v>
      </c>
      <c r="AE1282" s="1" t="s">
        <v>1854</v>
      </c>
    </row>
    <row r="1283" spans="30:31" hidden="1" outlineLevel="1">
      <c r="AD1283" s="1" t="s">
        <v>2079</v>
      </c>
      <c r="AE1283" s="1" t="s">
        <v>1855</v>
      </c>
    </row>
    <row r="1284" spans="30:31" hidden="1" outlineLevel="1">
      <c r="AD1284" s="1" t="s">
        <v>2213</v>
      </c>
      <c r="AE1284" s="1" t="s">
        <v>1856</v>
      </c>
    </row>
    <row r="1285" spans="30:31" hidden="1" outlineLevel="1">
      <c r="AD1285" s="1" t="s">
        <v>2272</v>
      </c>
      <c r="AE1285" s="1" t="s">
        <v>1857</v>
      </c>
    </row>
    <row r="1286" spans="30:31" hidden="1" outlineLevel="1">
      <c r="AD1286" s="1" t="s">
        <v>1867</v>
      </c>
      <c r="AE1286" s="1" t="s">
        <v>1863</v>
      </c>
    </row>
    <row r="1287" spans="30:31" hidden="1" outlineLevel="1">
      <c r="AD1287" s="1" t="s">
        <v>2081</v>
      </c>
      <c r="AE1287" s="1" t="s">
        <v>1864</v>
      </c>
    </row>
    <row r="1288" spans="30:31" hidden="1" outlineLevel="1">
      <c r="AD1288" s="1" t="s">
        <v>2214</v>
      </c>
      <c r="AE1288" s="1" t="s">
        <v>1865</v>
      </c>
    </row>
    <row r="1289" spans="30:31" hidden="1" outlineLevel="1">
      <c r="AD1289" s="1" t="s">
        <v>2274</v>
      </c>
      <c r="AE1289" s="1" t="s">
        <v>1866</v>
      </c>
    </row>
    <row r="1290" spans="30:31" hidden="1" outlineLevel="1">
      <c r="AD1290" s="1" t="s">
        <v>1875</v>
      </c>
      <c r="AE1290" s="1" t="s">
        <v>1870</v>
      </c>
    </row>
    <row r="1291" spans="30:31" hidden="1" outlineLevel="1">
      <c r="AD1291" s="1" t="s">
        <v>2082</v>
      </c>
      <c r="AE1291" s="1" t="s">
        <v>1871</v>
      </c>
    </row>
    <row r="1292" spans="30:31" hidden="1" outlineLevel="1">
      <c r="AD1292" s="1" t="s">
        <v>2216</v>
      </c>
      <c r="AE1292" s="1" t="s">
        <v>1872</v>
      </c>
    </row>
    <row r="1293" spans="30:31" hidden="1" outlineLevel="1">
      <c r="AD1293" s="1" t="s">
        <v>2275</v>
      </c>
      <c r="AE1293" s="1" t="s">
        <v>1873</v>
      </c>
    </row>
    <row r="1294" spans="30:31" hidden="1" outlineLevel="1">
      <c r="AD1294" s="1" t="s">
        <v>1884</v>
      </c>
      <c r="AE1294" s="1" t="s">
        <v>1878</v>
      </c>
    </row>
    <row r="1295" spans="30:31" hidden="1" outlineLevel="1">
      <c r="AD1295" s="1" t="s">
        <v>2084</v>
      </c>
      <c r="AE1295" s="1" t="s">
        <v>1879</v>
      </c>
    </row>
    <row r="1296" spans="30:31" hidden="1" outlineLevel="1">
      <c r="AD1296" s="1" t="s">
        <v>2217</v>
      </c>
      <c r="AE1296" s="1" t="s">
        <v>1880</v>
      </c>
    </row>
    <row r="1297" spans="30:31" hidden="1" outlineLevel="1">
      <c r="AD1297" s="1" t="s">
        <v>2276</v>
      </c>
      <c r="AE1297" s="1" t="s">
        <v>1881</v>
      </c>
    </row>
    <row r="1298" spans="30:31" hidden="1" outlineLevel="1">
      <c r="AD1298" s="1" t="s">
        <v>1892</v>
      </c>
      <c r="AE1298" s="1" t="s">
        <v>1887</v>
      </c>
    </row>
    <row r="1299" spans="30:31" hidden="1" outlineLevel="1">
      <c r="AD1299" s="1" t="s">
        <v>2088</v>
      </c>
      <c r="AE1299" s="1" t="s">
        <v>1888</v>
      </c>
    </row>
    <row r="1300" spans="30:31" hidden="1" outlineLevel="1">
      <c r="AD1300" s="1" t="s">
        <v>2221</v>
      </c>
      <c r="AE1300" s="1" t="s">
        <v>1889</v>
      </c>
    </row>
    <row r="1301" spans="30:31" hidden="1" outlineLevel="1">
      <c r="AD1301" s="1" t="s">
        <v>2278</v>
      </c>
      <c r="AE1301" s="1" t="s">
        <v>1890</v>
      </c>
    </row>
    <row r="1302" spans="30:31" collapsed="1"/>
  </sheetData>
  <mergeCells count="19">
    <mergeCell ref="BF3:BK3"/>
    <mergeCell ref="A25:Q25"/>
    <mergeCell ref="AU3:BD3"/>
    <mergeCell ref="AU4:BD4"/>
    <mergeCell ref="AW6:AX6"/>
    <mergeCell ref="BB6:BC6"/>
    <mergeCell ref="A1:M1"/>
    <mergeCell ref="A3:AA3"/>
    <mergeCell ref="AD3:AP3"/>
    <mergeCell ref="AD4:AP4"/>
    <mergeCell ref="A24:Q24"/>
    <mergeCell ref="AD819:AF819"/>
    <mergeCell ref="AD917:AE917"/>
    <mergeCell ref="AD40:AQ40"/>
    <mergeCell ref="AD673:AE673"/>
    <mergeCell ref="AD15:AP15"/>
    <mergeCell ref="AD16:AP16"/>
    <mergeCell ref="AD91:AK91"/>
    <mergeCell ref="AD478:AK478"/>
  </mergeCells>
  <conditionalFormatting sqref="BI30:BI53">
    <cfRule type="duplicateValues" dxfId="8" priority="1"/>
  </conditionalFormatting>
  <pageMargins left="0.25" right="0.25" top="0.75" bottom="0.75" header="0.3" footer="0.3"/>
  <pageSetup scale="25" orientation="landscape" r:id="rId1"/>
  <headerFooter>
    <oddFooter>&amp;L&amp;D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1990-8A46-4F49-9B0F-C1846729E050}">
  <sheetPr codeName="Sheet12">
    <tabColor theme="0"/>
  </sheetPr>
  <dimension ref="A1:AP770"/>
  <sheetViews>
    <sheetView topLeftCell="A58" zoomScale="55" zoomScaleNormal="55" workbookViewId="0">
      <selection activeCell="T132" sqref="T132"/>
    </sheetView>
  </sheetViews>
  <sheetFormatPr defaultColWidth="9.140625" defaultRowHeight="15"/>
  <cols>
    <col min="1" max="1" width="18.42578125" bestFit="1" customWidth="1"/>
    <col min="2" max="2" width="16.28515625" bestFit="1" customWidth="1"/>
    <col min="3" max="3" width="15.5703125" customWidth="1"/>
    <col min="4" max="4" width="18.5703125" customWidth="1"/>
    <col min="5" max="5" width="10.85546875" bestFit="1" customWidth="1"/>
    <col min="6" max="6" width="18.42578125" bestFit="1" customWidth="1"/>
    <col min="7" max="7" width="17.140625" customWidth="1"/>
    <col min="8" max="8" width="16.28515625" bestFit="1" customWidth="1"/>
    <col min="9" max="9" width="16.42578125" bestFit="1" customWidth="1"/>
    <col min="10" max="10" width="26.140625" customWidth="1"/>
    <col min="11" max="11" width="18.42578125" bestFit="1" customWidth="1"/>
    <col min="12" max="12" width="11.140625" bestFit="1" customWidth="1"/>
    <col min="13" max="13" width="19.140625" bestFit="1" customWidth="1"/>
    <col min="14" max="14" width="26.7109375" customWidth="1"/>
    <col min="15" max="15" width="13.140625" bestFit="1" customWidth="1"/>
    <col min="16" max="16" width="11.85546875" bestFit="1" customWidth="1"/>
    <col min="17" max="17" width="13.5703125" bestFit="1" customWidth="1"/>
    <col min="18" max="18" width="11.140625" customWidth="1"/>
    <col min="19" max="19" width="19.140625" style="654" bestFit="1" customWidth="1"/>
    <col min="20" max="20" width="13.42578125" bestFit="1" customWidth="1"/>
    <col min="21" max="21" width="11.28515625" bestFit="1" customWidth="1"/>
    <col min="22" max="22" width="11.85546875" bestFit="1" customWidth="1"/>
    <col min="23" max="23" width="13.28515625" bestFit="1" customWidth="1"/>
    <col min="24" max="24" width="14.28515625" bestFit="1" customWidth="1"/>
    <col min="26" max="26" width="13.7109375" customWidth="1"/>
    <col min="27" max="27" width="25.140625" bestFit="1" customWidth="1"/>
    <col min="28" max="28" width="12.85546875" bestFit="1" customWidth="1"/>
    <col min="29" max="29" width="19.140625" bestFit="1" customWidth="1"/>
    <col min="30" max="30" width="15.85546875" bestFit="1" customWidth="1"/>
    <col min="31" max="31" width="11.85546875" bestFit="1" customWidth="1"/>
    <col min="32" max="32" width="74.42578125" style="653" bestFit="1" customWidth="1"/>
    <col min="33" max="33" width="15.85546875" bestFit="1" customWidth="1"/>
    <col min="34" max="34" width="18" bestFit="1" customWidth="1"/>
    <col min="35" max="35" width="20" bestFit="1" customWidth="1"/>
  </cols>
  <sheetData>
    <row r="1" spans="1:35">
      <c r="A1" s="862" t="s">
        <v>315</v>
      </c>
      <c r="B1" s="863"/>
      <c r="C1" s="863"/>
      <c r="D1" s="863"/>
      <c r="E1" s="863"/>
      <c r="F1" s="863"/>
      <c r="G1" s="863"/>
      <c r="H1" s="863"/>
      <c r="I1" s="863"/>
      <c r="J1" s="863"/>
      <c r="K1" s="864"/>
      <c r="M1" s="849" t="s">
        <v>316</v>
      </c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1"/>
      <c r="AA1" s="842" t="s">
        <v>3793</v>
      </c>
      <c r="AB1" s="842"/>
      <c r="AC1" s="842"/>
      <c r="AD1" s="842"/>
      <c r="AE1" s="842"/>
      <c r="AF1" s="842"/>
      <c r="AG1" s="842"/>
      <c r="AH1" s="842"/>
      <c r="AI1" s="842"/>
    </row>
    <row r="2" spans="1:35">
      <c r="A2" s="852"/>
      <c r="B2" s="853"/>
      <c r="C2" s="853"/>
      <c r="D2" s="853"/>
      <c r="E2" s="853"/>
      <c r="F2" s="853"/>
      <c r="G2" s="853"/>
      <c r="H2" s="853"/>
      <c r="I2" s="853"/>
      <c r="J2" s="853"/>
      <c r="K2" s="854"/>
      <c r="M2" s="855" t="s">
        <v>317</v>
      </c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7"/>
      <c r="AA2" s="1"/>
      <c r="AB2" s="1"/>
      <c r="AC2" s="1"/>
      <c r="AD2" s="1"/>
      <c r="AE2" s="1"/>
      <c r="AF2" s="300"/>
      <c r="AG2" s="1"/>
      <c r="AH2" s="1"/>
      <c r="AI2" s="1"/>
    </row>
    <row r="3" spans="1:35">
      <c r="A3" s="858" t="s">
        <v>318</v>
      </c>
      <c r="B3" s="859"/>
      <c r="C3" s="867" t="s">
        <v>319</v>
      </c>
      <c r="D3" s="867"/>
      <c r="F3" s="36"/>
      <c r="G3" s="871" t="s">
        <v>320</v>
      </c>
      <c r="H3" s="871"/>
      <c r="I3" s="156"/>
      <c r="K3" s="40"/>
      <c r="M3" s="41" t="s">
        <v>321</v>
      </c>
      <c r="N3" s="1" t="s">
        <v>322</v>
      </c>
      <c r="O3" s="710"/>
      <c r="P3" s="1" t="s">
        <v>321</v>
      </c>
      <c r="Q3" s="1" t="s">
        <v>322</v>
      </c>
      <c r="R3" s="710"/>
      <c r="S3" s="1" t="s">
        <v>321</v>
      </c>
      <c r="T3" s="1" t="s">
        <v>322</v>
      </c>
      <c r="U3" s="710"/>
      <c r="V3" s="1" t="s">
        <v>321</v>
      </c>
      <c r="W3" s="1" t="s">
        <v>322</v>
      </c>
      <c r="Y3" s="40"/>
      <c r="AA3" s="1" t="s">
        <v>3792</v>
      </c>
      <c r="AB3" s="1" t="s">
        <v>275</v>
      </c>
      <c r="AC3" s="1" t="s">
        <v>3791</v>
      </c>
      <c r="AD3" s="709" t="s">
        <v>3790</v>
      </c>
      <c r="AE3" s="709" t="s">
        <v>3789</v>
      </c>
      <c r="AF3" s="300" t="s">
        <v>918</v>
      </c>
      <c r="AG3" s="709" t="s">
        <v>3788</v>
      </c>
      <c r="AH3" s="709" t="s">
        <v>3787</v>
      </c>
      <c r="AI3" s="709" t="s">
        <v>3786</v>
      </c>
    </row>
    <row r="4" spans="1:35" ht="45">
      <c r="A4" s="53" t="s">
        <v>160</v>
      </c>
      <c r="B4" s="54" t="s">
        <v>161</v>
      </c>
      <c r="C4" s="49" t="s">
        <v>160</v>
      </c>
      <c r="D4" s="49" t="s">
        <v>323</v>
      </c>
      <c r="F4" s="23"/>
      <c r="G4" s="42" t="s">
        <v>91</v>
      </c>
      <c r="H4" s="42" t="s">
        <v>324</v>
      </c>
      <c r="I4" s="156" t="s">
        <v>917</v>
      </c>
      <c r="K4" s="40"/>
      <c r="M4" s="41" t="s">
        <v>325</v>
      </c>
      <c r="N4" s="1" t="s">
        <v>326</v>
      </c>
      <c r="O4" s="1"/>
      <c r="P4" s="1" t="s">
        <v>327</v>
      </c>
      <c r="Q4" s="1" t="s">
        <v>328</v>
      </c>
      <c r="R4" s="1"/>
      <c r="S4" s="1" t="s">
        <v>329</v>
      </c>
      <c r="T4" s="1" t="s">
        <v>330</v>
      </c>
      <c r="U4" s="1"/>
      <c r="V4" s="1" t="s">
        <v>331</v>
      </c>
      <c r="W4" s="1" t="s">
        <v>332</v>
      </c>
      <c r="Y4" s="40"/>
      <c r="AA4" s="1" t="s">
        <v>3785</v>
      </c>
      <c r="AB4" s="1" t="s">
        <v>736</v>
      </c>
      <c r="AC4" s="1" t="s">
        <v>3048</v>
      </c>
      <c r="AD4" s="709" t="s">
        <v>3784</v>
      </c>
      <c r="AE4" s="709" t="s">
        <v>3783</v>
      </c>
      <c r="AF4" s="300" t="s">
        <v>3782</v>
      </c>
      <c r="AG4" s="709" t="s">
        <v>3781</v>
      </c>
      <c r="AH4" s="709" t="s">
        <v>3780</v>
      </c>
      <c r="AI4" s="709" t="s">
        <v>3779</v>
      </c>
    </row>
    <row r="5" spans="1:35">
      <c r="A5" s="55" t="s">
        <v>173</v>
      </c>
      <c r="B5" s="56" t="s">
        <v>75</v>
      </c>
      <c r="C5" s="20" t="s">
        <v>173</v>
      </c>
      <c r="D5" s="20" t="s">
        <v>333</v>
      </c>
      <c r="F5" s="1" t="s">
        <v>114</v>
      </c>
      <c r="G5" s="43" t="s">
        <v>163</v>
      </c>
      <c r="H5" s="43" t="s">
        <v>138</v>
      </c>
      <c r="I5" s="159" t="s">
        <v>28</v>
      </c>
      <c r="J5" t="s">
        <v>3778</v>
      </c>
      <c r="K5" s="40"/>
      <c r="M5" s="41" t="s">
        <v>334</v>
      </c>
      <c r="N5" s="1" t="s">
        <v>335</v>
      </c>
      <c r="O5" s="1"/>
      <c r="P5" s="1" t="s">
        <v>336</v>
      </c>
      <c r="Q5" s="1" t="s">
        <v>337</v>
      </c>
      <c r="R5" s="1"/>
      <c r="S5" s="1" t="s">
        <v>338</v>
      </c>
      <c r="T5" s="1" t="s">
        <v>339</v>
      </c>
      <c r="U5" s="1"/>
      <c r="V5" s="1" t="s">
        <v>340</v>
      </c>
      <c r="W5" s="1" t="s">
        <v>341</v>
      </c>
      <c r="Y5" s="40"/>
      <c r="AA5" s="1" t="s">
        <v>3777</v>
      </c>
      <c r="AB5" s="1" t="s">
        <v>744</v>
      </c>
      <c r="AC5" s="1" t="s">
        <v>3776</v>
      </c>
      <c r="AD5" s="709" t="s">
        <v>3775</v>
      </c>
      <c r="AE5" s="709" t="s">
        <v>3774</v>
      </c>
      <c r="AF5" s="300" t="s">
        <v>3773</v>
      </c>
      <c r="AG5" s="709" t="s">
        <v>3772</v>
      </c>
      <c r="AH5" s="709" t="s">
        <v>3771</v>
      </c>
      <c r="AI5" s="709" t="s">
        <v>2623</v>
      </c>
    </row>
    <row r="6" spans="1:35">
      <c r="A6" s="55" t="s">
        <v>174</v>
      </c>
      <c r="B6" s="56" t="s">
        <v>76</v>
      </c>
      <c r="C6" s="20" t="s">
        <v>174</v>
      </c>
      <c r="D6" s="20" t="s">
        <v>342</v>
      </c>
      <c r="F6" s="1" t="s">
        <v>115</v>
      </c>
      <c r="G6" s="43" t="s">
        <v>164</v>
      </c>
      <c r="H6" s="43" t="s">
        <v>139</v>
      </c>
      <c r="I6" s="159" t="s">
        <v>3770</v>
      </c>
      <c r="J6" t="s">
        <v>3769</v>
      </c>
      <c r="K6" s="40"/>
      <c r="M6" s="41" t="s">
        <v>343</v>
      </c>
      <c r="N6" s="1" t="s">
        <v>344</v>
      </c>
      <c r="O6" s="1"/>
      <c r="P6" s="1" t="s">
        <v>345</v>
      </c>
      <c r="Q6" s="1" t="s">
        <v>346</v>
      </c>
      <c r="R6" s="1"/>
      <c r="S6" s="1" t="s">
        <v>347</v>
      </c>
      <c r="T6" s="1" t="s">
        <v>348</v>
      </c>
      <c r="U6" s="1"/>
      <c r="V6" s="1" t="s">
        <v>349</v>
      </c>
      <c r="W6" s="1" t="s">
        <v>350</v>
      </c>
      <c r="Y6" s="40"/>
      <c r="AA6" s="1" t="s">
        <v>3768</v>
      </c>
      <c r="AB6" s="1" t="s">
        <v>752</v>
      </c>
      <c r="AC6" s="1" t="s">
        <v>2627</v>
      </c>
      <c r="AD6" s="709" t="s">
        <v>3767</v>
      </c>
      <c r="AE6" s="709" t="s">
        <v>3766</v>
      </c>
      <c r="AF6" s="300" t="s">
        <v>3765</v>
      </c>
      <c r="AG6" s="709" t="s">
        <v>3764</v>
      </c>
      <c r="AH6" s="709" t="s">
        <v>3763</v>
      </c>
      <c r="AI6" s="709" t="s">
        <v>3762</v>
      </c>
    </row>
    <row r="7" spans="1:35">
      <c r="A7" s="55" t="s">
        <v>175</v>
      </c>
      <c r="B7" s="56" t="s">
        <v>77</v>
      </c>
      <c r="C7" s="20" t="s">
        <v>175</v>
      </c>
      <c r="D7" s="20" t="s">
        <v>351</v>
      </c>
      <c r="F7" s="1" t="s">
        <v>116</v>
      </c>
      <c r="G7" s="43" t="s">
        <v>165</v>
      </c>
      <c r="H7" s="43" t="s">
        <v>140</v>
      </c>
      <c r="I7" s="159" t="s">
        <v>919</v>
      </c>
      <c r="J7" t="s">
        <v>3761</v>
      </c>
      <c r="K7" s="40"/>
      <c r="M7" s="41" t="s">
        <v>352</v>
      </c>
      <c r="N7" s="1" t="s">
        <v>353</v>
      </c>
      <c r="O7" s="1"/>
      <c r="P7" s="1" t="s">
        <v>354</v>
      </c>
      <c r="Q7" s="1" t="s">
        <v>355</v>
      </c>
      <c r="R7" s="1"/>
      <c r="S7" s="1" t="s">
        <v>356</v>
      </c>
      <c r="T7" s="1" t="s">
        <v>357</v>
      </c>
      <c r="U7" s="1"/>
      <c r="V7" s="1" t="s">
        <v>358</v>
      </c>
      <c r="W7" s="1" t="s">
        <v>359</v>
      </c>
      <c r="Y7" s="40"/>
      <c r="AA7" s="1" t="s">
        <v>3760</v>
      </c>
      <c r="AB7" s="1" t="s">
        <v>760</v>
      </c>
      <c r="AC7" s="1" t="s">
        <v>3045</v>
      </c>
      <c r="AD7" s="709" t="s">
        <v>3759</v>
      </c>
      <c r="AE7" s="709" t="s">
        <v>3758</v>
      </c>
      <c r="AF7" s="300" t="s">
        <v>3757</v>
      </c>
      <c r="AG7" s="709" t="s">
        <v>3756</v>
      </c>
      <c r="AH7" s="709" t="s">
        <v>3755</v>
      </c>
      <c r="AI7" s="709" t="s">
        <v>3754</v>
      </c>
    </row>
    <row r="8" spans="1:35">
      <c r="A8" s="55" t="s">
        <v>176</v>
      </c>
      <c r="B8" s="56" t="s">
        <v>78</v>
      </c>
      <c r="C8" s="20" t="s">
        <v>176</v>
      </c>
      <c r="D8" s="20" t="s">
        <v>360</v>
      </c>
      <c r="F8" s="1" t="s">
        <v>117</v>
      </c>
      <c r="G8" s="43" t="s">
        <v>166</v>
      </c>
      <c r="H8" s="43" t="s">
        <v>141</v>
      </c>
      <c r="I8" s="159" t="s">
        <v>16</v>
      </c>
      <c r="J8" t="s">
        <v>3753</v>
      </c>
      <c r="K8" s="40"/>
      <c r="M8" s="41" t="s">
        <v>361</v>
      </c>
      <c r="N8" s="1" t="s">
        <v>362</v>
      </c>
      <c r="O8" s="1"/>
      <c r="P8" s="1" t="s">
        <v>363</v>
      </c>
      <c r="Q8" s="1" t="s">
        <v>364</v>
      </c>
      <c r="R8" s="1"/>
      <c r="S8" s="1" t="s">
        <v>365</v>
      </c>
      <c r="T8" s="1" t="s">
        <v>366</v>
      </c>
      <c r="U8" s="1"/>
      <c r="V8" s="1" t="s">
        <v>367</v>
      </c>
      <c r="W8" s="1" t="s">
        <v>368</v>
      </c>
      <c r="Y8" s="40"/>
      <c r="AA8" s="1" t="s">
        <v>3752</v>
      </c>
      <c r="AB8" s="1" t="s">
        <v>768</v>
      </c>
      <c r="AC8" s="1" t="s">
        <v>2638</v>
      </c>
      <c r="AD8" s="709" t="s">
        <v>3751</v>
      </c>
      <c r="AE8" s="709" t="s">
        <v>3750</v>
      </c>
      <c r="AF8" s="300" t="s">
        <v>3749</v>
      </c>
      <c r="AG8" s="709" t="s">
        <v>3748</v>
      </c>
      <c r="AH8" s="709" t="s">
        <v>3747</v>
      </c>
      <c r="AI8" s="709" t="s">
        <v>3746</v>
      </c>
    </row>
    <row r="9" spans="1:35">
      <c r="A9" s="55" t="s">
        <v>177</v>
      </c>
      <c r="B9" s="56" t="s">
        <v>79</v>
      </c>
      <c r="C9" s="20" t="s">
        <v>177</v>
      </c>
      <c r="D9" s="20" t="s">
        <v>369</v>
      </c>
      <c r="F9" s="1" t="s">
        <v>118</v>
      </c>
      <c r="G9" s="43" t="s">
        <v>189</v>
      </c>
      <c r="H9" s="43" t="s">
        <v>142</v>
      </c>
      <c r="I9" s="156"/>
      <c r="J9" t="s">
        <v>3745</v>
      </c>
      <c r="K9" s="40"/>
      <c r="M9" s="41" t="s">
        <v>370</v>
      </c>
      <c r="N9" s="1" t="s">
        <v>371</v>
      </c>
      <c r="O9" s="1"/>
      <c r="P9" s="1" t="s">
        <v>372</v>
      </c>
      <c r="Q9" s="1" t="s">
        <v>373</v>
      </c>
      <c r="R9" s="1"/>
      <c r="S9" s="1" t="s">
        <v>374</v>
      </c>
      <c r="T9" s="1" t="s">
        <v>375</v>
      </c>
      <c r="U9" s="1"/>
      <c r="V9" s="1" t="s">
        <v>376</v>
      </c>
      <c r="W9" s="1" t="s">
        <v>377</v>
      </c>
      <c r="Y9" s="40"/>
      <c r="AA9" s="1" t="s">
        <v>3744</v>
      </c>
      <c r="AB9" s="1" t="s">
        <v>776</v>
      </c>
      <c r="AC9" s="1" t="s">
        <v>3743</v>
      </c>
      <c r="AD9" s="709" t="s">
        <v>1246</v>
      </c>
      <c r="AE9" s="709" t="s">
        <v>3742</v>
      </c>
      <c r="AF9" s="300" t="s">
        <v>1245</v>
      </c>
      <c r="AG9" s="709" t="s">
        <v>3741</v>
      </c>
      <c r="AH9" s="709" t="s">
        <v>1697</v>
      </c>
      <c r="AI9" s="709" t="s">
        <v>3740</v>
      </c>
    </row>
    <row r="10" spans="1:35">
      <c r="A10" s="55" t="s">
        <v>178</v>
      </c>
      <c r="B10" s="56" t="s">
        <v>80</v>
      </c>
      <c r="C10" s="20" t="s">
        <v>178</v>
      </c>
      <c r="D10" s="20" t="s">
        <v>378</v>
      </c>
      <c r="F10" s="1" t="s">
        <v>119</v>
      </c>
      <c r="G10" s="43" t="s">
        <v>190</v>
      </c>
      <c r="H10" s="43" t="s">
        <v>143</v>
      </c>
      <c r="I10" s="156"/>
      <c r="J10" t="s">
        <v>3739</v>
      </c>
      <c r="K10" s="40"/>
      <c r="M10" s="41" t="s">
        <v>379</v>
      </c>
      <c r="N10" s="1" t="s">
        <v>380</v>
      </c>
      <c r="O10" s="1"/>
      <c r="P10" s="1" t="s">
        <v>381</v>
      </c>
      <c r="Q10" s="1" t="s">
        <v>382</v>
      </c>
      <c r="R10" s="1"/>
      <c r="S10" s="1" t="s">
        <v>383</v>
      </c>
      <c r="T10" s="1" t="s">
        <v>384</v>
      </c>
      <c r="U10" s="1"/>
      <c r="V10" s="1" t="s">
        <v>385</v>
      </c>
      <c r="W10" s="1" t="s">
        <v>386</v>
      </c>
      <c r="Y10" s="40"/>
      <c r="AA10" s="1" t="s">
        <v>3738</v>
      </c>
      <c r="AB10" s="1" t="s">
        <v>784</v>
      </c>
      <c r="AC10" s="1" t="s">
        <v>3737</v>
      </c>
      <c r="AD10" s="709" t="s">
        <v>1420</v>
      </c>
      <c r="AE10" s="709" t="s">
        <v>3736</v>
      </c>
      <c r="AF10" s="300" t="s">
        <v>3735</v>
      </c>
      <c r="AG10" s="709" t="s">
        <v>3734</v>
      </c>
      <c r="AH10" s="709" t="s">
        <v>3733</v>
      </c>
      <c r="AI10" s="709" t="s">
        <v>3732</v>
      </c>
    </row>
    <row r="11" spans="1:35">
      <c r="A11" s="55" t="s">
        <v>179</v>
      </c>
      <c r="B11" s="56" t="s">
        <v>81</v>
      </c>
      <c r="C11" s="20" t="s">
        <v>179</v>
      </c>
      <c r="D11" s="20" t="s">
        <v>387</v>
      </c>
      <c r="F11" s="1" t="s">
        <v>120</v>
      </c>
      <c r="G11" s="43" t="s">
        <v>167</v>
      </c>
      <c r="H11" s="43" t="s">
        <v>144</v>
      </c>
      <c r="I11" s="156"/>
      <c r="J11" t="s">
        <v>3731</v>
      </c>
      <c r="K11" s="40"/>
      <c r="M11" s="41" t="s">
        <v>388</v>
      </c>
      <c r="N11" s="1" t="s">
        <v>389</v>
      </c>
      <c r="O11" s="1"/>
      <c r="P11" s="1" t="s">
        <v>390</v>
      </c>
      <c r="Q11" s="1" t="s">
        <v>391</v>
      </c>
      <c r="R11" s="1"/>
      <c r="S11" s="1" t="s">
        <v>392</v>
      </c>
      <c r="T11" s="1" t="s">
        <v>393</v>
      </c>
      <c r="U11" s="1"/>
      <c r="V11" s="1" t="s">
        <v>394</v>
      </c>
      <c r="W11" s="1" t="s">
        <v>395</v>
      </c>
      <c r="Y11" s="40"/>
      <c r="AA11" s="1" t="s">
        <v>3730</v>
      </c>
      <c r="AB11" s="1" t="s">
        <v>792</v>
      </c>
      <c r="AC11" s="1" t="s">
        <v>2580</v>
      </c>
      <c r="AD11" s="709" t="s">
        <v>3729</v>
      </c>
      <c r="AE11" s="709" t="s">
        <v>3728</v>
      </c>
      <c r="AF11" s="300" t="s">
        <v>3727</v>
      </c>
      <c r="AG11" s="709" t="s">
        <v>3726</v>
      </c>
      <c r="AH11" s="709" t="s">
        <v>3725</v>
      </c>
      <c r="AI11" s="709" t="s">
        <v>3071</v>
      </c>
    </row>
    <row r="12" spans="1:35">
      <c r="A12" s="55" t="s">
        <v>180</v>
      </c>
      <c r="B12" s="56" t="s">
        <v>82</v>
      </c>
      <c r="C12" s="20" t="s">
        <v>180</v>
      </c>
      <c r="D12" s="20" t="s">
        <v>396</v>
      </c>
      <c r="F12" s="1" t="s">
        <v>121</v>
      </c>
      <c r="G12" s="43" t="s">
        <v>168</v>
      </c>
      <c r="H12" s="43" t="s">
        <v>145</v>
      </c>
      <c r="I12" s="156"/>
      <c r="J12" t="s">
        <v>3724</v>
      </c>
      <c r="K12" s="40"/>
      <c r="M12" s="41" t="s">
        <v>397</v>
      </c>
      <c r="N12" s="1" t="s">
        <v>398</v>
      </c>
      <c r="O12" s="1"/>
      <c r="P12" s="1" t="s">
        <v>399</v>
      </c>
      <c r="Q12" s="1" t="s">
        <v>400</v>
      </c>
      <c r="R12" s="1"/>
      <c r="S12" s="1" t="s">
        <v>401</v>
      </c>
      <c r="T12" s="1" t="s">
        <v>402</v>
      </c>
      <c r="U12" s="1"/>
      <c r="V12" s="1" t="s">
        <v>403</v>
      </c>
      <c r="W12" s="1" t="s">
        <v>404</v>
      </c>
      <c r="Y12" s="40"/>
      <c r="AA12" s="1" t="s">
        <v>3723</v>
      </c>
      <c r="AB12" s="1" t="s">
        <v>800</v>
      </c>
      <c r="AC12" s="1" t="s">
        <v>3722</v>
      </c>
      <c r="AD12" s="709" t="s">
        <v>3721</v>
      </c>
      <c r="AE12" s="709" t="s">
        <v>3720</v>
      </c>
      <c r="AF12" s="300" t="s">
        <v>3719</v>
      </c>
      <c r="AG12" s="709" t="s">
        <v>3718</v>
      </c>
      <c r="AH12" s="709" t="s">
        <v>2917</v>
      </c>
      <c r="AI12" s="709" t="s">
        <v>2918</v>
      </c>
    </row>
    <row r="13" spans="1:35">
      <c r="A13" s="55" t="s">
        <v>181</v>
      </c>
      <c r="B13" s="56" t="s">
        <v>83</v>
      </c>
      <c r="C13" s="20" t="s">
        <v>181</v>
      </c>
      <c r="D13" s="20" t="s">
        <v>405</v>
      </c>
      <c r="F13" s="1" t="s">
        <v>122</v>
      </c>
      <c r="G13" s="43" t="s">
        <v>169</v>
      </c>
      <c r="H13" s="43" t="s">
        <v>146</v>
      </c>
      <c r="I13" s="159" t="s">
        <v>704</v>
      </c>
      <c r="J13" t="s">
        <v>3717</v>
      </c>
      <c r="K13" s="40"/>
      <c r="M13" s="41" t="s">
        <v>406</v>
      </c>
      <c r="N13" s="1" t="s">
        <v>407</v>
      </c>
      <c r="O13" s="1"/>
      <c r="P13" s="1" t="s">
        <v>408</v>
      </c>
      <c r="Q13" s="1" t="s">
        <v>409</v>
      </c>
      <c r="R13" s="1"/>
      <c r="S13" s="1" t="s">
        <v>410</v>
      </c>
      <c r="T13" s="1" t="s">
        <v>411</v>
      </c>
      <c r="U13" s="1"/>
      <c r="V13" s="1" t="s">
        <v>412</v>
      </c>
      <c r="W13" s="1" t="s">
        <v>413</v>
      </c>
      <c r="Y13" s="40"/>
      <c r="AA13" s="1" t="s">
        <v>3716</v>
      </c>
      <c r="AB13" s="1" t="s">
        <v>233</v>
      </c>
      <c r="AC13" s="1" t="s">
        <v>3715</v>
      </c>
      <c r="AD13" s="709" t="s">
        <v>3714</v>
      </c>
      <c r="AE13" s="709" t="s">
        <v>3713</v>
      </c>
      <c r="AF13" s="301" t="s">
        <v>36</v>
      </c>
      <c r="AG13" s="709" t="s">
        <v>3712</v>
      </c>
      <c r="AH13" s="709" t="s">
        <v>3711</v>
      </c>
      <c r="AI13" s="709" t="s">
        <v>2567</v>
      </c>
    </row>
    <row r="14" spans="1:35">
      <c r="A14" s="55" t="s">
        <v>182</v>
      </c>
      <c r="B14" s="56" t="s">
        <v>84</v>
      </c>
      <c r="C14" s="20" t="s">
        <v>182</v>
      </c>
      <c r="D14" s="20" t="s">
        <v>414</v>
      </c>
      <c r="F14" s="1" t="s">
        <v>123</v>
      </c>
      <c r="G14" s="43" t="s">
        <v>170</v>
      </c>
      <c r="H14" s="43" t="s">
        <v>147</v>
      </c>
      <c r="I14" s="159" t="s">
        <v>670</v>
      </c>
      <c r="J14" t="s">
        <v>3710</v>
      </c>
      <c r="K14" s="40"/>
      <c r="M14" s="41" t="s">
        <v>415</v>
      </c>
      <c r="N14" s="1" t="s">
        <v>416</v>
      </c>
      <c r="O14" s="1"/>
      <c r="P14" s="1" t="s">
        <v>417</v>
      </c>
      <c r="Q14" s="1" t="s">
        <v>418</v>
      </c>
      <c r="R14" s="1"/>
      <c r="S14" s="1" t="s">
        <v>419</v>
      </c>
      <c r="T14" s="1" t="s">
        <v>420</v>
      </c>
      <c r="U14" s="1"/>
      <c r="V14" s="1" t="s">
        <v>421</v>
      </c>
      <c r="W14" s="1" t="s">
        <v>422</v>
      </c>
      <c r="Y14" s="40"/>
      <c r="AA14" s="1" t="s">
        <v>3709</v>
      </c>
      <c r="AB14" s="1" t="s">
        <v>241</v>
      </c>
      <c r="AC14" s="1" t="s">
        <v>3708</v>
      </c>
      <c r="AD14" s="709" t="s">
        <v>3707</v>
      </c>
      <c r="AE14" s="709" t="s">
        <v>3706</v>
      </c>
      <c r="AF14" s="300" t="s">
        <v>1334</v>
      </c>
      <c r="AG14" s="709" t="s">
        <v>3705</v>
      </c>
      <c r="AH14" s="709" t="s">
        <v>3704</v>
      </c>
      <c r="AI14" s="709" t="s">
        <v>3703</v>
      </c>
    </row>
    <row r="15" spans="1:35">
      <c r="A15" s="55" t="s">
        <v>183</v>
      </c>
      <c r="B15" s="56" t="s">
        <v>85</v>
      </c>
      <c r="C15" s="20" t="s">
        <v>183</v>
      </c>
      <c r="D15" s="20" t="s">
        <v>423</v>
      </c>
      <c r="F15" s="1" t="s">
        <v>124</v>
      </c>
      <c r="G15" s="43" t="s">
        <v>171</v>
      </c>
      <c r="H15" s="43" t="s">
        <v>148</v>
      </c>
      <c r="I15" s="159" t="s">
        <v>920</v>
      </c>
      <c r="J15" t="s">
        <v>3702</v>
      </c>
      <c r="K15" s="40"/>
      <c r="M15" s="41" t="s">
        <v>424</v>
      </c>
      <c r="N15" s="1" t="s">
        <v>425</v>
      </c>
      <c r="O15" s="1"/>
      <c r="P15" s="1" t="s">
        <v>426</v>
      </c>
      <c r="Q15" s="1" t="s">
        <v>427</v>
      </c>
      <c r="R15" s="1"/>
      <c r="S15" s="1" t="s">
        <v>428</v>
      </c>
      <c r="T15" s="1" t="s">
        <v>429</v>
      </c>
      <c r="U15" s="1"/>
      <c r="V15" s="1" t="s">
        <v>430</v>
      </c>
      <c r="W15" s="1" t="s">
        <v>431</v>
      </c>
      <c r="Y15" s="40"/>
      <c r="AA15" s="1" t="s">
        <v>3701</v>
      </c>
      <c r="AB15" s="1" t="s">
        <v>249</v>
      </c>
      <c r="AC15" s="1" t="s">
        <v>3700</v>
      </c>
      <c r="AD15" s="709" t="s">
        <v>2186</v>
      </c>
      <c r="AE15" s="709" t="s">
        <v>3699</v>
      </c>
      <c r="AF15" s="300" t="s">
        <v>3698</v>
      </c>
      <c r="AG15" s="709" t="s">
        <v>3697</v>
      </c>
      <c r="AH15" s="709" t="s">
        <v>3696</v>
      </c>
      <c r="AI15" s="709" t="s">
        <v>3695</v>
      </c>
    </row>
    <row r="16" spans="1:35">
      <c r="A16" s="55" t="s">
        <v>184</v>
      </c>
      <c r="B16" s="56" t="s">
        <v>86</v>
      </c>
      <c r="C16" s="20" t="s">
        <v>184</v>
      </c>
      <c r="D16" s="20" t="s">
        <v>432</v>
      </c>
      <c r="F16" s="1" t="s">
        <v>125</v>
      </c>
      <c r="G16" s="43" t="s">
        <v>172</v>
      </c>
      <c r="H16" s="43" t="s">
        <v>149</v>
      </c>
      <c r="I16" s="159" t="s">
        <v>921</v>
      </c>
      <c r="J16" t="s">
        <v>3694</v>
      </c>
      <c r="K16" s="40"/>
      <c r="M16" s="41" t="s">
        <v>433</v>
      </c>
      <c r="N16" s="1" t="s">
        <v>434</v>
      </c>
      <c r="O16" s="1"/>
      <c r="P16" s="1" t="s">
        <v>435</v>
      </c>
      <c r="Q16" s="1" t="s">
        <v>436</v>
      </c>
      <c r="R16" s="1"/>
      <c r="S16" s="1" t="s">
        <v>437</v>
      </c>
      <c r="T16" s="1" t="s">
        <v>438</v>
      </c>
      <c r="U16" s="1"/>
      <c r="V16" s="1" t="s">
        <v>439</v>
      </c>
      <c r="W16" s="1" t="s">
        <v>440</v>
      </c>
      <c r="Y16" s="40"/>
      <c r="AA16" s="1" t="s">
        <v>3693</v>
      </c>
      <c r="AB16" s="1" t="s">
        <v>737</v>
      </c>
      <c r="AC16" s="1" t="s">
        <v>3692</v>
      </c>
      <c r="AD16" s="709" t="s">
        <v>3691</v>
      </c>
      <c r="AE16" s="709" t="s">
        <v>3690</v>
      </c>
      <c r="AF16" s="300" t="s">
        <v>3689</v>
      </c>
      <c r="AG16" s="709" t="s">
        <v>3688</v>
      </c>
      <c r="AH16" s="709" t="s">
        <v>3687</v>
      </c>
      <c r="AI16" s="709" t="s">
        <v>3686</v>
      </c>
    </row>
    <row r="17" spans="1:35">
      <c r="A17" s="55" t="s">
        <v>185</v>
      </c>
      <c r="B17" s="56" t="s">
        <v>87</v>
      </c>
      <c r="C17" s="20" t="s">
        <v>185</v>
      </c>
      <c r="D17" s="20" t="s">
        <v>441</v>
      </c>
      <c r="F17" s="1" t="s">
        <v>126</v>
      </c>
      <c r="G17" s="43" t="s">
        <v>201</v>
      </c>
      <c r="H17" s="43" t="s">
        <v>150</v>
      </c>
      <c r="I17" s="159" t="s">
        <v>3685</v>
      </c>
      <c r="J17" t="s">
        <v>3684</v>
      </c>
      <c r="K17" s="40"/>
      <c r="M17" s="41" t="s">
        <v>442</v>
      </c>
      <c r="N17" s="1" t="s">
        <v>443</v>
      </c>
      <c r="O17" s="1"/>
      <c r="P17" s="1" t="s">
        <v>444</v>
      </c>
      <c r="Q17" s="1" t="s">
        <v>445</v>
      </c>
      <c r="R17" s="1"/>
      <c r="S17" s="1" t="s">
        <v>446</v>
      </c>
      <c r="T17" s="1" t="s">
        <v>447</v>
      </c>
      <c r="U17" s="1"/>
      <c r="V17" s="1" t="s">
        <v>448</v>
      </c>
      <c r="W17" s="1" t="s">
        <v>449</v>
      </c>
      <c r="Y17" s="40"/>
      <c r="AA17" s="1" t="s">
        <v>3683</v>
      </c>
      <c r="AB17" s="1" t="s">
        <v>745</v>
      </c>
      <c r="AC17" s="1" t="s">
        <v>3682</v>
      </c>
      <c r="AD17" s="709" t="s">
        <v>3681</v>
      </c>
      <c r="AE17" s="709" t="s">
        <v>3680</v>
      </c>
      <c r="AF17" s="300" t="s">
        <v>3679</v>
      </c>
      <c r="AG17" s="709" t="s">
        <v>3678</v>
      </c>
      <c r="AH17" s="709" t="s">
        <v>3677</v>
      </c>
      <c r="AI17" s="709" t="s">
        <v>3676</v>
      </c>
    </row>
    <row r="18" spans="1:35">
      <c r="A18" s="55" t="s">
        <v>186</v>
      </c>
      <c r="B18" s="56" t="s">
        <v>88</v>
      </c>
      <c r="C18" s="20" t="s">
        <v>186</v>
      </c>
      <c r="D18" s="20" t="s">
        <v>450</v>
      </c>
      <c r="F18" s="1" t="s">
        <v>127</v>
      </c>
      <c r="G18" s="43" t="s">
        <v>202</v>
      </c>
      <c r="H18" s="43" t="s">
        <v>151</v>
      </c>
      <c r="I18" s="156"/>
      <c r="J18" t="s">
        <v>3675</v>
      </c>
      <c r="K18" s="40"/>
      <c r="M18" s="41" t="s">
        <v>451</v>
      </c>
      <c r="N18" s="1" t="s">
        <v>452</v>
      </c>
      <c r="O18" s="1"/>
      <c r="P18" s="1" t="s">
        <v>453</v>
      </c>
      <c r="Q18" s="1" t="s">
        <v>454</v>
      </c>
      <c r="R18" s="1"/>
      <c r="S18" s="1" t="s">
        <v>455</v>
      </c>
      <c r="T18" s="1" t="s">
        <v>456</v>
      </c>
      <c r="U18" s="1"/>
      <c r="V18" s="1" t="s">
        <v>457</v>
      </c>
      <c r="W18" s="1" t="s">
        <v>458</v>
      </c>
      <c r="Y18" s="40"/>
      <c r="AA18" s="1" t="s">
        <v>3674</v>
      </c>
      <c r="AB18" s="1" t="s">
        <v>753</v>
      </c>
      <c r="AC18" s="1" t="s">
        <v>3673</v>
      </c>
      <c r="AD18" s="709" t="s">
        <v>1931</v>
      </c>
      <c r="AE18" s="709" t="s">
        <v>3672</v>
      </c>
      <c r="AF18" s="300" t="s">
        <v>1930</v>
      </c>
      <c r="AG18" s="709" t="s">
        <v>3671</v>
      </c>
      <c r="AH18" s="709" t="s">
        <v>3670</v>
      </c>
      <c r="AI18" s="709" t="s">
        <v>3669</v>
      </c>
    </row>
    <row r="19" spans="1:35">
      <c r="A19" s="55" t="s">
        <v>187</v>
      </c>
      <c r="B19" s="56" t="s">
        <v>89</v>
      </c>
      <c r="C19" s="20" t="s">
        <v>187</v>
      </c>
      <c r="D19" s="20" t="s">
        <v>459</v>
      </c>
      <c r="F19" s="1" t="s">
        <v>128</v>
      </c>
      <c r="G19" s="43" t="s">
        <v>203</v>
      </c>
      <c r="H19" s="43" t="s">
        <v>152</v>
      </c>
      <c r="I19" s="159" t="s">
        <v>922</v>
      </c>
      <c r="J19" t="s">
        <v>3668</v>
      </c>
      <c r="K19" s="40"/>
      <c r="M19" s="41" t="s">
        <v>460</v>
      </c>
      <c r="N19" s="1" t="s">
        <v>461</v>
      </c>
      <c r="O19" s="1"/>
      <c r="P19" s="1" t="s">
        <v>462</v>
      </c>
      <c r="Q19" s="1" t="s">
        <v>463</v>
      </c>
      <c r="R19" s="1"/>
      <c r="S19" s="1" t="s">
        <v>464</v>
      </c>
      <c r="T19" s="1" t="s">
        <v>465</v>
      </c>
      <c r="U19" s="1"/>
      <c r="V19" s="1" t="s">
        <v>466</v>
      </c>
      <c r="W19" s="1" t="s">
        <v>467</v>
      </c>
      <c r="Y19" s="40"/>
      <c r="AA19" s="1" t="s">
        <v>3667</v>
      </c>
      <c r="AB19" s="1" t="s">
        <v>761</v>
      </c>
      <c r="AC19" s="1" t="s">
        <v>3666</v>
      </c>
      <c r="AD19" s="709" t="s">
        <v>3665</v>
      </c>
      <c r="AE19" s="709" t="s">
        <v>3664</v>
      </c>
      <c r="AF19" s="301" t="s">
        <v>22</v>
      </c>
      <c r="AG19" s="709" t="s">
        <v>3663</v>
      </c>
      <c r="AH19" s="709" t="s">
        <v>3662</v>
      </c>
      <c r="AI19" s="709" t="s">
        <v>3039</v>
      </c>
    </row>
    <row r="20" spans="1:35">
      <c r="A20" s="55" t="s">
        <v>188</v>
      </c>
      <c r="B20" s="56" t="s">
        <v>90</v>
      </c>
      <c r="C20" s="20" t="s">
        <v>188</v>
      </c>
      <c r="D20" s="20" t="s">
        <v>468</v>
      </c>
      <c r="F20" s="1" t="s">
        <v>129</v>
      </c>
      <c r="G20" s="43" t="s">
        <v>204</v>
      </c>
      <c r="H20" s="43" t="s">
        <v>153</v>
      </c>
      <c r="I20" s="159" t="s">
        <v>734</v>
      </c>
      <c r="J20" t="s">
        <v>3661</v>
      </c>
      <c r="K20" s="40"/>
      <c r="M20" s="41" t="s">
        <v>469</v>
      </c>
      <c r="N20" s="1" t="s">
        <v>470</v>
      </c>
      <c r="O20" s="1"/>
      <c r="P20" s="1" t="s">
        <v>471</v>
      </c>
      <c r="Q20" s="1" t="s">
        <v>472</v>
      </c>
      <c r="R20" s="1"/>
      <c r="S20" s="1" t="s">
        <v>473</v>
      </c>
      <c r="T20" s="1" t="s">
        <v>474</v>
      </c>
      <c r="U20" s="1"/>
      <c r="V20" s="1" t="s">
        <v>475</v>
      </c>
      <c r="W20" s="1" t="s">
        <v>476</v>
      </c>
      <c r="Y20" s="40"/>
      <c r="AA20" s="1" t="s">
        <v>3660</v>
      </c>
      <c r="AB20" s="1" t="s">
        <v>769</v>
      </c>
      <c r="AC20" s="1" t="s">
        <v>3659</v>
      </c>
      <c r="AD20" s="709" t="s">
        <v>3658</v>
      </c>
      <c r="AE20" s="709" t="s">
        <v>3657</v>
      </c>
      <c r="AF20" s="300" t="s">
        <v>3656</v>
      </c>
      <c r="AG20" s="709" t="s">
        <v>3655</v>
      </c>
      <c r="AH20" s="709" t="s">
        <v>3654</v>
      </c>
      <c r="AI20" s="709" t="s">
        <v>3042</v>
      </c>
    </row>
    <row r="21" spans="1:35">
      <c r="A21" s="44"/>
      <c r="F21" s="1" t="s">
        <v>130</v>
      </c>
      <c r="G21" s="43" t="s">
        <v>205</v>
      </c>
      <c r="H21" s="43" t="s">
        <v>154</v>
      </c>
      <c r="I21" s="156"/>
      <c r="J21" t="s">
        <v>3653</v>
      </c>
      <c r="K21" s="40"/>
      <c r="M21" s="41" t="s">
        <v>477</v>
      </c>
      <c r="N21" s="1" t="s">
        <v>478</v>
      </c>
      <c r="O21" s="1" t="s">
        <v>74</v>
      </c>
      <c r="P21" s="1" t="s">
        <v>479</v>
      </c>
      <c r="Q21" s="1" t="s">
        <v>480</v>
      </c>
      <c r="R21" s="1"/>
      <c r="S21" s="1" t="s">
        <v>481</v>
      </c>
      <c r="T21" s="1" t="s">
        <v>482</v>
      </c>
      <c r="U21" s="1"/>
      <c r="V21" s="1" t="s">
        <v>483</v>
      </c>
      <c r="W21" s="1" t="s">
        <v>484</v>
      </c>
      <c r="Y21" s="40"/>
      <c r="AA21" s="1" t="s">
        <v>3652</v>
      </c>
      <c r="AB21" s="1" t="s">
        <v>777</v>
      </c>
      <c r="AC21" s="1" t="s">
        <v>3024</v>
      </c>
      <c r="AD21" s="709" t="s">
        <v>3651</v>
      </c>
      <c r="AE21" s="709" t="s">
        <v>3650</v>
      </c>
      <c r="AF21" s="300" t="s">
        <v>3649</v>
      </c>
      <c r="AG21" s="709" t="s">
        <v>3648</v>
      </c>
      <c r="AH21" s="709" t="s">
        <v>3647</v>
      </c>
      <c r="AI21" s="709" t="s">
        <v>3646</v>
      </c>
    </row>
    <row r="22" spans="1:35">
      <c r="A22" s="44"/>
      <c r="F22" s="1" t="s">
        <v>131</v>
      </c>
      <c r="G22" s="43" t="s">
        <v>206</v>
      </c>
      <c r="H22" s="43" t="s">
        <v>155</v>
      </c>
      <c r="I22" s="159">
        <v>26</v>
      </c>
      <c r="J22" t="s">
        <v>3645</v>
      </c>
      <c r="K22" s="40"/>
      <c r="M22" s="41" t="s">
        <v>485</v>
      </c>
      <c r="N22" s="1" t="s">
        <v>486</v>
      </c>
      <c r="O22" s="1" t="s">
        <v>74</v>
      </c>
      <c r="P22" s="1" t="s">
        <v>487</v>
      </c>
      <c r="Q22" s="1" t="s">
        <v>488</v>
      </c>
      <c r="R22" s="1"/>
      <c r="S22" s="1" t="s">
        <v>489</v>
      </c>
      <c r="T22" s="1" t="s">
        <v>490</v>
      </c>
      <c r="U22" s="1"/>
      <c r="V22" s="1" t="s">
        <v>491</v>
      </c>
      <c r="W22" s="1" t="s">
        <v>492</v>
      </c>
      <c r="Y22" s="40"/>
      <c r="AA22" s="1" t="s">
        <v>3644</v>
      </c>
      <c r="AB22" s="1" t="s">
        <v>785</v>
      </c>
      <c r="AC22" s="1" t="s">
        <v>3643</v>
      </c>
      <c r="AD22" s="709" t="s">
        <v>3642</v>
      </c>
      <c r="AE22" s="709" t="s">
        <v>3641</v>
      </c>
      <c r="AF22" s="300" t="s">
        <v>3640</v>
      </c>
      <c r="AG22" s="709" t="s">
        <v>3639</v>
      </c>
      <c r="AH22" s="709" t="s">
        <v>3638</v>
      </c>
      <c r="AI22" s="709" t="s">
        <v>2590</v>
      </c>
    </row>
    <row r="23" spans="1:35">
      <c r="A23" s="44"/>
      <c r="F23" s="1" t="s">
        <v>132</v>
      </c>
      <c r="G23" s="43" t="s">
        <v>207</v>
      </c>
      <c r="H23" s="43" t="s">
        <v>156</v>
      </c>
      <c r="I23" s="156"/>
      <c r="J23" t="s">
        <v>3637</v>
      </c>
      <c r="K23" s="40"/>
      <c r="M23" s="41" t="s">
        <v>493</v>
      </c>
      <c r="N23" s="1" t="s">
        <v>494</v>
      </c>
      <c r="O23" s="1" t="s">
        <v>74</v>
      </c>
      <c r="P23" s="1" t="s">
        <v>495</v>
      </c>
      <c r="Q23" s="1" t="s">
        <v>496</v>
      </c>
      <c r="R23" s="1"/>
      <c r="S23" s="1" t="s">
        <v>497</v>
      </c>
      <c r="T23" s="1" t="s">
        <v>498</v>
      </c>
      <c r="U23" s="1"/>
      <c r="V23" s="1" t="s">
        <v>499</v>
      </c>
      <c r="W23" s="1" t="s">
        <v>500</v>
      </c>
      <c r="Y23" s="40"/>
      <c r="AA23" s="1" t="s">
        <v>3636</v>
      </c>
      <c r="AB23" s="1" t="s">
        <v>793</v>
      </c>
      <c r="AC23" s="1" t="s">
        <v>3635</v>
      </c>
      <c r="AD23" s="709" t="s">
        <v>1628</v>
      </c>
      <c r="AE23" s="709" t="s">
        <v>3634</v>
      </c>
      <c r="AF23" s="300" t="s">
        <v>3633</v>
      </c>
      <c r="AG23" s="709" t="s">
        <v>3632</v>
      </c>
      <c r="AH23" s="709" t="s">
        <v>1264</v>
      </c>
      <c r="AI23" s="709" t="s">
        <v>1307</v>
      </c>
    </row>
    <row r="24" spans="1:35">
      <c r="A24" s="44"/>
      <c r="F24" s="1" t="s">
        <v>133</v>
      </c>
      <c r="G24" s="43" t="s">
        <v>208</v>
      </c>
      <c r="H24" s="43" t="s">
        <v>157</v>
      </c>
      <c r="I24" s="156"/>
      <c r="J24" t="s">
        <v>3631</v>
      </c>
      <c r="K24" s="40"/>
      <c r="M24" s="41" t="s">
        <v>501</v>
      </c>
      <c r="N24" s="1" t="s">
        <v>502</v>
      </c>
      <c r="O24" s="1" t="s">
        <v>74</v>
      </c>
      <c r="P24" s="1" t="s">
        <v>503</v>
      </c>
      <c r="Q24" s="1" t="s">
        <v>504</v>
      </c>
      <c r="R24" s="1"/>
      <c r="S24" s="1" t="s">
        <v>505</v>
      </c>
      <c r="T24" s="1" t="s">
        <v>506</v>
      </c>
      <c r="U24" s="1"/>
      <c r="V24" s="1" t="s">
        <v>507</v>
      </c>
      <c r="W24" s="1" t="s">
        <v>508</v>
      </c>
      <c r="Y24" s="40"/>
      <c r="AA24" s="1" t="s">
        <v>3630</v>
      </c>
      <c r="AB24" s="1" t="s">
        <v>801</v>
      </c>
      <c r="AC24" s="1" t="s">
        <v>2557</v>
      </c>
      <c r="AD24" s="709" t="s">
        <v>3629</v>
      </c>
      <c r="AE24" s="709" t="s">
        <v>3628</v>
      </c>
      <c r="AF24" s="300" t="s">
        <v>3627</v>
      </c>
      <c r="AG24" s="709" t="s">
        <v>3626</v>
      </c>
      <c r="AH24" s="709" t="s">
        <v>3625</v>
      </c>
      <c r="AI24" s="709" t="s">
        <v>2648</v>
      </c>
    </row>
    <row r="25" spans="1:35">
      <c r="A25" s="44"/>
      <c r="F25" s="1" t="s">
        <v>134</v>
      </c>
      <c r="G25" s="43" t="s">
        <v>209</v>
      </c>
      <c r="H25" s="43" t="s">
        <v>158</v>
      </c>
      <c r="I25" s="159" t="s">
        <v>923</v>
      </c>
      <c r="J25" t="s">
        <v>3624</v>
      </c>
      <c r="K25" s="40"/>
      <c r="M25" s="41" t="s">
        <v>509</v>
      </c>
      <c r="N25" s="1" t="s">
        <v>510</v>
      </c>
      <c r="O25" s="1" t="s">
        <v>74</v>
      </c>
      <c r="P25" s="1" t="s">
        <v>511</v>
      </c>
      <c r="Q25" s="1" t="s">
        <v>512</v>
      </c>
      <c r="R25" s="1"/>
      <c r="S25" s="1" t="s">
        <v>513</v>
      </c>
      <c r="T25" s="1" t="s">
        <v>514</v>
      </c>
      <c r="U25" s="1"/>
      <c r="V25" s="1" t="s">
        <v>515</v>
      </c>
      <c r="W25" s="1" t="s">
        <v>516</v>
      </c>
      <c r="Y25" s="40"/>
      <c r="AA25" s="1" t="s">
        <v>3623</v>
      </c>
      <c r="AB25" s="1" t="s">
        <v>234</v>
      </c>
      <c r="AC25" s="1" t="s">
        <v>3622</v>
      </c>
      <c r="AD25" s="709" t="s">
        <v>3621</v>
      </c>
      <c r="AE25" s="709" t="s">
        <v>3620</v>
      </c>
      <c r="AF25" s="300" t="s">
        <v>3619</v>
      </c>
      <c r="AG25" s="709" t="s">
        <v>3618</v>
      </c>
      <c r="AH25" s="709" t="s">
        <v>3617</v>
      </c>
      <c r="AI25" s="709" t="s">
        <v>2603</v>
      </c>
    </row>
    <row r="26" spans="1:35">
      <c r="A26" s="44"/>
      <c r="F26" s="1" t="s">
        <v>135</v>
      </c>
      <c r="G26" s="43" t="s">
        <v>210</v>
      </c>
      <c r="H26" s="43" t="s">
        <v>159</v>
      </c>
      <c r="I26" s="159" t="s">
        <v>20</v>
      </c>
      <c r="J26" t="s">
        <v>3616</v>
      </c>
      <c r="K26" s="40"/>
      <c r="M26" s="41" t="s">
        <v>517</v>
      </c>
      <c r="N26" s="1" t="s">
        <v>518</v>
      </c>
      <c r="O26" s="1" t="s">
        <v>74</v>
      </c>
      <c r="P26" s="1" t="s">
        <v>519</v>
      </c>
      <c r="Q26" s="1" t="s">
        <v>520</v>
      </c>
      <c r="R26" s="1"/>
      <c r="S26" s="1" t="s">
        <v>521</v>
      </c>
      <c r="T26" s="1" t="s">
        <v>522</v>
      </c>
      <c r="U26" s="1"/>
      <c r="V26" s="1" t="s">
        <v>523</v>
      </c>
      <c r="W26" s="1" t="s">
        <v>524</v>
      </c>
      <c r="Y26" s="40"/>
      <c r="AA26" s="1" t="s">
        <v>3615</v>
      </c>
      <c r="AB26" s="1" t="s">
        <v>242</v>
      </c>
      <c r="AC26" s="1" t="s">
        <v>3614</v>
      </c>
      <c r="AD26" s="709" t="s">
        <v>2059</v>
      </c>
      <c r="AE26" s="709" t="s">
        <v>3613</v>
      </c>
      <c r="AF26" s="300" t="s">
        <v>3612</v>
      </c>
      <c r="AG26" s="709" t="s">
        <v>3611</v>
      </c>
      <c r="AH26" s="709" t="s">
        <v>3610</v>
      </c>
      <c r="AI26" s="709" t="s">
        <v>3609</v>
      </c>
    </row>
    <row r="27" spans="1:35">
      <c r="A27" s="44"/>
      <c r="F27" s="1" t="s">
        <v>136</v>
      </c>
      <c r="G27" s="43" t="s">
        <v>211</v>
      </c>
      <c r="H27" s="43" t="s">
        <v>108</v>
      </c>
      <c r="I27" s="156"/>
      <c r="J27" t="s">
        <v>3608</v>
      </c>
      <c r="K27" s="40"/>
      <c r="M27" s="41" t="s">
        <v>525</v>
      </c>
      <c r="N27" s="1" t="s">
        <v>526</v>
      </c>
      <c r="O27" s="1" t="s">
        <v>74</v>
      </c>
      <c r="P27" s="1" t="s">
        <v>527</v>
      </c>
      <c r="Q27" s="1" t="s">
        <v>528</v>
      </c>
      <c r="R27" s="1"/>
      <c r="S27" s="1" t="s">
        <v>529</v>
      </c>
      <c r="T27" s="1" t="s">
        <v>530</v>
      </c>
      <c r="U27" s="1"/>
      <c r="V27" s="1" t="s">
        <v>531</v>
      </c>
      <c r="W27" s="1" t="s">
        <v>532</v>
      </c>
      <c r="Y27" s="40"/>
      <c r="AA27" s="1" t="s">
        <v>3607</v>
      </c>
      <c r="AB27" s="1" t="s">
        <v>250</v>
      </c>
      <c r="AC27" s="1" t="s">
        <v>2850</v>
      </c>
      <c r="AD27" s="709" t="s">
        <v>2144</v>
      </c>
      <c r="AE27" s="709" t="s">
        <v>2849</v>
      </c>
      <c r="AF27" s="300" t="s">
        <v>3606</v>
      </c>
      <c r="AG27" s="709" t="s">
        <v>3605</v>
      </c>
      <c r="AH27" s="709" t="s">
        <v>3604</v>
      </c>
      <c r="AI27" s="709" t="s">
        <v>3603</v>
      </c>
    </row>
    <row r="28" spans="1:35" ht="15.75" thickBot="1">
      <c r="A28" s="44"/>
      <c r="F28" s="1" t="s">
        <v>137</v>
      </c>
      <c r="G28" s="43" t="s">
        <v>212</v>
      </c>
      <c r="H28" s="43" t="s">
        <v>109</v>
      </c>
      <c r="I28" s="156"/>
      <c r="J28" t="s">
        <v>1167</v>
      </c>
      <c r="K28" s="40"/>
      <c r="M28" s="45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7"/>
    </row>
    <row r="29" spans="1:35" ht="15.75" thickBot="1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7"/>
    </row>
    <row r="30" spans="1:35" ht="15.75" thickBot="1"/>
    <row r="31" spans="1:35">
      <c r="A31" s="862" t="s">
        <v>3602</v>
      </c>
      <c r="B31" s="863"/>
      <c r="C31" s="863"/>
      <c r="D31" s="863"/>
      <c r="E31" s="863"/>
      <c r="F31" s="863"/>
      <c r="G31" s="863"/>
      <c r="H31" s="863"/>
      <c r="I31" s="863"/>
      <c r="J31" s="863"/>
      <c r="K31" s="864"/>
      <c r="M31" s="862" t="s">
        <v>3601</v>
      </c>
      <c r="N31" s="863"/>
      <c r="O31" s="863"/>
      <c r="P31" s="863"/>
      <c r="Q31" s="863"/>
      <c r="R31" s="863"/>
      <c r="S31" s="863"/>
      <c r="T31" s="863"/>
      <c r="U31" s="863"/>
      <c r="V31" s="863"/>
      <c r="W31" s="863"/>
      <c r="X31" s="863"/>
      <c r="Y31" s="864"/>
    </row>
    <row r="32" spans="1:35">
      <c r="A32" s="44"/>
      <c r="K32" s="40"/>
      <c r="M32" s="852"/>
      <c r="N32" s="853"/>
      <c r="O32" s="853"/>
      <c r="P32" s="853"/>
      <c r="Q32" s="853"/>
      <c r="R32" s="853"/>
      <c r="S32" s="853"/>
      <c r="T32" s="853"/>
      <c r="U32" s="853"/>
      <c r="Y32" s="40"/>
    </row>
    <row r="33" spans="1:25">
      <c r="A33" s="865" t="s">
        <v>533</v>
      </c>
      <c r="B33" s="866"/>
      <c r="D33" s="866" t="s">
        <v>263</v>
      </c>
      <c r="E33" s="866"/>
      <c r="F33" s="866"/>
      <c r="G33" s="866"/>
      <c r="H33" s="866"/>
      <c r="I33" s="866"/>
      <c r="K33" s="40"/>
      <c r="M33" s="41"/>
      <c r="N33" s="859" t="s">
        <v>318</v>
      </c>
      <c r="O33" s="859"/>
      <c r="P33" s="867" t="s">
        <v>319</v>
      </c>
      <c r="Q33" s="867"/>
      <c r="S33" s="872" t="s">
        <v>534</v>
      </c>
      <c r="T33" s="872"/>
      <c r="U33" s="872"/>
      <c r="V33" s="1"/>
      <c r="Y33" s="40"/>
    </row>
    <row r="34" spans="1:25" ht="30">
      <c r="A34" s="48" t="s">
        <v>53</v>
      </c>
      <c r="B34" s="1"/>
      <c r="D34" s="825" t="s">
        <v>229</v>
      </c>
      <c r="E34" s="825"/>
      <c r="F34" s="710"/>
      <c r="G34" s="825" t="s">
        <v>230</v>
      </c>
      <c r="H34" s="825"/>
      <c r="I34" s="1"/>
      <c r="J34" s="843" t="s">
        <v>971</v>
      </c>
      <c r="K34" s="843"/>
      <c r="M34" s="41" t="s">
        <v>535</v>
      </c>
      <c r="N34" s="56" t="s">
        <v>55</v>
      </c>
      <c r="O34" s="54" t="s">
        <v>536</v>
      </c>
      <c r="P34" s="20" t="s">
        <v>55</v>
      </c>
      <c r="Q34" s="49" t="s">
        <v>537</v>
      </c>
      <c r="S34" s="1" t="s">
        <v>535</v>
      </c>
      <c r="T34" s="43"/>
      <c r="U34" s="43" t="s">
        <v>54</v>
      </c>
      <c r="V34" s="1" t="s">
        <v>917</v>
      </c>
      <c r="Y34" s="40"/>
    </row>
    <row r="35" spans="1:25">
      <c r="A35" s="41" t="s">
        <v>56</v>
      </c>
      <c r="B35" s="50" t="s">
        <v>216</v>
      </c>
      <c r="D35" s="1" t="s">
        <v>213</v>
      </c>
      <c r="E35" s="1" t="s">
        <v>214</v>
      </c>
      <c r="F35" s="1" t="s">
        <v>917</v>
      </c>
      <c r="G35" s="1" t="s">
        <v>213</v>
      </c>
      <c r="H35" s="1" t="s">
        <v>214</v>
      </c>
      <c r="I35" s="1" t="s">
        <v>917</v>
      </c>
      <c r="J35" s="74" t="s">
        <v>973</v>
      </c>
      <c r="K35" s="74" t="s">
        <v>970</v>
      </c>
      <c r="M35" s="41" t="s">
        <v>195</v>
      </c>
      <c r="N35" s="56" t="s">
        <v>73</v>
      </c>
      <c r="O35" s="56" t="s">
        <v>38</v>
      </c>
      <c r="P35" s="20" t="s">
        <v>73</v>
      </c>
      <c r="Q35" s="20" t="s">
        <v>625</v>
      </c>
      <c r="S35" s="41" t="s">
        <v>538</v>
      </c>
      <c r="T35" s="43" t="s">
        <v>72</v>
      </c>
      <c r="U35" s="43" t="s">
        <v>15</v>
      </c>
      <c r="W35" t="s">
        <v>3600</v>
      </c>
      <c r="Y35" s="40"/>
    </row>
    <row r="36" spans="1:25">
      <c r="A36" s="41" t="s">
        <v>57</v>
      </c>
      <c r="B36" s="51" t="s">
        <v>0</v>
      </c>
      <c r="C36" t="s">
        <v>3599</v>
      </c>
      <c r="D36" s="1">
        <v>2</v>
      </c>
      <c r="E36" s="1" t="s">
        <v>586</v>
      </c>
      <c r="F36" s="140" t="s">
        <v>860</v>
      </c>
      <c r="G36" s="1">
        <v>1</v>
      </c>
      <c r="H36" s="1" t="s">
        <v>580</v>
      </c>
      <c r="I36" s="1"/>
      <c r="J36" s="74" t="s">
        <v>974</v>
      </c>
      <c r="K36" s="74" t="s">
        <v>972</v>
      </c>
      <c r="M36" s="41" t="s">
        <v>196</v>
      </c>
      <c r="N36" s="56" t="s">
        <v>39</v>
      </c>
      <c r="O36" s="56" t="s">
        <v>40</v>
      </c>
      <c r="P36" s="20" t="s">
        <v>39</v>
      </c>
      <c r="Q36" s="20" t="s">
        <v>626</v>
      </c>
      <c r="S36" s="41" t="s">
        <v>539</v>
      </c>
      <c r="T36" s="140" t="s">
        <v>16</v>
      </c>
      <c r="U36" s="140" t="s">
        <v>17</v>
      </c>
      <c r="V36" s="140" t="s">
        <v>95</v>
      </c>
      <c r="W36" t="s">
        <v>3598</v>
      </c>
      <c r="Y36" s="40"/>
    </row>
    <row r="37" spans="1:25">
      <c r="A37" s="41" t="s">
        <v>58</v>
      </c>
      <c r="B37" s="51" t="s">
        <v>1</v>
      </c>
      <c r="C37" t="s">
        <v>3597</v>
      </c>
      <c r="D37" s="1">
        <v>4</v>
      </c>
      <c r="E37" s="1" t="s">
        <v>587</v>
      </c>
      <c r="F37" s="1"/>
      <c r="G37" s="1">
        <v>3</v>
      </c>
      <c r="H37" s="1" t="s">
        <v>581</v>
      </c>
      <c r="I37" s="1"/>
      <c r="K37" s="40"/>
      <c r="M37" s="41" t="s">
        <v>197</v>
      </c>
      <c r="N37" s="56" t="s">
        <v>41</v>
      </c>
      <c r="O37" s="56" t="s">
        <v>42</v>
      </c>
      <c r="P37" s="20" t="s">
        <v>41</v>
      </c>
      <c r="Q37" s="20" t="s">
        <v>627</v>
      </c>
      <c r="S37" s="41" t="s">
        <v>540</v>
      </c>
      <c r="T37" s="140" t="s">
        <v>20</v>
      </c>
      <c r="U37" s="140" t="s">
        <v>18</v>
      </c>
      <c r="V37" s="140" t="s">
        <v>107</v>
      </c>
      <c r="W37" t="s">
        <v>3596</v>
      </c>
      <c r="Y37" s="40"/>
    </row>
    <row r="38" spans="1:25">
      <c r="A38" s="41" t="s">
        <v>59</v>
      </c>
      <c r="B38" s="51" t="s">
        <v>2</v>
      </c>
      <c r="D38" s="1">
        <v>5</v>
      </c>
      <c r="E38" s="1" t="s">
        <v>588</v>
      </c>
      <c r="F38" s="140" t="s">
        <v>640</v>
      </c>
      <c r="G38" s="1">
        <v>8</v>
      </c>
      <c r="H38" s="1" t="s">
        <v>582</v>
      </c>
      <c r="I38" s="1"/>
      <c r="K38" s="40"/>
      <c r="M38" s="41" t="s">
        <v>198</v>
      </c>
      <c r="N38" s="56" t="s">
        <v>43</v>
      </c>
      <c r="O38" s="56" t="s">
        <v>44</v>
      </c>
      <c r="P38" s="20" t="s">
        <v>43</v>
      </c>
      <c r="Q38" s="20" t="s">
        <v>628</v>
      </c>
      <c r="S38" s="41" t="s">
        <v>541</v>
      </c>
      <c r="T38" s="43" t="s">
        <v>21</v>
      </c>
      <c r="U38" s="43" t="s">
        <v>19</v>
      </c>
      <c r="V38" s="1"/>
      <c r="W38" t="s">
        <v>3595</v>
      </c>
      <c r="Y38" s="40"/>
    </row>
    <row r="39" spans="1:25">
      <c r="A39" s="41" t="s">
        <v>60</v>
      </c>
      <c r="B39" s="51" t="s">
        <v>3</v>
      </c>
      <c r="C39" t="s">
        <v>3594</v>
      </c>
      <c r="D39" s="1">
        <v>6</v>
      </c>
      <c r="E39" s="1" t="s">
        <v>589</v>
      </c>
      <c r="F39" s="140" t="s">
        <v>912</v>
      </c>
      <c r="G39" s="1">
        <v>9</v>
      </c>
      <c r="H39" s="1" t="s">
        <v>583</v>
      </c>
      <c r="I39" s="1"/>
      <c r="K39" s="40"/>
      <c r="M39" s="41" t="s">
        <v>199</v>
      </c>
      <c r="N39" s="56" t="s">
        <v>45</v>
      </c>
      <c r="O39" s="56" t="s">
        <v>46</v>
      </c>
      <c r="P39" s="20" t="s">
        <v>45</v>
      </c>
      <c r="Q39" s="20" t="s">
        <v>632</v>
      </c>
      <c r="S39" s="41" t="s">
        <v>542</v>
      </c>
      <c r="T39" s="140" t="s">
        <v>22</v>
      </c>
      <c r="U39" s="140" t="s">
        <v>23</v>
      </c>
      <c r="V39" s="140" t="s">
        <v>94</v>
      </c>
      <c r="W39" t="s">
        <v>3593</v>
      </c>
      <c r="Y39" s="40"/>
    </row>
    <row r="40" spans="1:25">
      <c r="A40" s="41" t="s">
        <v>61</v>
      </c>
      <c r="B40" s="51" t="s">
        <v>4</v>
      </c>
      <c r="D40" s="1">
        <v>7</v>
      </c>
      <c r="E40" s="1" t="s">
        <v>590</v>
      </c>
      <c r="F40" s="140" t="s">
        <v>664</v>
      </c>
      <c r="G40" s="1">
        <v>10</v>
      </c>
      <c r="H40" s="1" t="s">
        <v>584</v>
      </c>
      <c r="I40" s="1"/>
      <c r="K40" s="40"/>
      <c r="M40" s="41" t="s">
        <v>200</v>
      </c>
      <c r="N40" s="56" t="s">
        <v>47</v>
      </c>
      <c r="O40" s="56" t="s">
        <v>48</v>
      </c>
      <c r="P40" s="20" t="s">
        <v>47</v>
      </c>
      <c r="Q40" s="20" t="s">
        <v>629</v>
      </c>
      <c r="S40" s="41" t="s">
        <v>543</v>
      </c>
      <c r="T40" s="43" t="s">
        <v>24</v>
      </c>
      <c r="U40" s="43" t="s">
        <v>25</v>
      </c>
      <c r="V40" s="1"/>
      <c r="W40" t="s">
        <v>3592</v>
      </c>
      <c r="Y40" s="40"/>
    </row>
    <row r="41" spans="1:25">
      <c r="A41" s="41" t="s">
        <v>62</v>
      </c>
      <c r="B41" s="51" t="s">
        <v>5</v>
      </c>
      <c r="C41" t="s">
        <v>3591</v>
      </c>
      <c r="D41" s="1">
        <v>12</v>
      </c>
      <c r="E41" s="1" t="s">
        <v>591</v>
      </c>
      <c r="F41" s="1"/>
      <c r="G41" s="1">
        <v>11</v>
      </c>
      <c r="H41" s="1" t="s">
        <v>585</v>
      </c>
      <c r="I41" s="1"/>
      <c r="K41" s="40"/>
      <c r="M41" s="41" t="s">
        <v>231</v>
      </c>
      <c r="N41" s="56" t="s">
        <v>49</v>
      </c>
      <c r="O41" s="56" t="s">
        <v>50</v>
      </c>
      <c r="P41" s="20" t="s">
        <v>49</v>
      </c>
      <c r="Q41" s="20" t="s">
        <v>630</v>
      </c>
      <c r="S41" s="41" t="s">
        <v>544</v>
      </c>
      <c r="T41" s="43" t="s">
        <v>26</v>
      </c>
      <c r="U41" s="43" t="s">
        <v>27</v>
      </c>
      <c r="V41" s="1"/>
      <c r="W41" t="s">
        <v>3590</v>
      </c>
      <c r="Y41" s="40"/>
    </row>
    <row r="42" spans="1:25">
      <c r="A42" s="41" t="s">
        <v>63</v>
      </c>
      <c r="B42" s="51" t="s">
        <v>6</v>
      </c>
      <c r="D42" s="1">
        <v>13</v>
      </c>
      <c r="E42" s="1" t="s">
        <v>217</v>
      </c>
      <c r="F42" s="140" t="s">
        <v>658</v>
      </c>
      <c r="G42" s="1">
        <v>20</v>
      </c>
      <c r="H42" s="1" t="s">
        <v>223</v>
      </c>
      <c r="I42" s="1"/>
      <c r="K42" s="40"/>
      <c r="M42" s="41" t="s">
        <v>232</v>
      </c>
      <c r="N42" s="56" t="s">
        <v>51</v>
      </c>
      <c r="O42" s="56" t="s">
        <v>52</v>
      </c>
      <c r="P42" s="20" t="s">
        <v>51</v>
      </c>
      <c r="Q42" s="20" t="s">
        <v>631</v>
      </c>
      <c r="S42" s="41" t="s">
        <v>545</v>
      </c>
      <c r="T42" s="140" t="s">
        <v>28</v>
      </c>
      <c r="U42" s="140" t="s">
        <v>29</v>
      </c>
      <c r="V42" s="140" t="s">
        <v>163</v>
      </c>
      <c r="W42" t="s">
        <v>3589</v>
      </c>
      <c r="Y42" s="40"/>
    </row>
    <row r="43" spans="1:25">
      <c r="A43" s="41" t="s">
        <v>64</v>
      </c>
      <c r="B43" s="51" t="s">
        <v>7</v>
      </c>
      <c r="D43" s="1">
        <v>14</v>
      </c>
      <c r="E43" s="1" t="s">
        <v>218</v>
      </c>
      <c r="F43" s="1"/>
      <c r="G43" s="1">
        <v>21</v>
      </c>
      <c r="H43" s="1" t="s">
        <v>224</v>
      </c>
      <c r="I43" s="1"/>
      <c r="K43" s="40"/>
      <c r="M43" s="44"/>
      <c r="S43" s="41" t="s">
        <v>546</v>
      </c>
      <c r="T43" s="43" t="s">
        <v>30</v>
      </c>
      <c r="U43" s="43" t="s">
        <v>31</v>
      </c>
      <c r="V43" s="1"/>
      <c r="W43" t="s">
        <v>3588</v>
      </c>
      <c r="Y43" s="40"/>
    </row>
    <row r="44" spans="1:25">
      <c r="A44" s="41" t="s">
        <v>65</v>
      </c>
      <c r="B44" s="51" t="s">
        <v>8</v>
      </c>
      <c r="D44" s="1">
        <v>15</v>
      </c>
      <c r="E44" s="1" t="s">
        <v>219</v>
      </c>
      <c r="F44" s="140" t="s">
        <v>172</v>
      </c>
      <c r="G44" s="1">
        <v>22</v>
      </c>
      <c r="H44" s="1" t="s">
        <v>225</v>
      </c>
      <c r="I44" s="140" t="s">
        <v>718</v>
      </c>
      <c r="K44" s="40"/>
      <c r="M44" s="44"/>
      <c r="S44" s="41" t="s">
        <v>547</v>
      </c>
      <c r="T44" s="43" t="s">
        <v>32</v>
      </c>
      <c r="U44" s="43" t="s">
        <v>33</v>
      </c>
      <c r="V44" s="1"/>
      <c r="W44" t="s">
        <v>3587</v>
      </c>
      <c r="Y44" s="40"/>
    </row>
    <row r="45" spans="1:25">
      <c r="A45" s="41" t="s">
        <v>66</v>
      </c>
      <c r="B45" s="51" t="s">
        <v>9</v>
      </c>
      <c r="D45" s="1">
        <v>16</v>
      </c>
      <c r="E45" s="1" t="s">
        <v>220</v>
      </c>
      <c r="F45" s="1"/>
      <c r="G45" s="1">
        <v>23</v>
      </c>
      <c r="H45" s="1" t="s">
        <v>226</v>
      </c>
      <c r="I45" s="1"/>
      <c r="K45" s="40"/>
      <c r="M45" s="44"/>
      <c r="S45" s="41" t="s">
        <v>548</v>
      </c>
      <c r="T45" s="43" t="s">
        <v>34</v>
      </c>
      <c r="U45" s="43" t="s">
        <v>35</v>
      </c>
      <c r="V45" s="1"/>
      <c r="W45" t="s">
        <v>3586</v>
      </c>
      <c r="Y45" s="40"/>
    </row>
    <row r="46" spans="1:25">
      <c r="A46" s="41" t="s">
        <v>67</v>
      </c>
      <c r="B46" s="51" t="s">
        <v>10</v>
      </c>
      <c r="D46" s="1">
        <v>18</v>
      </c>
      <c r="E46" s="1" t="s">
        <v>221</v>
      </c>
      <c r="F46" s="140" t="s">
        <v>866</v>
      </c>
      <c r="G46" s="1">
        <v>25</v>
      </c>
      <c r="H46" s="1" t="s">
        <v>227</v>
      </c>
      <c r="I46" s="1"/>
      <c r="K46" s="40"/>
      <c r="M46" s="44"/>
      <c r="S46" s="41" t="s">
        <v>549</v>
      </c>
      <c r="T46" s="43" t="s">
        <v>36</v>
      </c>
      <c r="U46" s="43" t="s">
        <v>37</v>
      </c>
      <c r="V46" s="1"/>
      <c r="W46" t="s">
        <v>3585</v>
      </c>
      <c r="Y46" s="40"/>
    </row>
    <row r="47" spans="1:25" ht="15.75" thickBot="1">
      <c r="A47" s="41" t="s">
        <v>68</v>
      </c>
      <c r="B47" s="51" t="s">
        <v>11</v>
      </c>
      <c r="D47" s="1">
        <v>19</v>
      </c>
      <c r="E47" s="1" t="s">
        <v>222</v>
      </c>
      <c r="F47" s="1"/>
      <c r="G47" s="1">
        <v>27</v>
      </c>
      <c r="H47" s="1" t="s">
        <v>228</v>
      </c>
      <c r="I47" s="1"/>
      <c r="K47" s="40"/>
      <c r="M47" s="45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7"/>
    </row>
    <row r="48" spans="1:25">
      <c r="A48" s="41" t="s">
        <v>69</v>
      </c>
      <c r="B48" s="51" t="s">
        <v>12</v>
      </c>
      <c r="D48" s="860" t="s">
        <v>215</v>
      </c>
      <c r="E48" s="861"/>
      <c r="F48" s="861"/>
      <c r="G48" s="861"/>
      <c r="H48" s="861"/>
      <c r="I48" s="52"/>
      <c r="K48" s="40"/>
      <c r="S48"/>
    </row>
    <row r="49" spans="1:42">
      <c r="A49" s="41" t="s">
        <v>70</v>
      </c>
      <c r="B49" s="51" t="s">
        <v>13</v>
      </c>
      <c r="K49" s="40"/>
      <c r="S49"/>
    </row>
    <row r="50" spans="1:42">
      <c r="A50" s="41" t="s">
        <v>71</v>
      </c>
      <c r="B50" s="51" t="s">
        <v>14</v>
      </c>
      <c r="K50" s="40"/>
      <c r="M50" t="s">
        <v>110</v>
      </c>
      <c r="N50" t="s">
        <v>111</v>
      </c>
      <c r="S50"/>
    </row>
    <row r="51" spans="1:42" ht="15.75" thickBot="1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7"/>
      <c r="M51" t="s">
        <v>112</v>
      </c>
      <c r="N51" t="s">
        <v>113</v>
      </c>
      <c r="S51"/>
    </row>
    <row r="52" spans="1:42" ht="30.75" customHeight="1" thickBot="1">
      <c r="S52"/>
    </row>
    <row r="53" spans="1:42" ht="15.75" thickBot="1">
      <c r="A53" s="708"/>
      <c r="B53" s="707"/>
      <c r="C53" s="707"/>
      <c r="D53" s="707"/>
      <c r="E53" s="707"/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07"/>
      <c r="T53" s="707"/>
      <c r="U53" s="707"/>
      <c r="V53" s="707"/>
      <c r="W53" s="706"/>
    </row>
    <row r="54" spans="1:42" ht="21">
      <c r="A54" s="844" t="s">
        <v>916</v>
      </c>
      <c r="B54" s="845"/>
      <c r="C54" s="845"/>
      <c r="D54" s="845"/>
      <c r="E54" s="845"/>
      <c r="F54" s="845"/>
      <c r="G54" s="845"/>
      <c r="H54" s="845"/>
      <c r="I54" s="845"/>
      <c r="J54" s="845"/>
      <c r="K54" s="845"/>
      <c r="L54" s="845"/>
      <c r="M54" s="845"/>
      <c r="N54" s="845"/>
      <c r="O54" s="846"/>
      <c r="P54" s="11"/>
      <c r="Q54" s="690" t="s">
        <v>3584</v>
      </c>
      <c r="R54" s="705"/>
      <c r="S54" s="704"/>
      <c r="T54" s="704"/>
      <c r="U54" s="704"/>
      <c r="V54" s="704"/>
      <c r="W54" s="704"/>
      <c r="X54" s="704"/>
      <c r="Y54" s="704"/>
      <c r="Z54" s="704"/>
      <c r="AA54" s="704"/>
      <c r="AB54" s="704"/>
      <c r="AC54" s="704"/>
      <c r="AD54" s="704"/>
      <c r="AE54" s="704"/>
      <c r="AF54" s="703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</row>
    <row r="55" spans="1:42">
      <c r="A55" s="702"/>
      <c r="B55" s="711" t="s">
        <v>973</v>
      </c>
      <c r="C55" s="701" t="s">
        <v>970</v>
      </c>
      <c r="D55" s="697" t="s">
        <v>3583</v>
      </c>
      <c r="E55" s="158" t="s">
        <v>973</v>
      </c>
      <c r="F55" s="158" t="s">
        <v>970</v>
      </c>
      <c r="G55" s="696"/>
      <c r="H55" s="696"/>
      <c r="I55" s="696"/>
      <c r="J55" s="696"/>
      <c r="K55" s="696"/>
      <c r="L55" s="696"/>
      <c r="M55" s="696"/>
      <c r="N55" s="696"/>
      <c r="O55" s="695"/>
      <c r="P55" s="11"/>
      <c r="Q55" s="700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</row>
    <row r="56" spans="1:42" ht="19.5" thickBot="1">
      <c r="A56" s="699" t="s">
        <v>3582</v>
      </c>
      <c r="B56" s="698" t="s">
        <v>38</v>
      </c>
      <c r="C56" s="711" t="s">
        <v>625</v>
      </c>
      <c r="D56" s="697" t="s">
        <v>73</v>
      </c>
      <c r="E56" s="697" t="s">
        <v>38</v>
      </c>
      <c r="F56" s="697" t="s">
        <v>625</v>
      </c>
      <c r="G56" s="696"/>
      <c r="H56" s="696"/>
      <c r="I56" s="696"/>
      <c r="J56" s="696"/>
      <c r="K56" s="696"/>
      <c r="L56" s="696"/>
      <c r="M56" s="696"/>
      <c r="N56" s="696"/>
      <c r="O56" s="695"/>
      <c r="P56" s="11"/>
      <c r="Q56" s="689" t="s">
        <v>3581</v>
      </c>
      <c r="R56" s="689"/>
      <c r="S56" s="689"/>
      <c r="T56" s="688"/>
      <c r="U56" s="688"/>
      <c r="V56" s="688"/>
      <c r="W56" s="688"/>
      <c r="X56" s="688"/>
      <c r="Y56" s="688"/>
      <c r="Z56" s="688"/>
      <c r="AA56" s="688"/>
      <c r="AB56" s="688"/>
      <c r="AC56" s="688"/>
      <c r="AD56" s="688"/>
      <c r="AE56" s="688"/>
      <c r="AF56" s="688"/>
      <c r="AG56" s="688"/>
      <c r="AH56" s="688"/>
      <c r="AI56" s="688"/>
      <c r="AJ56" s="688"/>
      <c r="AK56" s="688"/>
      <c r="AL56" s="688"/>
      <c r="AM56" s="688"/>
      <c r="AN56" s="688"/>
      <c r="AO56" s="688"/>
    </row>
    <row r="57" spans="1:42" ht="15.75" thickBot="1">
      <c r="A57" s="4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56"/>
      <c r="P57" s="694"/>
      <c r="Q57" s="687"/>
      <c r="R57" s="687">
        <v>1</v>
      </c>
      <c r="S57" s="687"/>
      <c r="T57" s="687">
        <v>2</v>
      </c>
      <c r="U57" s="687"/>
      <c r="V57" s="687">
        <v>3</v>
      </c>
      <c r="W57" s="687"/>
      <c r="X57" s="687">
        <v>4</v>
      </c>
      <c r="Y57" s="687"/>
      <c r="Z57" s="687">
        <v>5</v>
      </c>
      <c r="AA57" s="687"/>
      <c r="AB57" s="687">
        <v>6</v>
      </c>
      <c r="AC57" s="687"/>
      <c r="AD57" s="687">
        <v>7</v>
      </c>
      <c r="AE57" s="687"/>
      <c r="AF57" s="687">
        <v>8</v>
      </c>
      <c r="AG57" s="687"/>
      <c r="AH57" s="687">
        <v>9</v>
      </c>
      <c r="AI57" s="687"/>
      <c r="AJ57" s="687">
        <v>10</v>
      </c>
      <c r="AK57" s="687"/>
      <c r="AL57" s="687">
        <v>11</v>
      </c>
      <c r="AM57" s="687"/>
      <c r="AN57" s="687">
        <v>12</v>
      </c>
      <c r="AO57" s="687"/>
    </row>
    <row r="58" spans="1:42" ht="15.75" thickBot="1">
      <c r="A58" s="162" t="s">
        <v>638</v>
      </c>
      <c r="B58" s="160" t="s">
        <v>639</v>
      </c>
      <c r="C58" s="160" t="s">
        <v>917</v>
      </c>
      <c r="D58" s="161"/>
      <c r="E58" s="160" t="s">
        <v>638</v>
      </c>
      <c r="F58" s="160" t="s">
        <v>639</v>
      </c>
      <c r="G58" s="160" t="s">
        <v>917</v>
      </c>
      <c r="H58" s="1"/>
      <c r="I58" s="160" t="s">
        <v>638</v>
      </c>
      <c r="J58" s="160" t="s">
        <v>639</v>
      </c>
      <c r="K58" s="160" t="s">
        <v>917</v>
      </c>
      <c r="L58" s="161"/>
      <c r="M58" s="160" t="s">
        <v>638</v>
      </c>
      <c r="N58" s="160" t="s">
        <v>639</v>
      </c>
      <c r="O58" s="163" t="s">
        <v>917</v>
      </c>
      <c r="P58" s="694"/>
      <c r="Q58" s="687" t="s">
        <v>924</v>
      </c>
      <c r="R58" s="686">
        <v>7001</v>
      </c>
      <c r="S58" s="638" t="s">
        <v>3580</v>
      </c>
      <c r="T58" s="686">
        <v>7009</v>
      </c>
      <c r="U58" s="638" t="s">
        <v>3579</v>
      </c>
      <c r="V58" s="686">
        <v>7017</v>
      </c>
      <c r="W58" s="638" t="s">
        <v>3578</v>
      </c>
      <c r="X58" s="686">
        <v>7025</v>
      </c>
      <c r="Y58" s="638" t="s">
        <v>3577</v>
      </c>
      <c r="Z58" s="686">
        <v>7033</v>
      </c>
      <c r="AA58" s="638" t="s">
        <v>3576</v>
      </c>
      <c r="AB58" s="686">
        <v>7041</v>
      </c>
      <c r="AC58" s="638" t="s">
        <v>3575</v>
      </c>
      <c r="AD58" s="686">
        <v>7049</v>
      </c>
      <c r="AE58" s="638" t="s">
        <v>3574</v>
      </c>
      <c r="AF58" s="686">
        <v>7057</v>
      </c>
      <c r="AG58" s="638" t="s">
        <v>3573</v>
      </c>
      <c r="AH58" s="686">
        <v>7065</v>
      </c>
      <c r="AI58" s="638" t="s">
        <v>3572</v>
      </c>
      <c r="AJ58" s="686">
        <v>7073</v>
      </c>
      <c r="AK58" s="638" t="s">
        <v>3571</v>
      </c>
      <c r="AL58" s="686">
        <v>7081</v>
      </c>
      <c r="AM58" s="638" t="s">
        <v>3570</v>
      </c>
      <c r="AN58" s="686">
        <v>7089</v>
      </c>
      <c r="AO58" s="638" t="s">
        <v>3569</v>
      </c>
    </row>
    <row r="59" spans="1:42" ht="15.75" thickBot="1">
      <c r="A59" s="157" t="s">
        <v>640</v>
      </c>
      <c r="B59" s="140" t="s">
        <v>641</v>
      </c>
      <c r="C59" s="140" t="s">
        <v>914</v>
      </c>
      <c r="D59" s="1"/>
      <c r="E59" s="141" t="s">
        <v>642</v>
      </c>
      <c r="F59" s="74" t="s">
        <v>643</v>
      </c>
      <c r="G59" s="1"/>
      <c r="H59" s="1"/>
      <c r="I59" s="141" t="s">
        <v>818</v>
      </c>
      <c r="J59" s="74" t="s">
        <v>819</v>
      </c>
      <c r="K59" s="1"/>
      <c r="L59" s="1"/>
      <c r="M59" s="141" t="s">
        <v>820</v>
      </c>
      <c r="N59" s="74" t="s">
        <v>821</v>
      </c>
      <c r="O59" s="156"/>
      <c r="Q59" s="687" t="s">
        <v>937</v>
      </c>
      <c r="R59" s="686">
        <v>7002</v>
      </c>
      <c r="S59" s="638" t="s">
        <v>3568</v>
      </c>
      <c r="T59" s="686">
        <v>7010</v>
      </c>
      <c r="U59" s="638" t="s">
        <v>3567</v>
      </c>
      <c r="V59" s="686">
        <v>7018</v>
      </c>
      <c r="W59" s="638" t="s">
        <v>3566</v>
      </c>
      <c r="X59" s="686">
        <v>7026</v>
      </c>
      <c r="Y59" s="638" t="s">
        <v>3565</v>
      </c>
      <c r="Z59" s="686">
        <v>7034</v>
      </c>
      <c r="AA59" s="638" t="s">
        <v>3564</v>
      </c>
      <c r="AB59" s="686">
        <v>7042</v>
      </c>
      <c r="AC59" s="638" t="s">
        <v>3563</v>
      </c>
      <c r="AD59" s="686">
        <v>7050</v>
      </c>
      <c r="AE59" s="638" t="s">
        <v>3562</v>
      </c>
      <c r="AF59" s="686">
        <v>7058</v>
      </c>
      <c r="AG59" s="638" t="s">
        <v>3561</v>
      </c>
      <c r="AH59" s="686">
        <v>7066</v>
      </c>
      <c r="AI59" s="638" t="s">
        <v>3560</v>
      </c>
      <c r="AJ59" s="686">
        <v>7074</v>
      </c>
      <c r="AK59" s="638" t="s">
        <v>3559</v>
      </c>
      <c r="AL59" s="686">
        <v>7082</v>
      </c>
      <c r="AM59" s="638" t="s">
        <v>3558</v>
      </c>
      <c r="AN59" s="686">
        <v>7090</v>
      </c>
      <c r="AO59" s="638" t="s">
        <v>3557</v>
      </c>
    </row>
    <row r="60" spans="1:42" ht="15.75" thickBot="1">
      <c r="A60" s="157" t="s">
        <v>644</v>
      </c>
      <c r="B60" s="140" t="s">
        <v>645</v>
      </c>
      <c r="C60" s="140" t="s">
        <v>68</v>
      </c>
      <c r="D60" s="1"/>
      <c r="E60" s="141" t="s">
        <v>646</v>
      </c>
      <c r="F60" s="74" t="s">
        <v>647</v>
      </c>
      <c r="G60" s="1"/>
      <c r="H60" s="1"/>
      <c r="I60" s="141" t="s">
        <v>822</v>
      </c>
      <c r="J60" s="74" t="s">
        <v>823</v>
      </c>
      <c r="K60" s="1"/>
      <c r="L60" s="1"/>
      <c r="M60" s="141" t="s">
        <v>824</v>
      </c>
      <c r="N60" s="74" t="s">
        <v>825</v>
      </c>
      <c r="O60" s="156"/>
      <c r="P60" s="694"/>
      <c r="Q60" s="687" t="s">
        <v>950</v>
      </c>
      <c r="R60" s="686">
        <v>7003</v>
      </c>
      <c r="S60" s="638" t="s">
        <v>3556</v>
      </c>
      <c r="T60" s="686">
        <v>7011</v>
      </c>
      <c r="U60" s="638" t="s">
        <v>3555</v>
      </c>
      <c r="V60" s="686">
        <v>7019</v>
      </c>
      <c r="W60" s="638" t="s">
        <v>3554</v>
      </c>
      <c r="X60" s="686">
        <v>7027</v>
      </c>
      <c r="Y60" s="638" t="s">
        <v>3553</v>
      </c>
      <c r="Z60" s="686">
        <v>7035</v>
      </c>
      <c r="AA60" s="638" t="s">
        <v>3552</v>
      </c>
      <c r="AB60" s="686">
        <v>7043</v>
      </c>
      <c r="AC60" s="638" t="s">
        <v>3551</v>
      </c>
      <c r="AD60" s="686">
        <v>7051</v>
      </c>
      <c r="AE60" s="638" t="s">
        <v>3550</v>
      </c>
      <c r="AF60" s="686">
        <v>7059</v>
      </c>
      <c r="AG60" s="638" t="s">
        <v>3549</v>
      </c>
      <c r="AH60" s="686">
        <v>7067</v>
      </c>
      <c r="AI60" s="638" t="s">
        <v>3548</v>
      </c>
      <c r="AJ60" s="686">
        <v>7075</v>
      </c>
      <c r="AK60" s="638" t="s">
        <v>3547</v>
      </c>
      <c r="AL60" s="686">
        <v>7083</v>
      </c>
      <c r="AM60" s="638" t="s">
        <v>3546</v>
      </c>
      <c r="AN60" s="686">
        <v>7091</v>
      </c>
      <c r="AO60" s="638" t="s">
        <v>3545</v>
      </c>
    </row>
    <row r="61" spans="1:42" ht="15.75" thickBot="1">
      <c r="A61" s="164" t="s">
        <v>648</v>
      </c>
      <c r="B61" s="74" t="s">
        <v>649</v>
      </c>
      <c r="C61" s="1"/>
      <c r="D61" s="1"/>
      <c r="E61" s="141" t="s">
        <v>650</v>
      </c>
      <c r="F61" s="74" t="s">
        <v>651</v>
      </c>
      <c r="G61" s="1"/>
      <c r="H61" s="1"/>
      <c r="I61" s="141" t="s">
        <v>826</v>
      </c>
      <c r="J61" s="74" t="s">
        <v>827</v>
      </c>
      <c r="K61" s="1"/>
      <c r="L61" s="1"/>
      <c r="M61" s="141" t="s">
        <v>828</v>
      </c>
      <c r="N61" s="74" t="s">
        <v>829</v>
      </c>
      <c r="O61" s="156"/>
      <c r="Q61" s="687" t="s">
        <v>951</v>
      </c>
      <c r="R61" s="686">
        <v>7004</v>
      </c>
      <c r="S61" s="638" t="s">
        <v>3544</v>
      </c>
      <c r="T61" s="686">
        <v>7012</v>
      </c>
      <c r="U61" s="638" t="s">
        <v>3543</v>
      </c>
      <c r="V61" s="686">
        <v>7020</v>
      </c>
      <c r="W61" s="638" t="s">
        <v>3542</v>
      </c>
      <c r="X61" s="686">
        <v>7028</v>
      </c>
      <c r="Y61" s="638" t="s">
        <v>3541</v>
      </c>
      <c r="Z61" s="686">
        <v>7036</v>
      </c>
      <c r="AA61" s="638" t="s">
        <v>3540</v>
      </c>
      <c r="AB61" s="686">
        <v>7044</v>
      </c>
      <c r="AC61" s="638" t="s">
        <v>3539</v>
      </c>
      <c r="AD61" s="686">
        <v>7052</v>
      </c>
      <c r="AE61" s="638" t="s">
        <v>3538</v>
      </c>
      <c r="AF61" s="686">
        <v>7060</v>
      </c>
      <c r="AG61" s="638" t="s">
        <v>3537</v>
      </c>
      <c r="AH61" s="686">
        <v>7068</v>
      </c>
      <c r="AI61" s="638" t="s">
        <v>3536</v>
      </c>
      <c r="AJ61" s="686">
        <v>7076</v>
      </c>
      <c r="AK61" s="638" t="s">
        <v>3535</v>
      </c>
      <c r="AL61" s="686">
        <v>7084</v>
      </c>
      <c r="AM61" s="638" t="s">
        <v>3534</v>
      </c>
      <c r="AN61" s="686">
        <v>7092</v>
      </c>
      <c r="AO61" s="638" t="s">
        <v>3533</v>
      </c>
    </row>
    <row r="62" spans="1:42" ht="15.75" thickBot="1">
      <c r="A62" s="164" t="s">
        <v>652</v>
      </c>
      <c r="B62" s="74" t="s">
        <v>653</v>
      </c>
      <c r="C62" s="1"/>
      <c r="D62" s="1"/>
      <c r="E62" s="141" t="s">
        <v>654</v>
      </c>
      <c r="F62" s="74" t="s">
        <v>655</v>
      </c>
      <c r="G62" s="1"/>
      <c r="H62" s="1"/>
      <c r="I62" s="141" t="s">
        <v>830</v>
      </c>
      <c r="J62" s="74" t="s">
        <v>831</v>
      </c>
      <c r="K62" s="1"/>
      <c r="L62" s="1"/>
      <c r="M62" s="141" t="s">
        <v>832</v>
      </c>
      <c r="N62" s="74" t="s">
        <v>833</v>
      </c>
      <c r="O62" s="156"/>
      <c r="Q62" s="687" t="s">
        <v>952</v>
      </c>
      <c r="R62" s="686">
        <v>7005</v>
      </c>
      <c r="S62" s="638" t="s">
        <v>3532</v>
      </c>
      <c r="T62" s="686">
        <v>7013</v>
      </c>
      <c r="U62" s="638" t="s">
        <v>3531</v>
      </c>
      <c r="V62" s="686">
        <v>7021</v>
      </c>
      <c r="W62" s="638" t="s">
        <v>3530</v>
      </c>
      <c r="X62" s="686">
        <v>7029</v>
      </c>
      <c r="Y62" s="638" t="s">
        <v>3529</v>
      </c>
      <c r="Z62" s="686">
        <v>7037</v>
      </c>
      <c r="AA62" s="638" t="s">
        <v>3528</v>
      </c>
      <c r="AB62" s="686">
        <v>7045</v>
      </c>
      <c r="AC62" s="638" t="s">
        <v>3527</v>
      </c>
      <c r="AD62" s="686">
        <v>7053</v>
      </c>
      <c r="AE62" s="638" t="s">
        <v>3526</v>
      </c>
      <c r="AF62" s="686">
        <v>7061</v>
      </c>
      <c r="AG62" s="638" t="s">
        <v>3525</v>
      </c>
      <c r="AH62" s="686">
        <v>7069</v>
      </c>
      <c r="AI62" s="638" t="s">
        <v>3524</v>
      </c>
      <c r="AJ62" s="686">
        <v>7077</v>
      </c>
      <c r="AK62" s="638" t="s">
        <v>3523</v>
      </c>
      <c r="AL62" s="686">
        <v>7085</v>
      </c>
      <c r="AM62" s="638" t="s">
        <v>3522</v>
      </c>
      <c r="AN62" s="686">
        <v>7093</v>
      </c>
      <c r="AO62" s="638" t="s">
        <v>3521</v>
      </c>
    </row>
    <row r="63" spans="1:42" ht="15.75" thickBot="1">
      <c r="A63" s="164" t="s">
        <v>656</v>
      </c>
      <c r="B63" s="74" t="s">
        <v>657</v>
      </c>
      <c r="C63" s="1"/>
      <c r="D63" s="1"/>
      <c r="E63" s="158" t="s">
        <v>658</v>
      </c>
      <c r="F63" s="140" t="s">
        <v>659</v>
      </c>
      <c r="G63" s="140" t="s">
        <v>103</v>
      </c>
      <c r="H63" s="1"/>
      <c r="I63" s="141" t="s">
        <v>834</v>
      </c>
      <c r="J63" s="74" t="s">
        <v>835</v>
      </c>
      <c r="K63" s="1"/>
      <c r="L63" s="1"/>
      <c r="M63" s="141" t="s">
        <v>836</v>
      </c>
      <c r="N63" s="74" t="s">
        <v>837</v>
      </c>
      <c r="O63" s="156"/>
      <c r="Q63" s="687" t="s">
        <v>953</v>
      </c>
      <c r="R63" s="686">
        <v>7006</v>
      </c>
      <c r="S63" s="638" t="s">
        <v>3520</v>
      </c>
      <c r="T63" s="686">
        <v>7014</v>
      </c>
      <c r="U63" s="638" t="s">
        <v>3519</v>
      </c>
      <c r="V63" s="686">
        <v>7022</v>
      </c>
      <c r="W63" s="638" t="s">
        <v>3518</v>
      </c>
      <c r="X63" s="686">
        <v>7030</v>
      </c>
      <c r="Y63" s="638" t="s">
        <v>3517</v>
      </c>
      <c r="Z63" s="686">
        <v>7038</v>
      </c>
      <c r="AA63" s="638" t="s">
        <v>3516</v>
      </c>
      <c r="AB63" s="686">
        <v>7046</v>
      </c>
      <c r="AC63" s="638" t="s">
        <v>3515</v>
      </c>
      <c r="AD63" s="686">
        <v>7054</v>
      </c>
      <c r="AE63" s="638" t="s">
        <v>3514</v>
      </c>
      <c r="AF63" s="686">
        <v>7062</v>
      </c>
      <c r="AG63" s="638" t="s">
        <v>3513</v>
      </c>
      <c r="AH63" s="686">
        <v>7070</v>
      </c>
      <c r="AI63" s="638" t="s">
        <v>3512</v>
      </c>
      <c r="AJ63" s="686">
        <v>7078</v>
      </c>
      <c r="AK63" s="638" t="s">
        <v>3511</v>
      </c>
      <c r="AL63" s="686">
        <v>7086</v>
      </c>
      <c r="AM63" s="638" t="s">
        <v>3510</v>
      </c>
      <c r="AN63" s="686">
        <v>7094</v>
      </c>
      <c r="AO63" s="638" t="s">
        <v>3509</v>
      </c>
    </row>
    <row r="64" spans="1:42" ht="15.75" thickBot="1">
      <c r="A64" s="164" t="s">
        <v>660</v>
      </c>
      <c r="B64" s="74" t="s">
        <v>661</v>
      </c>
      <c r="C64" s="1"/>
      <c r="D64" s="1"/>
      <c r="E64" s="141" t="s">
        <v>662</v>
      </c>
      <c r="F64" s="74" t="s">
        <v>663</v>
      </c>
      <c r="G64" s="1"/>
      <c r="H64" s="1"/>
      <c r="I64" s="141" t="s">
        <v>838</v>
      </c>
      <c r="J64" s="74" t="s">
        <v>839</v>
      </c>
      <c r="K64" s="1"/>
      <c r="L64" s="1"/>
      <c r="M64" s="141" t="s">
        <v>840</v>
      </c>
      <c r="N64" s="74" t="s">
        <v>841</v>
      </c>
      <c r="O64" s="156"/>
      <c r="Q64" s="687" t="s">
        <v>954</v>
      </c>
      <c r="R64" s="686">
        <v>7007</v>
      </c>
      <c r="S64" s="638" t="s">
        <v>3508</v>
      </c>
      <c r="T64" s="686">
        <v>7015</v>
      </c>
      <c r="U64" s="638" t="s">
        <v>3507</v>
      </c>
      <c r="V64" s="686">
        <v>7023</v>
      </c>
      <c r="W64" s="638" t="s">
        <v>3506</v>
      </c>
      <c r="X64" s="686">
        <v>7031</v>
      </c>
      <c r="Y64" s="638" t="s">
        <v>3505</v>
      </c>
      <c r="Z64" s="686">
        <v>7039</v>
      </c>
      <c r="AA64" s="638" t="s">
        <v>3504</v>
      </c>
      <c r="AB64" s="686">
        <v>7047</v>
      </c>
      <c r="AC64" s="638" t="s">
        <v>3503</v>
      </c>
      <c r="AD64" s="686">
        <v>7055</v>
      </c>
      <c r="AE64" s="638" t="s">
        <v>3502</v>
      </c>
      <c r="AF64" s="686">
        <v>7063</v>
      </c>
      <c r="AG64" s="638" t="s">
        <v>3501</v>
      </c>
      <c r="AH64" s="686">
        <v>7071</v>
      </c>
      <c r="AI64" s="638" t="s">
        <v>3500</v>
      </c>
      <c r="AJ64" s="686">
        <v>7079</v>
      </c>
      <c r="AK64" s="638" t="s">
        <v>3499</v>
      </c>
      <c r="AL64" s="686">
        <v>7087</v>
      </c>
      <c r="AM64" s="638" t="s">
        <v>3498</v>
      </c>
      <c r="AN64" s="686">
        <v>7095</v>
      </c>
      <c r="AO64" s="638" t="s">
        <v>3497</v>
      </c>
    </row>
    <row r="65" spans="1:42" ht="15.75" thickBot="1">
      <c r="A65" s="164" t="s">
        <v>664</v>
      </c>
      <c r="B65" s="74" t="s">
        <v>665</v>
      </c>
      <c r="C65" s="1"/>
      <c r="D65" s="1"/>
      <c r="E65" s="141" t="s">
        <v>666</v>
      </c>
      <c r="F65" s="74" t="s">
        <v>667</v>
      </c>
      <c r="G65" s="1"/>
      <c r="H65" s="1"/>
      <c r="I65" s="141" t="s">
        <v>842</v>
      </c>
      <c r="J65" s="74" t="s">
        <v>843</v>
      </c>
      <c r="K65" s="1"/>
      <c r="L65" s="1"/>
      <c r="M65" s="141" t="s">
        <v>844</v>
      </c>
      <c r="N65" s="74" t="s">
        <v>845</v>
      </c>
      <c r="O65" s="156"/>
      <c r="Q65" s="687" t="s">
        <v>955</v>
      </c>
      <c r="R65" s="686">
        <v>7008</v>
      </c>
      <c r="S65" s="638" t="s">
        <v>3496</v>
      </c>
      <c r="T65" s="686">
        <v>7016</v>
      </c>
      <c r="U65" s="638" t="s">
        <v>3495</v>
      </c>
      <c r="V65" s="686">
        <v>7024</v>
      </c>
      <c r="W65" s="638" t="s">
        <v>3494</v>
      </c>
      <c r="X65" s="686">
        <v>7032</v>
      </c>
      <c r="Y65" s="638" t="s">
        <v>3493</v>
      </c>
      <c r="Z65" s="686">
        <v>7040</v>
      </c>
      <c r="AA65" s="638" t="s">
        <v>3492</v>
      </c>
      <c r="AB65" s="686">
        <v>7048</v>
      </c>
      <c r="AC65" s="638" t="s">
        <v>3491</v>
      </c>
      <c r="AD65" s="686">
        <v>7056</v>
      </c>
      <c r="AE65" s="638" t="s">
        <v>3490</v>
      </c>
      <c r="AF65" s="686">
        <v>7064</v>
      </c>
      <c r="AG65" s="638" t="s">
        <v>3489</v>
      </c>
      <c r="AH65" s="686">
        <v>7072</v>
      </c>
      <c r="AI65" s="638" t="s">
        <v>3488</v>
      </c>
      <c r="AJ65" s="686">
        <v>7080</v>
      </c>
      <c r="AK65" s="638" t="s">
        <v>3487</v>
      </c>
      <c r="AL65" s="686">
        <v>7088</v>
      </c>
      <c r="AM65" s="638" t="s">
        <v>3486</v>
      </c>
      <c r="AN65" s="686">
        <v>7096</v>
      </c>
      <c r="AO65" s="638" t="s">
        <v>3485</v>
      </c>
    </row>
    <row r="66" spans="1:42">
      <c r="A66" s="164" t="s">
        <v>668</v>
      </c>
      <c r="B66" s="74" t="s">
        <v>669</v>
      </c>
      <c r="C66" s="1"/>
      <c r="D66" s="1"/>
      <c r="E66" s="158" t="s">
        <v>670</v>
      </c>
      <c r="F66" s="140" t="s">
        <v>671</v>
      </c>
      <c r="G66" s="140" t="s">
        <v>915</v>
      </c>
      <c r="H66" s="1"/>
      <c r="I66" s="141" t="s">
        <v>846</v>
      </c>
      <c r="J66" s="74" t="s">
        <v>847</v>
      </c>
      <c r="K66" s="1"/>
      <c r="L66" s="1"/>
      <c r="M66" s="141" t="s">
        <v>848</v>
      </c>
      <c r="N66" s="74" t="s">
        <v>849</v>
      </c>
      <c r="O66" s="156"/>
      <c r="Q66" s="693"/>
      <c r="R66" s="691"/>
      <c r="S66" s="638"/>
      <c r="T66" s="691"/>
      <c r="U66" s="638"/>
      <c r="V66" s="691"/>
      <c r="W66" s="638"/>
      <c r="X66" s="691"/>
      <c r="Y66" s="638"/>
      <c r="Z66" s="691"/>
      <c r="AA66" s="638"/>
      <c r="AB66" s="691"/>
      <c r="AC66" s="638"/>
      <c r="AD66" s="691"/>
      <c r="AE66" s="638"/>
      <c r="AF66" s="692"/>
      <c r="AG66" s="691"/>
      <c r="AH66" s="638"/>
      <c r="AI66" s="691"/>
      <c r="AJ66" s="638"/>
      <c r="AK66" s="691"/>
      <c r="AL66" s="638"/>
      <c r="AM66" s="691"/>
      <c r="AN66" s="638"/>
      <c r="AO66" s="691"/>
      <c r="AP66" s="638"/>
    </row>
    <row r="67" spans="1:42">
      <c r="A67" s="164" t="s">
        <v>672</v>
      </c>
      <c r="B67" s="74" t="s">
        <v>673</v>
      </c>
      <c r="C67" s="1"/>
      <c r="D67" s="1"/>
      <c r="E67" s="141" t="s">
        <v>674</v>
      </c>
      <c r="F67" s="74" t="s">
        <v>675</v>
      </c>
      <c r="G67" s="1"/>
      <c r="H67" s="1"/>
      <c r="I67" s="158" t="s">
        <v>850</v>
      </c>
      <c r="J67" s="140" t="s">
        <v>851</v>
      </c>
      <c r="K67" s="140" t="s">
        <v>102</v>
      </c>
      <c r="L67" s="1"/>
      <c r="M67" s="141" t="s">
        <v>852</v>
      </c>
      <c r="N67" s="74" t="s">
        <v>853</v>
      </c>
      <c r="O67" s="156"/>
      <c r="Q67" s="643"/>
      <c r="S67"/>
    </row>
    <row r="68" spans="1:42" ht="21">
      <c r="A68" s="157" t="s">
        <v>676</v>
      </c>
      <c r="B68" s="140" t="s">
        <v>677</v>
      </c>
      <c r="C68" s="140" t="s">
        <v>20</v>
      </c>
      <c r="D68" s="1"/>
      <c r="E68" s="158" t="s">
        <v>678</v>
      </c>
      <c r="F68" s="140" t="s">
        <v>679</v>
      </c>
      <c r="G68" s="140" t="s">
        <v>104</v>
      </c>
      <c r="H68" s="1"/>
      <c r="I68" s="141" t="s">
        <v>854</v>
      </c>
      <c r="J68" s="74" t="s">
        <v>855</v>
      </c>
      <c r="K68" s="1"/>
      <c r="L68" s="1"/>
      <c r="M68" s="141" t="s">
        <v>856</v>
      </c>
      <c r="N68" s="74" t="s">
        <v>857</v>
      </c>
      <c r="O68" s="156"/>
      <c r="Q68" s="690" t="s">
        <v>3484</v>
      </c>
      <c r="S68"/>
      <c r="Z68" t="s">
        <v>2655</v>
      </c>
      <c r="AC68" t="s">
        <v>2654</v>
      </c>
    </row>
    <row r="69" spans="1:42">
      <c r="A69" s="157" t="s">
        <v>680</v>
      </c>
      <c r="B69" s="140" t="s">
        <v>681</v>
      </c>
      <c r="C69" s="140" t="s">
        <v>103</v>
      </c>
      <c r="D69" s="1"/>
      <c r="E69" s="141" t="s">
        <v>682</v>
      </c>
      <c r="F69" s="74" t="s">
        <v>683</v>
      </c>
      <c r="G69" s="1"/>
      <c r="H69" s="1"/>
      <c r="I69" s="141" t="s">
        <v>858</v>
      </c>
      <c r="J69" s="74" t="s">
        <v>859</v>
      </c>
      <c r="K69" s="1"/>
      <c r="L69" s="1"/>
      <c r="M69" s="141" t="s">
        <v>860</v>
      </c>
      <c r="N69" s="74" t="s">
        <v>861</v>
      </c>
      <c r="O69" s="156"/>
      <c r="S69"/>
      <c r="Z69" t="s">
        <v>736</v>
      </c>
      <c r="AA69">
        <v>7001</v>
      </c>
      <c r="AB69" t="s">
        <v>2652</v>
      </c>
      <c r="AC69" t="s">
        <v>3483</v>
      </c>
    </row>
    <row r="70" spans="1:42" ht="19.5" thickBot="1">
      <c r="A70" s="157" t="s">
        <v>684</v>
      </c>
      <c r="B70" s="140" t="s">
        <v>685</v>
      </c>
      <c r="C70" s="140" t="s">
        <v>26</v>
      </c>
      <c r="D70" s="1"/>
      <c r="E70" s="141" t="s">
        <v>686</v>
      </c>
      <c r="F70" s="74" t="s">
        <v>687</v>
      </c>
      <c r="G70" s="1"/>
      <c r="H70" s="1"/>
      <c r="I70" s="141" t="s">
        <v>862</v>
      </c>
      <c r="J70" s="74" t="s">
        <v>863</v>
      </c>
      <c r="K70" s="1"/>
      <c r="L70" s="1"/>
      <c r="M70" s="141" t="s">
        <v>864</v>
      </c>
      <c r="N70" s="74" t="s">
        <v>865</v>
      </c>
      <c r="O70" s="156"/>
      <c r="Q70" s="689" t="s">
        <v>3482</v>
      </c>
      <c r="R70" s="689"/>
      <c r="S70" s="689"/>
      <c r="T70" s="688"/>
      <c r="U70" s="688"/>
      <c r="Z70" t="s">
        <v>737</v>
      </c>
      <c r="AA70">
        <v>7002</v>
      </c>
      <c r="AB70" t="s">
        <v>2649</v>
      </c>
      <c r="AC70" t="s">
        <v>3481</v>
      </c>
    </row>
    <row r="71" spans="1:42" ht="15.75" thickBot="1">
      <c r="A71" s="157" t="s">
        <v>688</v>
      </c>
      <c r="B71" s="140" t="s">
        <v>689</v>
      </c>
      <c r="C71" s="140" t="s">
        <v>93</v>
      </c>
      <c r="D71" s="1"/>
      <c r="E71" s="141" t="s">
        <v>690</v>
      </c>
      <c r="F71" s="74" t="s">
        <v>691</v>
      </c>
      <c r="G71" s="1"/>
      <c r="H71" s="1"/>
      <c r="I71" s="141" t="s">
        <v>866</v>
      </c>
      <c r="J71" s="74" t="s">
        <v>867</v>
      </c>
      <c r="K71" s="1"/>
      <c r="L71" s="1"/>
      <c r="M71" s="141" t="s">
        <v>868</v>
      </c>
      <c r="N71" s="74" t="s">
        <v>869</v>
      </c>
      <c r="O71" s="156"/>
      <c r="Q71" s="687"/>
      <c r="R71" s="686">
        <v>7097</v>
      </c>
      <c r="S71" s="638" t="s">
        <v>3480</v>
      </c>
      <c r="Z71" t="s">
        <v>738</v>
      </c>
      <c r="AA71">
        <v>7003</v>
      </c>
      <c r="AB71" t="s">
        <v>2645</v>
      </c>
      <c r="AC71" t="s">
        <v>3479</v>
      </c>
    </row>
    <row r="72" spans="1:42" ht="15.75" thickBot="1">
      <c r="A72" s="164" t="s">
        <v>692</v>
      </c>
      <c r="B72" s="74" t="s">
        <v>693</v>
      </c>
      <c r="C72" s="1"/>
      <c r="D72" s="1"/>
      <c r="E72" s="141" t="s">
        <v>694</v>
      </c>
      <c r="F72" s="74" t="s">
        <v>695</v>
      </c>
      <c r="G72" s="1"/>
      <c r="H72" s="1"/>
      <c r="I72" s="141" t="s">
        <v>870</v>
      </c>
      <c r="J72" s="74" t="s">
        <v>871</v>
      </c>
      <c r="K72" s="1"/>
      <c r="L72" s="1"/>
      <c r="M72" s="141" t="s">
        <v>872</v>
      </c>
      <c r="N72" s="74" t="s">
        <v>873</v>
      </c>
      <c r="O72" s="156"/>
      <c r="Q72" s="687"/>
      <c r="R72" s="686">
        <v>7098</v>
      </c>
      <c r="S72" s="638" t="s">
        <v>3478</v>
      </c>
      <c r="Z72" t="s">
        <v>739</v>
      </c>
      <c r="AA72">
        <v>7004</v>
      </c>
      <c r="AB72" t="s">
        <v>2641</v>
      </c>
      <c r="AC72" t="s">
        <v>3477</v>
      </c>
    </row>
    <row r="73" spans="1:42" ht="15.75" thickBot="1">
      <c r="A73" s="164" t="s">
        <v>696</v>
      </c>
      <c r="B73" s="74" t="s">
        <v>697</v>
      </c>
      <c r="C73" s="1"/>
      <c r="D73" s="1"/>
      <c r="E73" s="141" t="s">
        <v>698</v>
      </c>
      <c r="F73" s="74" t="s">
        <v>699</v>
      </c>
      <c r="G73" s="1"/>
      <c r="H73" s="1"/>
      <c r="I73" s="141" t="s">
        <v>874</v>
      </c>
      <c r="J73" s="74" t="s">
        <v>875</v>
      </c>
      <c r="K73" s="1"/>
      <c r="L73" s="1"/>
      <c r="M73" s="141" t="s">
        <v>876</v>
      </c>
      <c r="N73" s="74" t="s">
        <v>877</v>
      </c>
      <c r="O73" s="156"/>
      <c r="Q73" s="687"/>
      <c r="R73" s="686">
        <v>7099</v>
      </c>
      <c r="S73" s="638" t="s">
        <v>3476</v>
      </c>
      <c r="Z73" t="s">
        <v>740</v>
      </c>
      <c r="AA73">
        <v>7005</v>
      </c>
      <c r="AB73" t="s">
        <v>2637</v>
      </c>
      <c r="AC73" t="s">
        <v>3475</v>
      </c>
    </row>
    <row r="74" spans="1:42" ht="15.75" thickBot="1">
      <c r="A74" s="164" t="s">
        <v>700</v>
      </c>
      <c r="B74" s="74" t="s">
        <v>701</v>
      </c>
      <c r="C74" s="1"/>
      <c r="D74" s="1"/>
      <c r="E74" s="158" t="s">
        <v>702</v>
      </c>
      <c r="F74" s="140" t="s">
        <v>703</v>
      </c>
      <c r="G74" s="140" t="s">
        <v>104</v>
      </c>
      <c r="H74" s="1"/>
      <c r="I74" s="141" t="s">
        <v>878</v>
      </c>
      <c r="J74" s="74" t="s">
        <v>879</v>
      </c>
      <c r="K74" s="1"/>
      <c r="L74" s="1"/>
      <c r="M74" s="141" t="s">
        <v>880</v>
      </c>
      <c r="N74" s="74" t="s">
        <v>881</v>
      </c>
      <c r="O74" s="156"/>
      <c r="Q74" s="687"/>
      <c r="R74" s="686">
        <v>7100</v>
      </c>
      <c r="S74" s="638" t="s">
        <v>3474</v>
      </c>
      <c r="Z74" t="s">
        <v>741</v>
      </c>
      <c r="AA74">
        <v>7006</v>
      </c>
      <c r="AB74" t="s">
        <v>2633</v>
      </c>
      <c r="AC74" t="s">
        <v>3473</v>
      </c>
    </row>
    <row r="75" spans="1:42">
      <c r="A75" s="157" t="s">
        <v>704</v>
      </c>
      <c r="B75" s="140" t="s">
        <v>705</v>
      </c>
      <c r="C75" s="140" t="s">
        <v>100</v>
      </c>
      <c r="D75" s="1"/>
      <c r="E75" s="141" t="s">
        <v>706</v>
      </c>
      <c r="F75" s="74" t="s">
        <v>707</v>
      </c>
      <c r="G75" s="1"/>
      <c r="H75" s="1"/>
      <c r="I75" s="141" t="s">
        <v>882</v>
      </c>
      <c r="J75" s="74" t="s">
        <v>883</v>
      </c>
      <c r="K75" s="1"/>
      <c r="L75" s="1"/>
      <c r="M75" s="141" t="s">
        <v>884</v>
      </c>
      <c r="N75" s="74" t="s">
        <v>885</v>
      </c>
      <c r="O75" s="156"/>
      <c r="S75"/>
      <c r="T75" s="11"/>
      <c r="Z75" t="s">
        <v>742</v>
      </c>
      <c r="AA75">
        <v>7007</v>
      </c>
      <c r="AB75" t="s">
        <v>2629</v>
      </c>
      <c r="AC75" t="s">
        <v>3472</v>
      </c>
    </row>
    <row r="76" spans="1:42">
      <c r="A76" s="164" t="s">
        <v>708</v>
      </c>
      <c r="B76" s="74" t="s">
        <v>709</v>
      </c>
      <c r="C76" s="1"/>
      <c r="D76" s="1"/>
      <c r="E76" s="141" t="s">
        <v>710</v>
      </c>
      <c r="F76" s="74" t="s">
        <v>711</v>
      </c>
      <c r="G76" s="1"/>
      <c r="H76" s="1"/>
      <c r="I76" s="141" t="s">
        <v>886</v>
      </c>
      <c r="J76" s="74" t="s">
        <v>887</v>
      </c>
      <c r="K76" s="1"/>
      <c r="L76" s="1"/>
      <c r="M76" s="141" t="s">
        <v>888</v>
      </c>
      <c r="N76" s="74" t="s">
        <v>889</v>
      </c>
      <c r="O76" s="156"/>
      <c r="S76"/>
      <c r="T76" s="11"/>
      <c r="Z76" t="s">
        <v>743</v>
      </c>
      <c r="AA76">
        <v>7008</v>
      </c>
      <c r="AB76" t="s">
        <v>2625</v>
      </c>
      <c r="AC76" t="s">
        <v>3471</v>
      </c>
    </row>
    <row r="77" spans="1:42">
      <c r="A77" s="164" t="s">
        <v>712</v>
      </c>
      <c r="B77" s="74" t="s">
        <v>713</v>
      </c>
      <c r="C77" s="1"/>
      <c r="D77" s="1"/>
      <c r="E77" s="158" t="s">
        <v>714</v>
      </c>
      <c r="F77" s="140" t="s">
        <v>715</v>
      </c>
      <c r="G77" s="140" t="s">
        <v>102</v>
      </c>
      <c r="H77" s="1"/>
      <c r="I77" s="141" t="s">
        <v>890</v>
      </c>
      <c r="J77" s="74" t="s">
        <v>891</v>
      </c>
      <c r="K77" s="1"/>
      <c r="L77" s="1"/>
      <c r="M77" s="141" t="s">
        <v>892</v>
      </c>
      <c r="N77" s="74" t="s">
        <v>893</v>
      </c>
      <c r="O77" s="156"/>
      <c r="S77"/>
      <c r="T77" s="11"/>
      <c r="Z77" t="s">
        <v>744</v>
      </c>
      <c r="AA77">
        <v>7009</v>
      </c>
      <c r="AB77" t="s">
        <v>2621</v>
      </c>
      <c r="AC77" t="s">
        <v>3470</v>
      </c>
    </row>
    <row r="78" spans="1:42">
      <c r="A78" s="157" t="s">
        <v>716</v>
      </c>
      <c r="B78" s="140" t="s">
        <v>717</v>
      </c>
      <c r="C78" s="140" t="s">
        <v>22</v>
      </c>
      <c r="D78" s="1"/>
      <c r="E78" s="141" t="s">
        <v>718</v>
      </c>
      <c r="F78" s="74" t="s">
        <v>719</v>
      </c>
      <c r="G78" s="1"/>
      <c r="H78" s="1"/>
      <c r="I78" s="141" t="s">
        <v>894</v>
      </c>
      <c r="J78" s="74" t="s">
        <v>895</v>
      </c>
      <c r="K78" s="1"/>
      <c r="L78" s="1"/>
      <c r="M78" s="141" t="s">
        <v>896</v>
      </c>
      <c r="N78" s="74" t="s">
        <v>897</v>
      </c>
      <c r="O78" s="156"/>
      <c r="S78"/>
      <c r="T78" s="11"/>
      <c r="Z78" t="s">
        <v>745</v>
      </c>
      <c r="AA78">
        <v>7010</v>
      </c>
      <c r="AB78" t="s">
        <v>2617</v>
      </c>
      <c r="AC78" t="s">
        <v>3469</v>
      </c>
    </row>
    <row r="79" spans="1:42">
      <c r="A79" s="164" t="s">
        <v>720</v>
      </c>
      <c r="B79" s="74" t="s">
        <v>721</v>
      </c>
      <c r="C79" s="1"/>
      <c r="D79" s="1"/>
      <c r="E79" s="141" t="s">
        <v>722</v>
      </c>
      <c r="F79" s="74" t="s">
        <v>723</v>
      </c>
      <c r="G79" s="1"/>
      <c r="H79" s="1"/>
      <c r="I79" s="141" t="s">
        <v>898</v>
      </c>
      <c r="J79" s="74" t="s">
        <v>899</v>
      </c>
      <c r="K79" s="1"/>
      <c r="L79" s="1"/>
      <c r="M79" s="141" t="s">
        <v>900</v>
      </c>
      <c r="N79" s="74" t="s">
        <v>901</v>
      </c>
      <c r="O79" s="156"/>
      <c r="S79"/>
      <c r="T79" s="11"/>
      <c r="Z79" t="s">
        <v>746</v>
      </c>
      <c r="AA79">
        <v>7011</v>
      </c>
      <c r="AB79" t="s">
        <v>2613</v>
      </c>
      <c r="AC79" t="s">
        <v>3468</v>
      </c>
    </row>
    <row r="80" spans="1:42">
      <c r="A80" s="164" t="s">
        <v>724</v>
      </c>
      <c r="B80" s="74" t="s">
        <v>725</v>
      </c>
      <c r="C80" s="1"/>
      <c r="D80" s="1"/>
      <c r="E80" s="141" t="s">
        <v>726</v>
      </c>
      <c r="F80" s="74" t="s">
        <v>727</v>
      </c>
      <c r="G80" s="1"/>
      <c r="H80" s="1"/>
      <c r="I80" s="141" t="s">
        <v>902</v>
      </c>
      <c r="J80" s="74" t="s">
        <v>903</v>
      </c>
      <c r="K80" s="1"/>
      <c r="L80" s="1"/>
      <c r="M80" s="141" t="s">
        <v>904</v>
      </c>
      <c r="N80" s="74" t="s">
        <v>905</v>
      </c>
      <c r="O80" s="156"/>
      <c r="S80"/>
      <c r="T80" s="11"/>
      <c r="Z80" t="s">
        <v>747</v>
      </c>
      <c r="AA80">
        <v>7012</v>
      </c>
      <c r="AB80" t="s">
        <v>2609</v>
      </c>
      <c r="AC80" t="s">
        <v>3467</v>
      </c>
    </row>
    <row r="81" spans="1:29">
      <c r="A81" s="164" t="s">
        <v>728</v>
      </c>
      <c r="B81" s="74" t="s">
        <v>729</v>
      </c>
      <c r="C81" s="1"/>
      <c r="D81" s="1"/>
      <c r="E81" s="141" t="s">
        <v>730</v>
      </c>
      <c r="F81" s="74" t="s">
        <v>731</v>
      </c>
      <c r="G81" s="1"/>
      <c r="H81" s="1"/>
      <c r="I81" s="141" t="s">
        <v>906</v>
      </c>
      <c r="J81" s="74" t="s">
        <v>907</v>
      </c>
      <c r="K81" s="1"/>
      <c r="L81" s="1"/>
      <c r="M81" s="158" t="s">
        <v>908</v>
      </c>
      <c r="N81" s="140" t="s">
        <v>909</v>
      </c>
      <c r="O81" s="159" t="s">
        <v>106</v>
      </c>
      <c r="S81"/>
      <c r="T81" s="11"/>
      <c r="Z81" t="s">
        <v>748</v>
      </c>
      <c r="AA81">
        <v>7013</v>
      </c>
      <c r="AB81" t="s">
        <v>2605</v>
      </c>
      <c r="AC81" s="685" t="s">
        <v>3466</v>
      </c>
    </row>
    <row r="82" spans="1:29" ht="15.75" thickBot="1">
      <c r="A82" s="165" t="s">
        <v>732</v>
      </c>
      <c r="B82" s="166" t="s">
        <v>733</v>
      </c>
      <c r="C82" s="167"/>
      <c r="D82" s="167"/>
      <c r="E82" s="168" t="s">
        <v>734</v>
      </c>
      <c r="F82" s="169" t="s">
        <v>735</v>
      </c>
      <c r="G82" s="169" t="s">
        <v>105</v>
      </c>
      <c r="H82" s="167"/>
      <c r="I82" s="170" t="s">
        <v>910</v>
      </c>
      <c r="J82" s="166" t="s">
        <v>911</v>
      </c>
      <c r="K82" s="167"/>
      <c r="L82" s="167"/>
      <c r="M82" s="168" t="s">
        <v>912</v>
      </c>
      <c r="N82" s="169" t="s">
        <v>913</v>
      </c>
      <c r="O82" s="171" t="s">
        <v>106</v>
      </c>
      <c r="S82"/>
      <c r="T82" s="11"/>
      <c r="Z82" t="s">
        <v>749</v>
      </c>
      <c r="AA82">
        <v>7014</v>
      </c>
      <c r="AB82" t="s">
        <v>2601</v>
      </c>
      <c r="AC82" t="s">
        <v>3465</v>
      </c>
    </row>
    <row r="83" spans="1:29">
      <c r="B83" s="11"/>
      <c r="H83" s="11"/>
      <c r="N83" s="11"/>
      <c r="S83"/>
      <c r="T83" s="11"/>
      <c r="Z83" t="s">
        <v>750</v>
      </c>
      <c r="AA83">
        <v>7015</v>
      </c>
      <c r="AB83" t="s">
        <v>2597</v>
      </c>
      <c r="AC83" t="s">
        <v>3464</v>
      </c>
    </row>
    <row r="84" spans="1:29">
      <c r="B84" s="11"/>
      <c r="H84" s="11"/>
      <c r="N84" s="11"/>
      <c r="S84"/>
      <c r="T84" s="11"/>
      <c r="Z84" t="s">
        <v>751</v>
      </c>
      <c r="AA84">
        <v>7016</v>
      </c>
      <c r="AB84" t="s">
        <v>2593</v>
      </c>
      <c r="AC84" t="s">
        <v>3463</v>
      </c>
    </row>
    <row r="85" spans="1:29">
      <c r="S85"/>
      <c r="W85" s="654"/>
      <c r="Z85" t="s">
        <v>752</v>
      </c>
      <c r="AA85">
        <v>7017</v>
      </c>
      <c r="AB85" t="s">
        <v>2589</v>
      </c>
      <c r="AC85" t="s">
        <v>3462</v>
      </c>
    </row>
    <row r="86" spans="1:29" ht="15.75" thickBot="1">
      <c r="Z86" t="s">
        <v>753</v>
      </c>
      <c r="AA86">
        <v>7018</v>
      </c>
      <c r="AB86" t="s">
        <v>2585</v>
      </c>
      <c r="AC86" t="s">
        <v>3461</v>
      </c>
    </row>
    <row r="87" spans="1:29">
      <c r="A87" s="17" t="s">
        <v>3460</v>
      </c>
      <c r="E87" s="817" t="s">
        <v>1019</v>
      </c>
      <c r="F87" s="818"/>
      <c r="G87" s="818"/>
      <c r="H87" s="818"/>
      <c r="I87" s="818"/>
      <c r="J87" s="819"/>
      <c r="K87" s="684"/>
      <c r="M87" s="817" t="s">
        <v>976</v>
      </c>
      <c r="N87" s="818"/>
      <c r="O87" s="818"/>
      <c r="P87" s="819"/>
      <c r="W87" s="847" t="s">
        <v>3459</v>
      </c>
      <c r="X87" s="848"/>
      <c r="Z87" t="s">
        <v>754</v>
      </c>
      <c r="AA87">
        <v>7019</v>
      </c>
      <c r="AB87" t="s">
        <v>2581</v>
      </c>
      <c r="AC87" t="s">
        <v>3458</v>
      </c>
    </row>
    <row r="88" spans="1:29">
      <c r="A88" s="1" t="s">
        <v>3457</v>
      </c>
      <c r="B88" s="1" t="s">
        <v>1091</v>
      </c>
      <c r="C88" s="1" t="s">
        <v>3456</v>
      </c>
      <c r="E88" s="677" t="s">
        <v>3455</v>
      </c>
      <c r="F88" s="677" t="s">
        <v>973</v>
      </c>
      <c r="G88" s="712" t="s">
        <v>970</v>
      </c>
      <c r="H88" s="1"/>
      <c r="I88" s="1"/>
      <c r="J88" s="636"/>
      <c r="K88" s="683"/>
      <c r="M88" s="677" t="s">
        <v>3362</v>
      </c>
      <c r="N88" s="677" t="s">
        <v>973</v>
      </c>
      <c r="O88" s="677" t="s">
        <v>970</v>
      </c>
      <c r="S88"/>
      <c r="W88" s="1" t="s">
        <v>1152</v>
      </c>
      <c r="X88" s="1" t="s">
        <v>1147</v>
      </c>
      <c r="Z88" t="s">
        <v>755</v>
      </c>
      <c r="AA88">
        <v>7020</v>
      </c>
      <c r="AB88" t="s">
        <v>2577</v>
      </c>
      <c r="AC88" t="s">
        <v>3454</v>
      </c>
    </row>
    <row r="89" spans="1:29">
      <c r="A89" s="68" t="s">
        <v>3453</v>
      </c>
      <c r="B89" s="68" t="s">
        <v>138</v>
      </c>
      <c r="C89" s="140" t="s">
        <v>92</v>
      </c>
      <c r="F89" s="682" t="s">
        <v>1021</v>
      </c>
      <c r="G89" s="680" t="s">
        <v>191</v>
      </c>
      <c r="M89" s="680"/>
      <c r="N89" s="681" t="s">
        <v>974</v>
      </c>
      <c r="O89" s="680" t="s">
        <v>972</v>
      </c>
      <c r="S89"/>
      <c r="W89" s="1" t="s">
        <v>1159</v>
      </c>
      <c r="X89" s="1" t="s">
        <v>1148</v>
      </c>
      <c r="Z89" t="s">
        <v>756</v>
      </c>
      <c r="AA89">
        <v>7021</v>
      </c>
      <c r="AB89" t="s">
        <v>2574</v>
      </c>
      <c r="AC89" t="s">
        <v>3452</v>
      </c>
    </row>
    <row r="90" spans="1:29">
      <c r="A90" s="68" t="s">
        <v>3451</v>
      </c>
      <c r="B90" s="68" t="s">
        <v>139</v>
      </c>
      <c r="C90" s="140" t="s">
        <v>93</v>
      </c>
      <c r="E90" s="36" t="s">
        <v>977</v>
      </c>
      <c r="F90" s="36" t="s">
        <v>978</v>
      </c>
      <c r="G90" s="679" t="s">
        <v>918</v>
      </c>
      <c r="H90" s="1"/>
      <c r="I90" s="1"/>
      <c r="J90" s="1"/>
      <c r="M90" s="36" t="s">
        <v>977</v>
      </c>
      <c r="N90" s="36" t="s">
        <v>978</v>
      </c>
      <c r="O90" s="36" t="s">
        <v>918</v>
      </c>
      <c r="P90" s="1"/>
      <c r="S90"/>
      <c r="W90" s="1" t="s">
        <v>1167</v>
      </c>
      <c r="X90" s="1" t="s">
        <v>1149</v>
      </c>
      <c r="Z90" t="s">
        <v>757</v>
      </c>
      <c r="AA90">
        <v>7022</v>
      </c>
      <c r="AB90" t="s">
        <v>2570</v>
      </c>
      <c r="AC90" s="667" t="s">
        <v>3450</v>
      </c>
    </row>
    <row r="91" spans="1:29">
      <c r="A91" s="68" t="s">
        <v>3449</v>
      </c>
      <c r="B91" s="68" t="s">
        <v>140</v>
      </c>
      <c r="C91" s="140" t="s">
        <v>94</v>
      </c>
      <c r="E91" s="1">
        <v>1</v>
      </c>
      <c r="F91" s="1" t="s">
        <v>580</v>
      </c>
      <c r="G91" s="51"/>
      <c r="H91" s="1">
        <v>1</v>
      </c>
      <c r="I91" s="1" t="s">
        <v>3448</v>
      </c>
      <c r="J91" s="1"/>
      <c r="M91" s="1" t="s">
        <v>56</v>
      </c>
      <c r="N91" s="1" t="s">
        <v>580</v>
      </c>
      <c r="O91" s="1"/>
      <c r="P91" s="1"/>
      <c r="S91"/>
      <c r="W91" s="1" t="s">
        <v>1176</v>
      </c>
      <c r="X91" s="1" t="s">
        <v>1150</v>
      </c>
      <c r="Z91" t="s">
        <v>758</v>
      </c>
      <c r="AA91">
        <v>7023</v>
      </c>
      <c r="AB91" t="s">
        <v>2566</v>
      </c>
      <c r="AC91" t="s">
        <v>3447</v>
      </c>
    </row>
    <row r="92" spans="1:29">
      <c r="A92" s="68" t="s">
        <v>3446</v>
      </c>
      <c r="B92" s="68" t="s">
        <v>141</v>
      </c>
      <c r="C92" s="140" t="s">
        <v>95</v>
      </c>
      <c r="E92" s="140">
        <v>2</v>
      </c>
      <c r="F92" s="140" t="s">
        <v>586</v>
      </c>
      <c r="G92" s="676" t="s">
        <v>860</v>
      </c>
      <c r="H92" s="1">
        <v>2</v>
      </c>
      <c r="I92" s="1" t="s">
        <v>3445</v>
      </c>
      <c r="J92" s="1"/>
      <c r="M92" s="140" t="s">
        <v>57</v>
      </c>
      <c r="N92" s="140" t="s">
        <v>586</v>
      </c>
      <c r="O92" s="140" t="s">
        <v>860</v>
      </c>
      <c r="P92" s="1"/>
      <c r="S92"/>
      <c r="W92" s="1" t="s">
        <v>1160</v>
      </c>
      <c r="X92" s="1" t="s">
        <v>1154</v>
      </c>
      <c r="Z92" t="s">
        <v>759</v>
      </c>
      <c r="AA92">
        <v>7024</v>
      </c>
      <c r="AB92" t="s">
        <v>2562</v>
      </c>
      <c r="AC92" t="s">
        <v>3444</v>
      </c>
    </row>
    <row r="93" spans="1:29">
      <c r="A93" s="68" t="s">
        <v>3443</v>
      </c>
      <c r="B93" s="68" t="s">
        <v>142</v>
      </c>
      <c r="C93" s="140" t="s">
        <v>96</v>
      </c>
      <c r="E93" s="1">
        <v>3</v>
      </c>
      <c r="F93" s="1" t="s">
        <v>581</v>
      </c>
      <c r="G93" s="51"/>
      <c r="H93" s="1">
        <v>3</v>
      </c>
      <c r="I93" s="1" t="s">
        <v>3442</v>
      </c>
      <c r="J93" s="1"/>
      <c r="M93" s="1" t="s">
        <v>58</v>
      </c>
      <c r="N93" s="1" t="s">
        <v>581</v>
      </c>
      <c r="O93" s="1"/>
      <c r="P93" s="1"/>
      <c r="S93"/>
      <c r="W93" s="1" t="s">
        <v>1193</v>
      </c>
      <c r="X93" s="1" t="s">
        <v>1155</v>
      </c>
      <c r="Z93" t="s">
        <v>760</v>
      </c>
      <c r="AA93">
        <v>7025</v>
      </c>
      <c r="AB93" t="s">
        <v>2558</v>
      </c>
      <c r="AC93" t="s">
        <v>3441</v>
      </c>
    </row>
    <row r="94" spans="1:29">
      <c r="A94" s="68" t="s">
        <v>3440</v>
      </c>
      <c r="B94" s="68" t="s">
        <v>143</v>
      </c>
      <c r="C94" s="140" t="s">
        <v>97</v>
      </c>
      <c r="E94" s="1">
        <v>4</v>
      </c>
      <c r="F94" s="1" t="s">
        <v>587</v>
      </c>
      <c r="G94" s="51"/>
      <c r="H94" s="1">
        <v>4</v>
      </c>
      <c r="I94" s="1" t="s">
        <v>3439</v>
      </c>
      <c r="J94" s="1"/>
      <c r="M94" s="1" t="s">
        <v>59</v>
      </c>
      <c r="N94" s="1" t="s">
        <v>587</v>
      </c>
      <c r="O94" s="1"/>
      <c r="P94" s="1"/>
      <c r="S94"/>
      <c r="W94" s="1" t="s">
        <v>1202</v>
      </c>
      <c r="X94" s="1" t="s">
        <v>1156</v>
      </c>
      <c r="Z94" t="s">
        <v>761</v>
      </c>
      <c r="AA94">
        <v>7026</v>
      </c>
      <c r="AB94" t="s">
        <v>2554</v>
      </c>
      <c r="AC94" t="s">
        <v>3438</v>
      </c>
    </row>
    <row r="95" spans="1:29">
      <c r="A95" s="68" t="s">
        <v>3437</v>
      </c>
      <c r="B95" s="68" t="s">
        <v>144</v>
      </c>
      <c r="C95" s="140" t="s">
        <v>98</v>
      </c>
      <c r="E95" s="140">
        <v>5</v>
      </c>
      <c r="F95" s="140" t="s">
        <v>588</v>
      </c>
      <c r="G95" s="676" t="s">
        <v>640</v>
      </c>
      <c r="H95" s="1">
        <v>5</v>
      </c>
      <c r="I95" s="1" t="s">
        <v>3436</v>
      </c>
      <c r="J95" s="1"/>
      <c r="M95" s="140" t="s">
        <v>60</v>
      </c>
      <c r="N95" s="140" t="s">
        <v>588</v>
      </c>
      <c r="O95" s="140" t="s">
        <v>640</v>
      </c>
      <c r="P95" s="1"/>
      <c r="S95"/>
      <c r="W95" s="1" t="s">
        <v>1211</v>
      </c>
      <c r="X95" s="1" t="s">
        <v>1157</v>
      </c>
      <c r="Z95" t="s">
        <v>762</v>
      </c>
      <c r="AA95">
        <v>7027</v>
      </c>
      <c r="AB95" t="s">
        <v>2550</v>
      </c>
      <c r="AC95" t="s">
        <v>3435</v>
      </c>
    </row>
    <row r="96" spans="1:29">
      <c r="A96" s="68" t="s">
        <v>3434</v>
      </c>
      <c r="B96" s="68" t="s">
        <v>3156</v>
      </c>
      <c r="C96" s="1"/>
      <c r="E96" s="140">
        <v>6</v>
      </c>
      <c r="F96" s="140" t="s">
        <v>589</v>
      </c>
      <c r="G96" s="676" t="s">
        <v>912</v>
      </c>
      <c r="H96" s="1">
        <v>6</v>
      </c>
      <c r="I96" s="1" t="s">
        <v>3433</v>
      </c>
      <c r="J96" s="1"/>
      <c r="M96" s="140" t="s">
        <v>61</v>
      </c>
      <c r="N96" s="140" t="s">
        <v>589</v>
      </c>
      <c r="O96" s="140" t="s">
        <v>912</v>
      </c>
      <c r="P96" s="1"/>
      <c r="S96"/>
      <c r="W96" s="1" t="s">
        <v>1168</v>
      </c>
      <c r="X96" s="1" t="s">
        <v>1162</v>
      </c>
      <c r="Z96" t="s">
        <v>763</v>
      </c>
      <c r="AA96">
        <v>7028</v>
      </c>
      <c r="AB96" t="s">
        <v>2546</v>
      </c>
      <c r="AC96" t="s">
        <v>3432</v>
      </c>
    </row>
    <row r="97" spans="1:29">
      <c r="A97" s="68" t="s">
        <v>3431</v>
      </c>
      <c r="B97" s="68" t="s">
        <v>3153</v>
      </c>
      <c r="C97" s="1"/>
      <c r="E97" s="140">
        <v>7</v>
      </c>
      <c r="F97" s="140" t="s">
        <v>590</v>
      </c>
      <c r="G97" s="676" t="s">
        <v>664</v>
      </c>
      <c r="H97" s="1">
        <v>7</v>
      </c>
      <c r="I97" s="1" t="s">
        <v>3430</v>
      </c>
      <c r="J97" s="1"/>
      <c r="M97" s="140" t="s">
        <v>62</v>
      </c>
      <c r="N97" s="140" t="s">
        <v>590</v>
      </c>
      <c r="O97" s="140" t="s">
        <v>664</v>
      </c>
      <c r="P97" s="1"/>
      <c r="S97"/>
      <c r="W97" s="1" t="s">
        <v>1226</v>
      </c>
      <c r="X97" s="1" t="s">
        <v>1163</v>
      </c>
      <c r="Z97" t="s">
        <v>764</v>
      </c>
      <c r="AA97">
        <v>7029</v>
      </c>
      <c r="AB97" t="s">
        <v>2542</v>
      </c>
      <c r="AC97" t="s">
        <v>3429</v>
      </c>
    </row>
    <row r="98" spans="1:29">
      <c r="A98" s="68" t="s">
        <v>3428</v>
      </c>
      <c r="B98" s="68" t="s">
        <v>145</v>
      </c>
      <c r="C98" s="140" t="s">
        <v>99</v>
      </c>
      <c r="E98" s="1">
        <v>8</v>
      </c>
      <c r="F98" s="1" t="s">
        <v>582</v>
      </c>
      <c r="G98" s="51"/>
      <c r="H98" s="1">
        <v>8</v>
      </c>
      <c r="I98" s="1" t="s">
        <v>3427</v>
      </c>
      <c r="J98" s="1"/>
      <c r="M98" s="1" t="s">
        <v>63</v>
      </c>
      <c r="N98" s="1" t="s">
        <v>582</v>
      </c>
      <c r="O98" s="1"/>
      <c r="P98" s="1"/>
      <c r="S98"/>
      <c r="W98" s="1" t="s">
        <v>1235</v>
      </c>
      <c r="X98" s="1" t="s">
        <v>1164</v>
      </c>
      <c r="Z98" t="s">
        <v>765</v>
      </c>
      <c r="AA98">
        <v>7030</v>
      </c>
      <c r="AB98" t="s">
        <v>2538</v>
      </c>
      <c r="AC98" t="s">
        <v>3426</v>
      </c>
    </row>
    <row r="99" spans="1:29">
      <c r="A99" s="68" t="s">
        <v>3425</v>
      </c>
      <c r="B99" s="68" t="s">
        <v>146</v>
      </c>
      <c r="C99" s="140" t="s">
        <v>100</v>
      </c>
      <c r="E99" s="1">
        <v>9</v>
      </c>
      <c r="F99" s="1" t="s">
        <v>583</v>
      </c>
      <c r="G99" s="51"/>
      <c r="H99" s="1">
        <v>9</v>
      </c>
      <c r="I99" s="1" t="s">
        <v>3424</v>
      </c>
      <c r="J99" s="1"/>
      <c r="M99" s="1" t="s">
        <v>64</v>
      </c>
      <c r="N99" s="1" t="s">
        <v>583</v>
      </c>
      <c r="O99" s="1"/>
      <c r="P99" s="1"/>
      <c r="S99"/>
      <c r="W99" s="1" t="s">
        <v>1244</v>
      </c>
      <c r="X99" s="1" t="s">
        <v>1165</v>
      </c>
      <c r="Z99" t="s">
        <v>766</v>
      </c>
      <c r="AA99">
        <v>7031</v>
      </c>
      <c r="AB99" t="s">
        <v>2534</v>
      </c>
      <c r="AC99" t="s">
        <v>3423</v>
      </c>
    </row>
    <row r="100" spans="1:29">
      <c r="A100" s="68" t="s">
        <v>3422</v>
      </c>
      <c r="B100" s="68" t="s">
        <v>147</v>
      </c>
      <c r="C100" s="140" t="s">
        <v>101</v>
      </c>
      <c r="E100" s="1">
        <v>10</v>
      </c>
      <c r="F100" s="1" t="s">
        <v>584</v>
      </c>
      <c r="G100" s="51"/>
      <c r="H100" s="1">
        <v>10</v>
      </c>
      <c r="I100" s="1" t="s">
        <v>3421</v>
      </c>
      <c r="J100" s="1"/>
      <c r="M100" s="1" t="s">
        <v>65</v>
      </c>
      <c r="N100" s="1" t="s">
        <v>584</v>
      </c>
      <c r="O100" s="1"/>
      <c r="P100" s="1"/>
      <c r="S100"/>
      <c r="W100" s="1" t="s">
        <v>1178</v>
      </c>
      <c r="X100" s="1" t="s">
        <v>1171</v>
      </c>
      <c r="Z100" t="s">
        <v>767</v>
      </c>
      <c r="AA100">
        <v>7032</v>
      </c>
      <c r="AB100" t="s">
        <v>2530</v>
      </c>
      <c r="AC100" t="s">
        <v>3420</v>
      </c>
    </row>
    <row r="101" spans="1:29">
      <c r="A101" s="68" t="s">
        <v>3419</v>
      </c>
      <c r="B101" s="68" t="s">
        <v>3418</v>
      </c>
      <c r="C101" s="1"/>
      <c r="E101" s="140">
        <v>11</v>
      </c>
      <c r="F101" s="140" t="s">
        <v>585</v>
      </c>
      <c r="G101" s="676" t="s">
        <v>3417</v>
      </c>
      <c r="H101" s="1">
        <v>11</v>
      </c>
      <c r="I101" s="1" t="s">
        <v>3416</v>
      </c>
      <c r="J101" s="1"/>
      <c r="M101" s="140" t="s">
        <v>66</v>
      </c>
      <c r="N101" s="140" t="s">
        <v>585</v>
      </c>
      <c r="O101" s="140" t="s">
        <v>979</v>
      </c>
      <c r="P101" s="1"/>
      <c r="S101"/>
      <c r="W101" s="1" t="s">
        <v>1258</v>
      </c>
      <c r="X101" s="1" t="s">
        <v>1172</v>
      </c>
      <c r="Z101" t="s">
        <v>768</v>
      </c>
      <c r="AA101">
        <v>7033</v>
      </c>
      <c r="AB101" t="s">
        <v>2526</v>
      </c>
      <c r="AC101" t="s">
        <v>3415</v>
      </c>
    </row>
    <row r="102" spans="1:29">
      <c r="A102" s="68" t="s">
        <v>3414</v>
      </c>
      <c r="B102" s="68" t="s">
        <v>657</v>
      </c>
      <c r="C102" s="158" t="s">
        <v>656</v>
      </c>
      <c r="E102" s="1">
        <v>12</v>
      </c>
      <c r="F102" s="1" t="s">
        <v>591</v>
      </c>
      <c r="G102" s="51"/>
      <c r="H102" s="1">
        <v>12</v>
      </c>
      <c r="I102" s="1" t="s">
        <v>3413</v>
      </c>
      <c r="J102" s="1"/>
      <c r="M102" s="1" t="s">
        <v>67</v>
      </c>
      <c r="N102" s="1" t="s">
        <v>591</v>
      </c>
      <c r="O102" s="1"/>
      <c r="P102" s="1"/>
      <c r="W102" s="1" t="s">
        <v>1267</v>
      </c>
      <c r="X102" s="1" t="s">
        <v>1173</v>
      </c>
      <c r="Z102" t="s">
        <v>769</v>
      </c>
      <c r="AA102">
        <v>7034</v>
      </c>
      <c r="AB102" t="s">
        <v>2525</v>
      </c>
      <c r="AC102" t="s">
        <v>3412</v>
      </c>
    </row>
    <row r="103" spans="1:29">
      <c r="E103" s="1">
        <v>13</v>
      </c>
      <c r="F103" s="1" t="s">
        <v>980</v>
      </c>
      <c r="G103" s="51"/>
      <c r="H103" s="1">
        <v>13</v>
      </c>
      <c r="I103" s="1" t="s">
        <v>3411</v>
      </c>
      <c r="J103" s="1"/>
      <c r="M103" s="1" t="s">
        <v>68</v>
      </c>
      <c r="N103" s="1" t="s">
        <v>980</v>
      </c>
      <c r="O103" s="1"/>
      <c r="P103" s="1"/>
      <c r="W103" s="1" t="s">
        <v>1274</v>
      </c>
      <c r="X103" s="1" t="s">
        <v>1174</v>
      </c>
      <c r="Z103" t="s">
        <v>770</v>
      </c>
      <c r="AA103">
        <v>7035</v>
      </c>
      <c r="AB103" t="s">
        <v>2524</v>
      </c>
      <c r="AC103" t="s">
        <v>3410</v>
      </c>
    </row>
    <row r="104" spans="1:29">
      <c r="E104" s="1">
        <v>14</v>
      </c>
      <c r="F104" s="1" t="s">
        <v>981</v>
      </c>
      <c r="G104" s="51"/>
      <c r="H104" s="1">
        <v>14</v>
      </c>
      <c r="I104" s="1" t="s">
        <v>3409</v>
      </c>
      <c r="J104" s="1"/>
      <c r="M104" s="1" t="s">
        <v>69</v>
      </c>
      <c r="N104" s="1" t="s">
        <v>981</v>
      </c>
      <c r="O104" s="1"/>
      <c r="P104" s="1"/>
      <c r="W104" s="1" t="s">
        <v>1186</v>
      </c>
      <c r="X104" s="1" t="s">
        <v>1181</v>
      </c>
      <c r="Z104" t="s">
        <v>771</v>
      </c>
      <c r="AA104">
        <v>7036</v>
      </c>
      <c r="AB104" t="s">
        <v>2522</v>
      </c>
      <c r="AC104" t="s">
        <v>3408</v>
      </c>
    </row>
    <row r="105" spans="1:29">
      <c r="E105" s="1">
        <v>15</v>
      </c>
      <c r="F105" s="1" t="s">
        <v>1022</v>
      </c>
      <c r="G105" s="51"/>
      <c r="H105" s="1">
        <v>15</v>
      </c>
      <c r="I105" s="1" t="s">
        <v>3407</v>
      </c>
      <c r="J105" s="1"/>
      <c r="M105" s="1" t="s">
        <v>71</v>
      </c>
      <c r="N105" s="1" t="s">
        <v>982</v>
      </c>
      <c r="O105" s="1"/>
      <c r="P105" s="1"/>
      <c r="W105" s="1" t="s">
        <v>1288</v>
      </c>
      <c r="X105" s="1" t="s">
        <v>1182</v>
      </c>
      <c r="Z105" t="s">
        <v>772</v>
      </c>
      <c r="AA105">
        <v>7037</v>
      </c>
      <c r="AB105" t="s">
        <v>2520</v>
      </c>
      <c r="AC105" t="s">
        <v>3406</v>
      </c>
    </row>
    <row r="106" spans="1:29">
      <c r="E106" s="1">
        <v>16</v>
      </c>
      <c r="F106" s="1" t="s">
        <v>982</v>
      </c>
      <c r="G106" s="51"/>
      <c r="H106" s="1">
        <v>16</v>
      </c>
      <c r="I106" s="1" t="s">
        <v>3405</v>
      </c>
      <c r="J106" s="1"/>
      <c r="M106" s="140" t="s">
        <v>983</v>
      </c>
      <c r="N106" s="140" t="s">
        <v>984</v>
      </c>
      <c r="O106" s="140" t="s">
        <v>866</v>
      </c>
      <c r="P106" s="1"/>
      <c r="W106" s="1" t="s">
        <v>1295</v>
      </c>
      <c r="X106" s="1" t="s">
        <v>1183</v>
      </c>
      <c r="Z106" t="s">
        <v>773</v>
      </c>
      <c r="AA106">
        <v>7038</v>
      </c>
      <c r="AB106" t="s">
        <v>2518</v>
      </c>
      <c r="AC106" t="s">
        <v>3404</v>
      </c>
    </row>
    <row r="107" spans="1:29">
      <c r="E107" s="140">
        <v>17</v>
      </c>
      <c r="F107" s="140" t="s">
        <v>1023</v>
      </c>
      <c r="G107" s="676" t="s">
        <v>1024</v>
      </c>
      <c r="H107" s="1">
        <v>17</v>
      </c>
      <c r="I107" s="1" t="s">
        <v>3403</v>
      </c>
      <c r="J107" s="1"/>
      <c r="M107" s="1" t="s">
        <v>985</v>
      </c>
      <c r="N107" s="1" t="s">
        <v>986</v>
      </c>
      <c r="O107" s="1"/>
      <c r="P107" s="1"/>
      <c r="W107" s="1" t="s">
        <v>1303</v>
      </c>
      <c r="X107" s="1" t="s">
        <v>1184</v>
      </c>
      <c r="Z107" t="s">
        <v>774</v>
      </c>
      <c r="AA107">
        <v>7039</v>
      </c>
      <c r="AB107" t="s">
        <v>2516</v>
      </c>
      <c r="AC107" t="s">
        <v>3402</v>
      </c>
    </row>
    <row r="108" spans="1:29">
      <c r="E108" s="140">
        <v>18</v>
      </c>
      <c r="F108" s="140" t="s">
        <v>984</v>
      </c>
      <c r="G108" s="676" t="s">
        <v>866</v>
      </c>
      <c r="H108" s="1">
        <v>18</v>
      </c>
      <c r="I108" s="1" t="s">
        <v>3401</v>
      </c>
      <c r="J108" s="1"/>
      <c r="M108" s="1" t="s">
        <v>987</v>
      </c>
      <c r="N108" s="1" t="s">
        <v>988</v>
      </c>
      <c r="O108" s="1"/>
      <c r="P108" s="1"/>
      <c r="W108" s="1" t="s">
        <v>1195</v>
      </c>
      <c r="X108" s="1" t="s">
        <v>1188</v>
      </c>
      <c r="Z108" t="s">
        <v>775</v>
      </c>
      <c r="AA108">
        <v>7040</v>
      </c>
      <c r="AB108" t="s">
        <v>2514</v>
      </c>
      <c r="AC108" t="s">
        <v>3400</v>
      </c>
    </row>
    <row r="109" spans="1:29">
      <c r="E109" s="1">
        <v>19</v>
      </c>
      <c r="F109" s="1" t="s">
        <v>986</v>
      </c>
      <c r="G109" s="51"/>
      <c r="H109" s="1">
        <v>19</v>
      </c>
      <c r="I109" s="1" t="s">
        <v>3399</v>
      </c>
      <c r="J109" s="1"/>
      <c r="M109" s="1" t="s">
        <v>989</v>
      </c>
      <c r="N109" s="1" t="s">
        <v>990</v>
      </c>
      <c r="O109" s="1"/>
      <c r="P109" s="1"/>
      <c r="W109" s="1" t="s">
        <v>1317</v>
      </c>
      <c r="X109" s="1" t="s">
        <v>1189</v>
      </c>
      <c r="Z109" t="s">
        <v>776</v>
      </c>
      <c r="AA109">
        <v>7041</v>
      </c>
      <c r="AB109" t="s">
        <v>2512</v>
      </c>
      <c r="AC109" s="667" t="s">
        <v>3398</v>
      </c>
    </row>
    <row r="110" spans="1:29">
      <c r="E110" s="1">
        <v>20</v>
      </c>
      <c r="F110" s="1" t="s">
        <v>988</v>
      </c>
      <c r="G110" s="51"/>
      <c r="H110" s="1">
        <v>20</v>
      </c>
      <c r="I110" s="1" t="s">
        <v>3397</v>
      </c>
      <c r="J110" s="1"/>
      <c r="M110" s="1" t="s">
        <v>991</v>
      </c>
      <c r="N110" s="1" t="s">
        <v>304</v>
      </c>
      <c r="O110" s="1"/>
      <c r="P110" s="1"/>
      <c r="W110" s="1" t="s">
        <v>1324</v>
      </c>
      <c r="X110" s="1" t="s">
        <v>1190</v>
      </c>
      <c r="Z110" t="s">
        <v>777</v>
      </c>
      <c r="AA110">
        <v>7042</v>
      </c>
      <c r="AB110" t="s">
        <v>2510</v>
      </c>
      <c r="AC110" t="s">
        <v>3396</v>
      </c>
    </row>
    <row r="111" spans="1:29">
      <c r="E111" s="1">
        <v>21</v>
      </c>
      <c r="F111" s="1" t="s">
        <v>1025</v>
      </c>
      <c r="G111" s="51"/>
      <c r="H111" s="1">
        <v>21</v>
      </c>
      <c r="I111" s="1" t="s">
        <v>3395</v>
      </c>
      <c r="J111" s="1"/>
      <c r="M111" s="1" t="s">
        <v>992</v>
      </c>
      <c r="N111" s="1" t="s">
        <v>306</v>
      </c>
      <c r="O111" s="1"/>
      <c r="P111" s="1"/>
      <c r="W111" s="1" t="s">
        <v>1332</v>
      </c>
      <c r="X111" s="1" t="s">
        <v>1191</v>
      </c>
      <c r="Z111" t="s">
        <v>778</v>
      </c>
      <c r="AA111">
        <v>7043</v>
      </c>
      <c r="AB111" t="s">
        <v>2508</v>
      </c>
      <c r="AC111" t="s">
        <v>3394</v>
      </c>
    </row>
    <row r="112" spans="1:29">
      <c r="E112" s="140">
        <v>22</v>
      </c>
      <c r="F112" s="140" t="s">
        <v>990</v>
      </c>
      <c r="G112" s="676" t="s">
        <v>164</v>
      </c>
      <c r="H112" s="1">
        <v>22</v>
      </c>
      <c r="I112" s="1" t="s">
        <v>3393</v>
      </c>
      <c r="J112" s="1"/>
      <c r="M112" s="140" t="s">
        <v>993</v>
      </c>
      <c r="N112" s="140" t="s">
        <v>994</v>
      </c>
      <c r="O112" s="140" t="s">
        <v>648</v>
      </c>
      <c r="P112" s="1"/>
      <c r="W112" s="1" t="s">
        <v>1203</v>
      </c>
      <c r="X112" s="1" t="s">
        <v>1197</v>
      </c>
      <c r="Z112" t="s">
        <v>779</v>
      </c>
      <c r="AA112">
        <v>7044</v>
      </c>
      <c r="AB112" t="s">
        <v>2506</v>
      </c>
      <c r="AC112" t="s">
        <v>3392</v>
      </c>
    </row>
    <row r="113" spans="5:29">
      <c r="E113" s="1">
        <v>23</v>
      </c>
      <c r="F113" s="1" t="s">
        <v>304</v>
      </c>
      <c r="G113" s="51"/>
      <c r="H113" s="1">
        <v>23</v>
      </c>
      <c r="I113" s="1" t="s">
        <v>3391</v>
      </c>
      <c r="J113" s="1"/>
      <c r="M113" s="1" t="s">
        <v>995</v>
      </c>
      <c r="N113" s="1" t="s">
        <v>996</v>
      </c>
      <c r="O113" s="1"/>
      <c r="P113" s="1"/>
      <c r="W113" s="1" t="s">
        <v>1347</v>
      </c>
      <c r="X113" s="1" t="s">
        <v>1198</v>
      </c>
      <c r="Z113" t="s">
        <v>780</v>
      </c>
      <c r="AA113">
        <v>7045</v>
      </c>
      <c r="AB113" t="s">
        <v>2504</v>
      </c>
      <c r="AC113" t="s">
        <v>3390</v>
      </c>
    </row>
    <row r="114" spans="5:29">
      <c r="E114" s="1">
        <v>24</v>
      </c>
      <c r="F114" s="1" t="s">
        <v>1026</v>
      </c>
      <c r="G114" s="51"/>
      <c r="H114" s="1">
        <v>24</v>
      </c>
      <c r="I114" s="1" t="s">
        <v>3389</v>
      </c>
      <c r="J114" s="1"/>
      <c r="M114" s="1" t="s">
        <v>997</v>
      </c>
      <c r="N114" s="1" t="s">
        <v>998</v>
      </c>
      <c r="O114" s="1"/>
      <c r="P114" s="1"/>
      <c r="W114" s="1" t="s">
        <v>1354</v>
      </c>
      <c r="X114" s="1" t="s">
        <v>1199</v>
      </c>
      <c r="Z114" t="s">
        <v>781</v>
      </c>
      <c r="AA114">
        <v>7046</v>
      </c>
      <c r="AB114" t="s">
        <v>2502</v>
      </c>
      <c r="AC114" t="s">
        <v>3388</v>
      </c>
    </row>
    <row r="115" spans="5:29">
      <c r="E115" s="1">
        <v>25</v>
      </c>
      <c r="F115" s="1" t="s">
        <v>306</v>
      </c>
      <c r="G115" s="51"/>
      <c r="H115" s="1">
        <v>25</v>
      </c>
      <c r="I115" s="1" t="s">
        <v>3387</v>
      </c>
      <c r="J115" s="1"/>
      <c r="M115" s="140" t="s">
        <v>999</v>
      </c>
      <c r="N115" s="140" t="s">
        <v>1000</v>
      </c>
      <c r="O115" s="140" t="s">
        <v>979</v>
      </c>
      <c r="P115" s="1"/>
      <c r="W115" s="1" t="s">
        <v>1361</v>
      </c>
      <c r="X115" s="1" t="s">
        <v>1200</v>
      </c>
      <c r="Z115" t="s">
        <v>782</v>
      </c>
      <c r="AA115">
        <v>7047</v>
      </c>
      <c r="AB115" t="s">
        <v>2500</v>
      </c>
      <c r="AC115" t="s">
        <v>3386</v>
      </c>
    </row>
    <row r="116" spans="5:29">
      <c r="E116" s="140">
        <v>26</v>
      </c>
      <c r="F116" s="140" t="s">
        <v>1027</v>
      </c>
      <c r="G116" s="676" t="s">
        <v>206</v>
      </c>
      <c r="H116" s="1">
        <v>26</v>
      </c>
      <c r="I116" s="1" t="s">
        <v>3385</v>
      </c>
      <c r="J116" s="1"/>
      <c r="M116" s="1" t="s">
        <v>1001</v>
      </c>
      <c r="N116" s="1" t="s">
        <v>1002</v>
      </c>
      <c r="O116" s="1"/>
      <c r="P116" s="1"/>
      <c r="W116" s="1" t="s">
        <v>1213</v>
      </c>
      <c r="X116" s="1" t="s">
        <v>1206</v>
      </c>
      <c r="Z116" t="s">
        <v>783</v>
      </c>
      <c r="AA116">
        <v>7048</v>
      </c>
      <c r="AB116" t="s">
        <v>2498</v>
      </c>
      <c r="AC116" t="s">
        <v>3384</v>
      </c>
    </row>
    <row r="117" spans="5:29">
      <c r="E117" s="140">
        <v>27</v>
      </c>
      <c r="F117" s="140" t="s">
        <v>994</v>
      </c>
      <c r="G117" s="676" t="s">
        <v>648</v>
      </c>
      <c r="H117" s="1">
        <v>27</v>
      </c>
      <c r="I117" s="1" t="s">
        <v>3383</v>
      </c>
      <c r="J117" s="1"/>
      <c r="M117" s="1" t="s">
        <v>1003</v>
      </c>
      <c r="N117" s="1" t="s">
        <v>1004</v>
      </c>
      <c r="O117" s="1"/>
      <c r="P117" s="1"/>
      <c r="W117" s="1" t="s">
        <v>1376</v>
      </c>
      <c r="X117" s="1" t="s">
        <v>1207</v>
      </c>
      <c r="Z117" t="s">
        <v>784</v>
      </c>
      <c r="AA117">
        <v>7049</v>
      </c>
      <c r="AB117" t="s">
        <v>2496</v>
      </c>
      <c r="AC117" t="s">
        <v>3382</v>
      </c>
    </row>
    <row r="118" spans="5:29">
      <c r="E118" s="1">
        <v>28</v>
      </c>
      <c r="F118" s="1" t="s">
        <v>1028</v>
      </c>
      <c r="G118" s="51"/>
      <c r="H118" s="1">
        <v>28</v>
      </c>
      <c r="I118" s="1" t="s">
        <v>3381</v>
      </c>
      <c r="J118" s="1"/>
      <c r="M118" s="1" t="s">
        <v>1005</v>
      </c>
      <c r="N118" s="1" t="s">
        <v>1006</v>
      </c>
      <c r="O118" s="1"/>
      <c r="P118" s="1"/>
      <c r="W118" s="1" t="s">
        <v>1384</v>
      </c>
      <c r="X118" s="1" t="s">
        <v>1208</v>
      </c>
      <c r="Z118" t="s">
        <v>785</v>
      </c>
      <c r="AA118">
        <v>7050</v>
      </c>
      <c r="AB118" t="s">
        <v>2494</v>
      </c>
      <c r="AC118" t="s">
        <v>3380</v>
      </c>
    </row>
    <row r="119" spans="5:29">
      <c r="E119" s="1">
        <v>29</v>
      </c>
      <c r="F119" s="1" t="s">
        <v>996</v>
      </c>
      <c r="G119" s="51"/>
      <c r="H119" s="1">
        <v>29</v>
      </c>
      <c r="I119" s="1" t="s">
        <v>3379</v>
      </c>
      <c r="J119" s="1"/>
      <c r="M119" s="1" t="s">
        <v>1007</v>
      </c>
      <c r="N119" s="1" t="s">
        <v>1008</v>
      </c>
      <c r="O119" s="1"/>
      <c r="P119" s="1"/>
      <c r="W119" s="1" t="s">
        <v>1392</v>
      </c>
      <c r="X119" s="1" t="s">
        <v>1209</v>
      </c>
      <c r="Z119" t="s">
        <v>786</v>
      </c>
      <c r="AA119">
        <v>7051</v>
      </c>
      <c r="AB119" t="s">
        <v>2492</v>
      </c>
      <c r="AC119" t="s">
        <v>3378</v>
      </c>
    </row>
    <row r="120" spans="5:29">
      <c r="E120" s="1">
        <v>30</v>
      </c>
      <c r="F120" s="1" t="s">
        <v>998</v>
      </c>
      <c r="G120" s="51"/>
      <c r="H120" s="1">
        <v>30</v>
      </c>
      <c r="I120" s="1" t="s">
        <v>3377</v>
      </c>
      <c r="J120" s="1"/>
      <c r="M120" s="140" t="s">
        <v>979</v>
      </c>
      <c r="N120" s="140" t="s">
        <v>1009</v>
      </c>
      <c r="O120" s="140" t="s">
        <v>1010</v>
      </c>
      <c r="P120" s="1"/>
      <c r="W120" s="1" t="s">
        <v>1220</v>
      </c>
      <c r="X120" s="1" t="s">
        <v>1216</v>
      </c>
      <c r="Z120" t="s">
        <v>787</v>
      </c>
      <c r="AA120">
        <v>7052</v>
      </c>
      <c r="AB120" t="s">
        <v>2490</v>
      </c>
      <c r="AC120" t="s">
        <v>3376</v>
      </c>
    </row>
    <row r="121" spans="5:29">
      <c r="E121" s="140">
        <v>31</v>
      </c>
      <c r="F121" s="140" t="s">
        <v>1000</v>
      </c>
      <c r="G121" s="676">
        <v>41</v>
      </c>
      <c r="H121" s="1">
        <v>31</v>
      </c>
      <c r="I121" s="1" t="s">
        <v>3375</v>
      </c>
      <c r="J121" s="1"/>
      <c r="M121" s="1" t="s">
        <v>1011</v>
      </c>
      <c r="N121" s="1" t="s">
        <v>1012</v>
      </c>
      <c r="O121" s="1"/>
      <c r="P121" s="1"/>
      <c r="W121" s="1" t="s">
        <v>1409</v>
      </c>
      <c r="X121" s="1" t="s">
        <v>1217</v>
      </c>
      <c r="Z121" t="s">
        <v>788</v>
      </c>
      <c r="AA121">
        <v>7053</v>
      </c>
      <c r="AB121" t="s">
        <v>2488</v>
      </c>
      <c r="AC121" t="s">
        <v>3374</v>
      </c>
    </row>
    <row r="122" spans="5:29">
      <c r="E122" s="140">
        <v>32</v>
      </c>
      <c r="F122" s="140" t="s">
        <v>1029</v>
      </c>
      <c r="G122" s="676" t="s">
        <v>20</v>
      </c>
      <c r="H122" s="1">
        <v>32</v>
      </c>
      <c r="I122" s="1" t="s">
        <v>3373</v>
      </c>
      <c r="J122" s="1"/>
      <c r="M122" s="1" t="s">
        <v>1013</v>
      </c>
      <c r="N122" s="1" t="s">
        <v>1014</v>
      </c>
      <c r="O122" s="1"/>
      <c r="P122" s="1"/>
      <c r="W122" s="1" t="s">
        <v>1419</v>
      </c>
      <c r="X122" s="1" t="s">
        <v>1218</v>
      </c>
      <c r="Z122" t="s">
        <v>789</v>
      </c>
      <c r="AA122">
        <v>7054</v>
      </c>
      <c r="AB122" t="s">
        <v>2486</v>
      </c>
      <c r="AC122" t="s">
        <v>3372</v>
      </c>
    </row>
    <row r="123" spans="5:29">
      <c r="E123" s="1">
        <v>33</v>
      </c>
      <c r="F123" s="1" t="s">
        <v>1002</v>
      </c>
      <c r="G123" s="51"/>
      <c r="H123" s="1">
        <v>33</v>
      </c>
      <c r="I123" s="1" t="s">
        <v>3371</v>
      </c>
      <c r="J123" s="1"/>
      <c r="M123" s="1" t="s">
        <v>1015</v>
      </c>
      <c r="N123" s="1" t="s">
        <v>1016</v>
      </c>
      <c r="O123" s="1"/>
      <c r="P123" s="1"/>
      <c r="W123" s="1" t="s">
        <v>1429</v>
      </c>
      <c r="X123" s="1" t="s">
        <v>1219</v>
      </c>
      <c r="Z123" t="s">
        <v>790</v>
      </c>
      <c r="AA123">
        <v>7055</v>
      </c>
      <c r="AB123" t="s">
        <v>2484</v>
      </c>
      <c r="AC123" t="s">
        <v>3370</v>
      </c>
    </row>
    <row r="124" spans="5:29">
      <c r="E124" s="1">
        <v>34</v>
      </c>
      <c r="F124" s="1" t="s">
        <v>1030</v>
      </c>
      <c r="G124" s="51"/>
      <c r="H124" s="1">
        <v>34</v>
      </c>
      <c r="I124" s="1" t="s">
        <v>3369</v>
      </c>
      <c r="J124" s="1"/>
      <c r="M124" s="1" t="s">
        <v>1017</v>
      </c>
      <c r="N124" s="1" t="s">
        <v>1018</v>
      </c>
      <c r="O124" s="1"/>
      <c r="P124" s="1"/>
      <c r="W124" s="1" t="s">
        <v>1228</v>
      </c>
      <c r="X124" s="1" t="s">
        <v>1222</v>
      </c>
      <c r="Z124" t="s">
        <v>791</v>
      </c>
      <c r="AA124">
        <v>7056</v>
      </c>
      <c r="AB124" t="s">
        <v>2482</v>
      </c>
      <c r="AC124" t="s">
        <v>3368</v>
      </c>
    </row>
    <row r="125" spans="5:29">
      <c r="E125" s="1">
        <v>35</v>
      </c>
      <c r="F125" s="1" t="s">
        <v>1004</v>
      </c>
      <c r="G125" s="51"/>
      <c r="H125" s="1">
        <v>35</v>
      </c>
      <c r="I125" s="1" t="s">
        <v>3367</v>
      </c>
      <c r="J125" s="1"/>
      <c r="W125" s="1" t="s">
        <v>1445</v>
      </c>
      <c r="X125" s="1" t="s">
        <v>1223</v>
      </c>
      <c r="Z125" t="s">
        <v>792</v>
      </c>
      <c r="AA125">
        <v>7057</v>
      </c>
      <c r="AB125" t="s">
        <v>2480</v>
      </c>
      <c r="AC125" s="667" t="s">
        <v>3366</v>
      </c>
    </row>
    <row r="126" spans="5:29">
      <c r="E126" s="140">
        <v>36</v>
      </c>
      <c r="F126" s="140" t="s">
        <v>1031</v>
      </c>
      <c r="G126" s="676" t="s">
        <v>904</v>
      </c>
      <c r="H126" s="1">
        <v>36</v>
      </c>
      <c r="I126" s="1" t="s">
        <v>3365</v>
      </c>
      <c r="J126" s="1"/>
      <c r="M126" s="678" t="s">
        <v>2655</v>
      </c>
      <c r="N126" s="678" t="s">
        <v>977</v>
      </c>
      <c r="O126" s="678" t="s">
        <v>978</v>
      </c>
      <c r="P126" s="678" t="s">
        <v>2654</v>
      </c>
      <c r="W126" s="1" t="s">
        <v>1454</v>
      </c>
      <c r="X126" s="1" t="s">
        <v>1224</v>
      </c>
      <c r="Z126" t="s">
        <v>793</v>
      </c>
      <c r="AA126">
        <v>7058</v>
      </c>
      <c r="AB126" t="s">
        <v>2477</v>
      </c>
      <c r="AC126" t="s">
        <v>3364</v>
      </c>
    </row>
    <row r="127" spans="5:29">
      <c r="E127" s="1">
        <v>37</v>
      </c>
      <c r="F127" s="1" t="s">
        <v>1006</v>
      </c>
      <c r="G127" s="51"/>
      <c r="H127" s="1">
        <v>37</v>
      </c>
      <c r="I127" s="1" t="s">
        <v>3363</v>
      </c>
      <c r="J127" s="1"/>
      <c r="M127" s="677" t="s">
        <v>3362</v>
      </c>
      <c r="N127" s="677" t="s">
        <v>973</v>
      </c>
      <c r="O127" s="677" t="s">
        <v>970</v>
      </c>
      <c r="P127" s="677"/>
      <c r="W127" s="1" t="s">
        <v>1463</v>
      </c>
      <c r="X127" s="1" t="s">
        <v>1225</v>
      </c>
      <c r="Z127" t="s">
        <v>794</v>
      </c>
      <c r="AA127">
        <v>7059</v>
      </c>
      <c r="AB127" t="s">
        <v>2475</v>
      </c>
      <c r="AC127" t="s">
        <v>3361</v>
      </c>
    </row>
    <row r="128" spans="5:29">
      <c r="E128" s="1">
        <v>38</v>
      </c>
      <c r="F128" s="1" t="s">
        <v>1032</v>
      </c>
      <c r="G128" s="51"/>
      <c r="H128" s="1">
        <v>38</v>
      </c>
      <c r="I128" s="1" t="s">
        <v>3360</v>
      </c>
      <c r="J128" s="1"/>
      <c r="M128" s="677"/>
      <c r="N128" s="677" t="s">
        <v>974</v>
      </c>
      <c r="O128" s="677" t="s">
        <v>972</v>
      </c>
      <c r="P128" s="677"/>
      <c r="W128" s="1" t="s">
        <v>1237</v>
      </c>
      <c r="X128" s="1" t="s">
        <v>1231</v>
      </c>
      <c r="Z128" t="s">
        <v>795</v>
      </c>
      <c r="AA128">
        <v>7060</v>
      </c>
      <c r="AB128" t="s">
        <v>2473</v>
      </c>
      <c r="AC128" t="s">
        <v>3359</v>
      </c>
    </row>
    <row r="129" spans="1:29">
      <c r="E129" s="1">
        <v>39</v>
      </c>
      <c r="F129" s="1" t="s">
        <v>1008</v>
      </c>
      <c r="G129" s="51"/>
      <c r="H129" s="1">
        <v>39</v>
      </c>
      <c r="I129" s="1" t="s">
        <v>3358</v>
      </c>
      <c r="J129" s="1"/>
      <c r="M129" s="140" t="s">
        <v>736</v>
      </c>
      <c r="N129" s="140">
        <v>7001</v>
      </c>
      <c r="O129" s="140" t="s">
        <v>2652</v>
      </c>
      <c r="P129" s="140" t="s">
        <v>690</v>
      </c>
      <c r="W129" s="1" t="s">
        <v>1479</v>
      </c>
      <c r="X129" s="1" t="s">
        <v>1232</v>
      </c>
      <c r="Z129" t="s">
        <v>796</v>
      </c>
      <c r="AA129">
        <v>7061</v>
      </c>
      <c r="AB129" t="s">
        <v>2471</v>
      </c>
      <c r="AC129" t="s">
        <v>3357</v>
      </c>
    </row>
    <row r="130" spans="1:29">
      <c r="E130" s="1">
        <v>40</v>
      </c>
      <c r="F130" s="1" t="s">
        <v>1033</v>
      </c>
      <c r="G130" s="51"/>
      <c r="H130" s="1">
        <v>40</v>
      </c>
      <c r="I130" s="1" t="s">
        <v>3356</v>
      </c>
      <c r="J130" s="1"/>
      <c r="M130" s="1" t="s">
        <v>737</v>
      </c>
      <c r="N130" s="1">
        <v>7002</v>
      </c>
      <c r="O130" s="1" t="s">
        <v>2649</v>
      </c>
      <c r="P130" s="1"/>
      <c r="W130" s="1" t="s">
        <v>1486</v>
      </c>
      <c r="X130" s="1" t="s">
        <v>1233</v>
      </c>
      <c r="Z130" t="s">
        <v>797</v>
      </c>
      <c r="AA130">
        <v>7062</v>
      </c>
      <c r="AB130" t="s">
        <v>2469</v>
      </c>
      <c r="AC130" t="s">
        <v>3355</v>
      </c>
    </row>
    <row r="131" spans="1:29">
      <c r="E131" s="140">
        <v>41</v>
      </c>
      <c r="F131" s="140" t="s">
        <v>1009</v>
      </c>
      <c r="G131" s="676" t="s">
        <v>3354</v>
      </c>
      <c r="H131" s="1">
        <v>41</v>
      </c>
      <c r="I131" s="1" t="s">
        <v>3353</v>
      </c>
      <c r="J131" s="1"/>
      <c r="M131" s="140" t="s">
        <v>738</v>
      </c>
      <c r="N131" s="140">
        <v>7003</v>
      </c>
      <c r="O131" s="140" t="s">
        <v>2645</v>
      </c>
      <c r="P131" s="140" t="s">
        <v>656</v>
      </c>
      <c r="W131" s="1" t="s">
        <v>1494</v>
      </c>
      <c r="X131" s="1" t="s">
        <v>1234</v>
      </c>
      <c r="Z131" t="s">
        <v>798</v>
      </c>
      <c r="AA131">
        <v>7063</v>
      </c>
      <c r="AB131" t="s">
        <v>2467</v>
      </c>
      <c r="AC131" t="s">
        <v>3352</v>
      </c>
    </row>
    <row r="132" spans="1:29">
      <c r="E132" s="1">
        <v>42</v>
      </c>
      <c r="F132" s="1" t="s">
        <v>1034</v>
      </c>
      <c r="G132" s="51"/>
      <c r="H132" s="1">
        <v>42</v>
      </c>
      <c r="I132" s="1" t="s">
        <v>1821</v>
      </c>
      <c r="J132" s="1"/>
      <c r="M132" s="1" t="s">
        <v>739</v>
      </c>
      <c r="N132" s="1">
        <v>7004</v>
      </c>
      <c r="O132" s="1" t="s">
        <v>2641</v>
      </c>
      <c r="P132" s="1"/>
      <c r="W132" s="1" t="s">
        <v>1245</v>
      </c>
      <c r="X132" s="1" t="s">
        <v>1240</v>
      </c>
      <c r="Z132" t="s">
        <v>799</v>
      </c>
      <c r="AA132">
        <v>7064</v>
      </c>
      <c r="AB132" t="s">
        <v>2465</v>
      </c>
      <c r="AC132" t="s">
        <v>3351</v>
      </c>
    </row>
    <row r="133" spans="1:29">
      <c r="E133" s="1">
        <v>43</v>
      </c>
      <c r="F133" s="1" t="s">
        <v>1012</v>
      </c>
      <c r="G133" s="51"/>
      <c r="H133" s="1">
        <v>43</v>
      </c>
      <c r="I133" s="1" t="s">
        <v>3350</v>
      </c>
      <c r="J133" s="1"/>
      <c r="M133" s="1" t="s">
        <v>740</v>
      </c>
      <c r="N133" s="1">
        <v>7005</v>
      </c>
      <c r="O133" s="1" t="s">
        <v>2637</v>
      </c>
      <c r="P133" s="1"/>
      <c r="W133" s="1" t="s">
        <v>1509</v>
      </c>
      <c r="X133" s="1" t="s">
        <v>1241</v>
      </c>
      <c r="Z133" t="s">
        <v>800</v>
      </c>
      <c r="AA133">
        <v>7065</v>
      </c>
      <c r="AB133" t="s">
        <v>2463</v>
      </c>
      <c r="AC133" t="s">
        <v>3349</v>
      </c>
    </row>
    <row r="134" spans="1:29">
      <c r="E134" s="1">
        <v>44</v>
      </c>
      <c r="F134" s="1" t="s">
        <v>1035</v>
      </c>
      <c r="G134" s="51"/>
      <c r="H134" s="1">
        <v>44</v>
      </c>
      <c r="I134" s="1" t="s">
        <v>3348</v>
      </c>
      <c r="J134" s="1"/>
      <c r="M134" s="1" t="s">
        <v>741</v>
      </c>
      <c r="N134" s="1">
        <v>7006</v>
      </c>
      <c r="O134" s="1" t="s">
        <v>2633</v>
      </c>
      <c r="P134" s="1"/>
      <c r="W134" s="1" t="s">
        <v>1516</v>
      </c>
      <c r="X134" s="1" t="s">
        <v>1242</v>
      </c>
      <c r="Z134" t="s">
        <v>801</v>
      </c>
      <c r="AA134">
        <v>7066</v>
      </c>
      <c r="AB134" t="s">
        <v>2461</v>
      </c>
      <c r="AC134" t="s">
        <v>3347</v>
      </c>
    </row>
    <row r="135" spans="1:29">
      <c r="E135" s="1">
        <v>45</v>
      </c>
      <c r="F135" s="1" t="s">
        <v>1014</v>
      </c>
      <c r="G135" s="51"/>
      <c r="H135" s="1">
        <v>45</v>
      </c>
      <c r="I135" s="1" t="s">
        <v>3346</v>
      </c>
      <c r="J135" s="1"/>
      <c r="M135" s="1" t="s">
        <v>742</v>
      </c>
      <c r="N135" s="1">
        <v>7007</v>
      </c>
      <c r="O135" s="1" t="s">
        <v>2629</v>
      </c>
      <c r="P135" s="1"/>
      <c r="W135" s="1" t="s">
        <v>1524</v>
      </c>
      <c r="X135" s="1" t="s">
        <v>1243</v>
      </c>
      <c r="Z135" t="s">
        <v>802</v>
      </c>
      <c r="AA135">
        <v>7067</v>
      </c>
      <c r="AB135" t="s">
        <v>2459</v>
      </c>
      <c r="AC135" t="s">
        <v>3345</v>
      </c>
    </row>
    <row r="136" spans="1:29">
      <c r="E136" s="1">
        <v>46</v>
      </c>
      <c r="F136" s="1" t="s">
        <v>1016</v>
      </c>
      <c r="G136" s="51"/>
      <c r="H136" s="1">
        <v>46</v>
      </c>
      <c r="I136" s="1" t="s">
        <v>3344</v>
      </c>
      <c r="J136" s="1"/>
      <c r="M136" s="1" t="s">
        <v>743</v>
      </c>
      <c r="N136" s="1">
        <v>7008</v>
      </c>
      <c r="O136" s="1" t="s">
        <v>2625</v>
      </c>
      <c r="P136" s="1"/>
      <c r="W136" s="1" t="s">
        <v>1252</v>
      </c>
      <c r="X136" s="1" t="s">
        <v>1248</v>
      </c>
      <c r="Z136" t="s">
        <v>803</v>
      </c>
      <c r="AA136">
        <v>7068</v>
      </c>
      <c r="AB136" t="s">
        <v>2457</v>
      </c>
      <c r="AC136" t="s">
        <v>3343</v>
      </c>
    </row>
    <row r="137" spans="1:29">
      <c r="E137" s="1">
        <v>47</v>
      </c>
      <c r="F137" s="1" t="s">
        <v>1018</v>
      </c>
      <c r="G137" s="51"/>
      <c r="H137" s="1">
        <v>47</v>
      </c>
      <c r="I137" s="1" t="s">
        <v>3342</v>
      </c>
      <c r="J137" s="1"/>
      <c r="M137" s="1" t="s">
        <v>744</v>
      </c>
      <c r="N137" s="1">
        <v>7009</v>
      </c>
      <c r="O137" s="1" t="s">
        <v>2621</v>
      </c>
      <c r="P137" s="1"/>
      <c r="W137" s="1" t="s">
        <v>1538</v>
      </c>
      <c r="X137" s="1" t="s">
        <v>1249</v>
      </c>
      <c r="Z137" t="s">
        <v>804</v>
      </c>
      <c r="AA137">
        <v>7069</v>
      </c>
      <c r="AB137" t="s">
        <v>2455</v>
      </c>
      <c r="AC137" t="s">
        <v>3341</v>
      </c>
    </row>
    <row r="138" spans="1:29">
      <c r="E138" s="1">
        <v>48</v>
      </c>
      <c r="F138" s="1" t="s">
        <v>1036</v>
      </c>
      <c r="G138" s="51"/>
      <c r="H138" s="1">
        <v>48</v>
      </c>
      <c r="I138" s="1" t="s">
        <v>3340</v>
      </c>
      <c r="J138" s="1"/>
      <c r="M138" s="1" t="s">
        <v>745</v>
      </c>
      <c r="N138" s="1">
        <v>7010</v>
      </c>
      <c r="O138" s="1" t="s">
        <v>2617</v>
      </c>
      <c r="P138" s="1"/>
      <c r="W138" s="1" t="s">
        <v>1545</v>
      </c>
      <c r="X138" s="1" t="s">
        <v>1250</v>
      </c>
      <c r="Z138" t="s">
        <v>805</v>
      </c>
      <c r="AA138">
        <v>7070</v>
      </c>
      <c r="AB138" t="s">
        <v>2453</v>
      </c>
      <c r="AC138" t="s">
        <v>3339</v>
      </c>
    </row>
    <row r="139" spans="1:29" ht="15.75" thickBot="1">
      <c r="M139" s="1" t="s">
        <v>746</v>
      </c>
      <c r="N139" s="1">
        <v>7011</v>
      </c>
      <c r="O139" s="1" t="s">
        <v>2613</v>
      </c>
      <c r="P139" s="1"/>
      <c r="W139" s="1" t="s">
        <v>1552</v>
      </c>
      <c r="X139" s="1" t="s">
        <v>1251</v>
      </c>
      <c r="Z139" t="s">
        <v>806</v>
      </c>
      <c r="AA139">
        <v>7071</v>
      </c>
      <c r="AB139" t="s">
        <v>2451</v>
      </c>
      <c r="AC139" t="s">
        <v>3338</v>
      </c>
    </row>
    <row r="140" spans="1:29" ht="15.75" thickBot="1">
      <c r="A140" s="826" t="s">
        <v>3337</v>
      </c>
      <c r="B140" s="827"/>
      <c r="C140" s="827"/>
      <c r="D140" s="827"/>
      <c r="E140" s="827"/>
      <c r="F140" s="827"/>
      <c r="G140" s="827"/>
      <c r="H140" s="827"/>
      <c r="I140" s="828"/>
      <c r="M140" s="1" t="s">
        <v>747</v>
      </c>
      <c r="N140" s="1">
        <v>7012</v>
      </c>
      <c r="O140" s="1" t="s">
        <v>2609</v>
      </c>
      <c r="P140" s="1"/>
      <c r="W140" s="1" t="s">
        <v>1260</v>
      </c>
      <c r="X140" s="1" t="s">
        <v>1254</v>
      </c>
      <c r="Z140" t="s">
        <v>807</v>
      </c>
      <c r="AA140">
        <v>7072</v>
      </c>
      <c r="AB140" t="s">
        <v>2449</v>
      </c>
      <c r="AC140" t="s">
        <v>3336</v>
      </c>
    </row>
    <row r="141" spans="1:29">
      <c r="A141" s="675" t="s">
        <v>162</v>
      </c>
      <c r="B141" s="674" t="s">
        <v>318</v>
      </c>
      <c r="C141" s="673" t="s">
        <v>319</v>
      </c>
      <c r="D141" s="672" t="s">
        <v>3335</v>
      </c>
      <c r="E141" s="672" t="s">
        <v>3334</v>
      </c>
      <c r="F141" s="672" t="s">
        <v>3333</v>
      </c>
      <c r="G141" s="672" t="s">
        <v>3332</v>
      </c>
      <c r="H141" s="672" t="s">
        <v>3331</v>
      </c>
      <c r="I141" s="671" t="s">
        <v>3330</v>
      </c>
      <c r="M141" s="140" t="s">
        <v>748</v>
      </c>
      <c r="N141" s="140">
        <v>7013</v>
      </c>
      <c r="O141" s="140" t="s">
        <v>2605</v>
      </c>
      <c r="P141" s="140" t="s">
        <v>209</v>
      </c>
      <c r="W141" s="1" t="s">
        <v>1567</v>
      </c>
      <c r="X141" s="1" t="s">
        <v>1255</v>
      </c>
      <c r="Z141" t="s">
        <v>233</v>
      </c>
      <c r="AA141">
        <v>7073</v>
      </c>
      <c r="AB141" t="s">
        <v>2447</v>
      </c>
      <c r="AC141" t="s">
        <v>3329</v>
      </c>
    </row>
    <row r="142" spans="1:29">
      <c r="A142" s="230"/>
      <c r="B142" s="2"/>
      <c r="C142" s="217"/>
      <c r="D142" s="670" t="s">
        <v>142</v>
      </c>
      <c r="E142" s="670" t="s">
        <v>143</v>
      </c>
      <c r="F142" s="670" t="s">
        <v>144</v>
      </c>
      <c r="G142" s="670" t="s">
        <v>145</v>
      </c>
      <c r="H142" s="670" t="s">
        <v>146</v>
      </c>
      <c r="I142" s="669" t="s">
        <v>148</v>
      </c>
      <c r="M142" s="140" t="s">
        <v>749</v>
      </c>
      <c r="N142" s="140">
        <v>7014</v>
      </c>
      <c r="O142" s="140" t="s">
        <v>2601</v>
      </c>
      <c r="P142" s="140" t="s">
        <v>844</v>
      </c>
      <c r="W142" s="1" t="s">
        <v>1575</v>
      </c>
      <c r="X142" s="1" t="s">
        <v>1256</v>
      </c>
      <c r="Z142" t="s">
        <v>234</v>
      </c>
      <c r="AA142">
        <v>7074</v>
      </c>
      <c r="AB142" t="s">
        <v>2445</v>
      </c>
      <c r="AC142" s="667" t="s">
        <v>3328</v>
      </c>
    </row>
    <row r="143" spans="1:29">
      <c r="A143" s="231" t="s">
        <v>918</v>
      </c>
      <c r="B143" s="206"/>
      <c r="C143" s="206"/>
      <c r="D143" s="1"/>
      <c r="E143" s="1"/>
      <c r="F143" s="1"/>
      <c r="G143" s="1"/>
      <c r="H143" s="1" t="s">
        <v>704</v>
      </c>
      <c r="I143" s="156" t="s">
        <v>920</v>
      </c>
      <c r="M143" s="1" t="s">
        <v>750</v>
      </c>
      <c r="N143" s="1">
        <v>7015</v>
      </c>
      <c r="O143" s="1" t="s">
        <v>2597</v>
      </c>
      <c r="P143" s="1"/>
      <c r="W143" s="1" t="s">
        <v>1582</v>
      </c>
      <c r="X143" s="1" t="s">
        <v>1257</v>
      </c>
      <c r="Z143" t="s">
        <v>235</v>
      </c>
      <c r="AA143">
        <v>7075</v>
      </c>
      <c r="AB143" t="s">
        <v>2443</v>
      </c>
      <c r="AC143" t="s">
        <v>3327</v>
      </c>
    </row>
    <row r="144" spans="1:29">
      <c r="A144" s="209" t="s">
        <v>3326</v>
      </c>
      <c r="B144" s="83" t="s">
        <v>76</v>
      </c>
      <c r="C144" s="144" t="s">
        <v>342</v>
      </c>
      <c r="D144" s="1"/>
      <c r="E144" s="1"/>
      <c r="F144" s="1"/>
      <c r="G144" s="1"/>
      <c r="H144" s="1"/>
      <c r="I144" s="156"/>
      <c r="M144" s="140" t="s">
        <v>751</v>
      </c>
      <c r="N144" s="140">
        <v>7016</v>
      </c>
      <c r="O144" s="140" t="s">
        <v>2593</v>
      </c>
      <c r="P144" s="140" t="s">
        <v>896</v>
      </c>
      <c r="W144" s="1" t="s">
        <v>1268</v>
      </c>
      <c r="X144" s="1" t="s">
        <v>1263</v>
      </c>
      <c r="Z144" t="s">
        <v>236</v>
      </c>
      <c r="AA144">
        <v>7076</v>
      </c>
      <c r="AB144" t="s">
        <v>2441</v>
      </c>
      <c r="AC144" t="s">
        <v>3325</v>
      </c>
    </row>
    <row r="145" spans="1:29">
      <c r="A145" s="209" t="s">
        <v>3324</v>
      </c>
      <c r="B145" s="83" t="s">
        <v>77</v>
      </c>
      <c r="C145" s="144" t="s">
        <v>351</v>
      </c>
      <c r="D145" s="1"/>
      <c r="E145" s="1"/>
      <c r="F145" s="1"/>
      <c r="G145" s="1"/>
      <c r="H145" s="1"/>
      <c r="I145" s="156"/>
      <c r="M145" s="1" t="s">
        <v>752</v>
      </c>
      <c r="N145" s="1">
        <v>7017</v>
      </c>
      <c r="O145" s="1" t="s">
        <v>2589</v>
      </c>
      <c r="P145" s="1"/>
      <c r="W145" s="1" t="s">
        <v>1596</v>
      </c>
      <c r="X145" s="1" t="s">
        <v>1264</v>
      </c>
      <c r="Z145" t="s">
        <v>237</v>
      </c>
      <c r="AA145">
        <v>7077</v>
      </c>
      <c r="AB145" t="s">
        <v>2439</v>
      </c>
      <c r="AC145" t="s">
        <v>3323</v>
      </c>
    </row>
    <row r="146" spans="1:29">
      <c r="A146" s="209" t="s">
        <v>3322</v>
      </c>
      <c r="B146" s="144" t="s">
        <v>78</v>
      </c>
      <c r="C146" s="144" t="s">
        <v>360</v>
      </c>
      <c r="D146" s="1"/>
      <c r="E146" s="1"/>
      <c r="F146" s="1"/>
      <c r="G146" s="1"/>
      <c r="H146" s="1"/>
      <c r="I146" s="156"/>
      <c r="M146" s="1" t="s">
        <v>753</v>
      </c>
      <c r="N146" s="1">
        <v>7018</v>
      </c>
      <c r="O146" s="1" t="s">
        <v>2585</v>
      </c>
      <c r="P146" s="1"/>
      <c r="W146" s="1" t="s">
        <v>1605</v>
      </c>
      <c r="X146" s="1" t="s">
        <v>1265</v>
      </c>
      <c r="Z146" t="s">
        <v>238</v>
      </c>
      <c r="AA146">
        <v>7078</v>
      </c>
      <c r="AB146" t="s">
        <v>2437</v>
      </c>
      <c r="AC146" t="s">
        <v>3321</v>
      </c>
    </row>
    <row r="147" spans="1:29" ht="15.75" thickBot="1">
      <c r="A147" s="215" t="s">
        <v>3320</v>
      </c>
      <c r="B147" s="216" t="s">
        <v>86</v>
      </c>
      <c r="C147" s="668" t="s">
        <v>432</v>
      </c>
      <c r="D147" s="167"/>
      <c r="E147" s="167"/>
      <c r="F147" s="167"/>
      <c r="G147" s="167"/>
      <c r="H147" s="167"/>
      <c r="I147" s="655"/>
      <c r="M147" s="1" t="s">
        <v>754</v>
      </c>
      <c r="N147" s="1">
        <v>7019</v>
      </c>
      <c r="O147" s="1" t="s">
        <v>2581</v>
      </c>
      <c r="P147" s="1"/>
      <c r="W147" s="1" t="s">
        <v>1613</v>
      </c>
      <c r="X147" s="1" t="s">
        <v>1266</v>
      </c>
      <c r="Z147" t="s">
        <v>239</v>
      </c>
      <c r="AA147">
        <v>7079</v>
      </c>
      <c r="AB147" t="s">
        <v>2435</v>
      </c>
      <c r="AC147" t="s">
        <v>3319</v>
      </c>
    </row>
    <row r="148" spans="1:29">
      <c r="M148" s="1" t="s">
        <v>755</v>
      </c>
      <c r="N148" s="1">
        <v>7020</v>
      </c>
      <c r="O148" s="1" t="s">
        <v>2577</v>
      </c>
      <c r="P148" s="1"/>
      <c r="W148" s="1" t="s">
        <v>1275</v>
      </c>
      <c r="X148" s="1" t="s">
        <v>1270</v>
      </c>
      <c r="Z148" t="s">
        <v>240</v>
      </c>
      <c r="AA148">
        <v>7080</v>
      </c>
      <c r="AB148" t="s">
        <v>1564</v>
      </c>
      <c r="AC148" t="s">
        <v>1990</v>
      </c>
    </row>
    <row r="149" spans="1:29" ht="28.5" customHeight="1">
      <c r="A149" s="829" t="s">
        <v>3318</v>
      </c>
      <c r="B149" s="829"/>
      <c r="C149" s="829"/>
      <c r="D149" s="829"/>
      <c r="E149" s="829"/>
      <c r="F149" s="829"/>
      <c r="G149" s="829"/>
      <c r="M149" s="1" t="s">
        <v>756</v>
      </c>
      <c r="N149" s="1">
        <v>7021</v>
      </c>
      <c r="O149" s="1" t="s">
        <v>2574</v>
      </c>
      <c r="P149" s="1"/>
      <c r="W149" s="1" t="s">
        <v>1627</v>
      </c>
      <c r="X149" s="1" t="s">
        <v>1271</v>
      </c>
      <c r="Z149" t="s">
        <v>241</v>
      </c>
      <c r="AA149">
        <v>7081</v>
      </c>
      <c r="AB149" t="s">
        <v>2432</v>
      </c>
      <c r="AC149" t="s">
        <v>3317</v>
      </c>
    </row>
    <row r="150" spans="1:29">
      <c r="A150" s="830" t="s">
        <v>3316</v>
      </c>
      <c r="B150" s="830"/>
      <c r="C150" s="830"/>
      <c r="D150" s="830"/>
      <c r="E150" s="830"/>
      <c r="F150" s="830"/>
      <c r="G150" s="830"/>
      <c r="M150" s="140" t="s">
        <v>757</v>
      </c>
      <c r="N150" s="140">
        <v>7022</v>
      </c>
      <c r="O150" s="140" t="s">
        <v>2570</v>
      </c>
      <c r="P150" s="140" t="s">
        <v>202</v>
      </c>
      <c r="W150" s="1" t="s">
        <v>1636</v>
      </c>
      <c r="X150" s="1" t="s">
        <v>1272</v>
      </c>
      <c r="Z150" t="s">
        <v>242</v>
      </c>
      <c r="AA150">
        <v>7082</v>
      </c>
      <c r="AB150" t="s">
        <v>2430</v>
      </c>
      <c r="AC150" t="s">
        <v>3315</v>
      </c>
    </row>
    <row r="151" spans="1:29" ht="75">
      <c r="A151" s="1" t="s">
        <v>3208</v>
      </c>
      <c r="B151" s="1" t="s">
        <v>3205</v>
      </c>
      <c r="C151" s="23" t="s">
        <v>3207</v>
      </c>
      <c r="D151" s="1" t="s">
        <v>3206</v>
      </c>
      <c r="E151" s="1" t="s">
        <v>3205</v>
      </c>
      <c r="F151" s="23" t="s">
        <v>3003</v>
      </c>
      <c r="G151" s="23" t="s">
        <v>3002</v>
      </c>
      <c r="M151" s="1" t="s">
        <v>758</v>
      </c>
      <c r="N151" s="1">
        <v>7023</v>
      </c>
      <c r="O151" s="1" t="s">
        <v>2566</v>
      </c>
      <c r="P151" s="1"/>
      <c r="W151" s="1" t="s">
        <v>1645</v>
      </c>
      <c r="X151" s="1" t="s">
        <v>1273</v>
      </c>
      <c r="Z151" t="s">
        <v>243</v>
      </c>
      <c r="AA151">
        <v>7083</v>
      </c>
      <c r="AB151" t="s">
        <v>2428</v>
      </c>
      <c r="AC151" t="s">
        <v>3314</v>
      </c>
    </row>
    <row r="152" spans="1:29">
      <c r="A152" s="1" t="s">
        <v>16</v>
      </c>
      <c r="B152" s="1" t="s">
        <v>3312</v>
      </c>
      <c r="C152" s="1" t="s">
        <v>3313</v>
      </c>
      <c r="D152" s="1" t="s">
        <v>41</v>
      </c>
      <c r="E152" s="1" t="s">
        <v>3312</v>
      </c>
      <c r="F152" s="1" t="s">
        <v>3311</v>
      </c>
      <c r="G152" s="1" t="s">
        <v>3310</v>
      </c>
      <c r="M152" s="1" t="s">
        <v>759</v>
      </c>
      <c r="N152" s="1">
        <v>7024</v>
      </c>
      <c r="O152" s="1" t="s">
        <v>2562</v>
      </c>
      <c r="P152" s="1"/>
      <c r="W152" s="1" t="s">
        <v>1281</v>
      </c>
      <c r="X152" s="1" t="s">
        <v>1277</v>
      </c>
      <c r="Z152" t="s">
        <v>244</v>
      </c>
      <c r="AA152">
        <v>7084</v>
      </c>
      <c r="AB152" t="s">
        <v>2426</v>
      </c>
      <c r="AC152" t="s">
        <v>3309</v>
      </c>
    </row>
    <row r="153" spans="1:29">
      <c r="A153" s="1" t="s">
        <v>3308</v>
      </c>
      <c r="B153" s="1" t="s">
        <v>3305</v>
      </c>
      <c r="C153" s="1" t="s">
        <v>3307</v>
      </c>
      <c r="D153" s="1" t="s">
        <v>3306</v>
      </c>
      <c r="E153" s="1" t="s">
        <v>3305</v>
      </c>
      <c r="F153" s="1" t="s">
        <v>3304</v>
      </c>
      <c r="G153" s="1" t="s">
        <v>3303</v>
      </c>
      <c r="M153" s="1" t="s">
        <v>760</v>
      </c>
      <c r="N153" s="1">
        <v>7025</v>
      </c>
      <c r="O153" s="1" t="s">
        <v>2558</v>
      </c>
      <c r="P153" s="1"/>
      <c r="W153" s="1" t="s">
        <v>1659</v>
      </c>
      <c r="X153" s="1" t="s">
        <v>1278</v>
      </c>
      <c r="Z153" t="s">
        <v>245</v>
      </c>
      <c r="AA153">
        <v>7085</v>
      </c>
      <c r="AB153" t="s">
        <v>2424</v>
      </c>
      <c r="AC153" t="s">
        <v>3302</v>
      </c>
    </row>
    <row r="154" spans="1:29">
      <c r="A154" s="1" t="s">
        <v>3301</v>
      </c>
      <c r="B154" s="1" t="s">
        <v>3298</v>
      </c>
      <c r="C154" s="1" t="s">
        <v>3300</v>
      </c>
      <c r="D154" s="1" t="s">
        <v>3299</v>
      </c>
      <c r="E154" s="1" t="s">
        <v>3298</v>
      </c>
      <c r="F154" s="1" t="s">
        <v>3297</v>
      </c>
      <c r="G154" s="1" t="s">
        <v>3296</v>
      </c>
      <c r="M154" s="140" t="s">
        <v>761</v>
      </c>
      <c r="N154" s="140">
        <v>7026</v>
      </c>
      <c r="O154" s="140" t="s">
        <v>2554</v>
      </c>
      <c r="P154" s="140" t="s">
        <v>640</v>
      </c>
      <c r="W154" s="1" t="s">
        <v>1667</v>
      </c>
      <c r="X154" s="1" t="s">
        <v>1279</v>
      </c>
      <c r="Z154" t="s">
        <v>246</v>
      </c>
      <c r="AA154">
        <v>7086</v>
      </c>
      <c r="AB154" t="s">
        <v>2422</v>
      </c>
      <c r="AC154" t="s">
        <v>3295</v>
      </c>
    </row>
    <row r="155" spans="1:29">
      <c r="A155" s="1" t="s">
        <v>3294</v>
      </c>
      <c r="B155" s="1" t="s">
        <v>3291</v>
      </c>
      <c r="C155" s="1" t="s">
        <v>3293</v>
      </c>
      <c r="D155" s="1" t="s">
        <v>3292</v>
      </c>
      <c r="E155" s="1" t="s">
        <v>3291</v>
      </c>
      <c r="F155" s="1" t="s">
        <v>3290</v>
      </c>
      <c r="G155" s="1" t="s">
        <v>3289</v>
      </c>
      <c r="M155" s="1" t="s">
        <v>762</v>
      </c>
      <c r="N155" s="1">
        <v>7027</v>
      </c>
      <c r="O155" s="1" t="s">
        <v>2550</v>
      </c>
      <c r="P155" s="1"/>
      <c r="W155" s="1" t="s">
        <v>1676</v>
      </c>
      <c r="X155" s="1" t="s">
        <v>1280</v>
      </c>
      <c r="Z155" t="s">
        <v>247</v>
      </c>
      <c r="AA155">
        <v>7087</v>
      </c>
      <c r="AB155" t="s">
        <v>2420</v>
      </c>
      <c r="AC155" t="s">
        <v>3288</v>
      </c>
    </row>
    <row r="156" spans="1:29">
      <c r="A156" s="1" t="s">
        <v>3287</v>
      </c>
      <c r="B156" s="1" t="s">
        <v>3284</v>
      </c>
      <c r="C156" s="1" t="s">
        <v>3286</v>
      </c>
      <c r="D156" s="1" t="s">
        <v>3285</v>
      </c>
      <c r="E156" s="1" t="s">
        <v>3284</v>
      </c>
      <c r="F156" s="1" t="s">
        <v>3283</v>
      </c>
      <c r="G156" s="1" t="s">
        <v>3282</v>
      </c>
      <c r="M156" s="1" t="s">
        <v>763</v>
      </c>
      <c r="N156" s="1">
        <v>7028</v>
      </c>
      <c r="O156" s="1" t="s">
        <v>2546</v>
      </c>
      <c r="P156" s="1"/>
      <c r="W156" s="1" t="s">
        <v>1289</v>
      </c>
      <c r="X156" s="1" t="s">
        <v>1284</v>
      </c>
      <c r="Z156" t="s">
        <v>248</v>
      </c>
      <c r="AA156">
        <v>7088</v>
      </c>
      <c r="AB156" t="s">
        <v>2418</v>
      </c>
      <c r="AC156" t="s">
        <v>3281</v>
      </c>
    </row>
    <row r="157" spans="1:29">
      <c r="A157" s="1" t="s">
        <v>3280</v>
      </c>
      <c r="B157" s="1" t="s">
        <v>3277</v>
      </c>
      <c r="C157" s="1" t="s">
        <v>3279</v>
      </c>
      <c r="D157" s="1" t="s">
        <v>3278</v>
      </c>
      <c r="E157" s="1" t="s">
        <v>3277</v>
      </c>
      <c r="F157" s="1" t="s">
        <v>3276</v>
      </c>
      <c r="G157" s="1" t="s">
        <v>3275</v>
      </c>
      <c r="M157" s="140" t="s">
        <v>764</v>
      </c>
      <c r="N157" s="140">
        <v>7029</v>
      </c>
      <c r="O157" s="140" t="s">
        <v>2542</v>
      </c>
      <c r="P157" s="140" t="s">
        <v>846</v>
      </c>
      <c r="W157" s="1" t="s">
        <v>1691</v>
      </c>
      <c r="X157" s="1" t="s">
        <v>1285</v>
      </c>
      <c r="Z157" t="s">
        <v>249</v>
      </c>
      <c r="AA157">
        <v>7089</v>
      </c>
      <c r="AB157" t="s">
        <v>2416</v>
      </c>
      <c r="AC157" t="s">
        <v>3274</v>
      </c>
    </row>
    <row r="158" spans="1:29">
      <c r="A158" s="1" t="s">
        <v>3273</v>
      </c>
      <c r="B158" s="1" t="s">
        <v>3270</v>
      </c>
      <c r="C158" s="1" t="s">
        <v>3272</v>
      </c>
      <c r="D158" s="1" t="s">
        <v>3271</v>
      </c>
      <c r="E158" s="1" t="s">
        <v>3270</v>
      </c>
      <c r="F158" s="1" t="s">
        <v>3269</v>
      </c>
      <c r="G158" s="1" t="s">
        <v>3268</v>
      </c>
      <c r="M158" s="1" t="s">
        <v>765</v>
      </c>
      <c r="N158" s="1">
        <v>7030</v>
      </c>
      <c r="O158" s="1" t="s">
        <v>2538</v>
      </c>
      <c r="P158" s="1"/>
      <c r="W158" s="1" t="s">
        <v>1699</v>
      </c>
      <c r="X158" s="1" t="s">
        <v>1286</v>
      </c>
      <c r="Z158" t="s">
        <v>250</v>
      </c>
      <c r="AA158">
        <v>7090</v>
      </c>
      <c r="AB158" t="s">
        <v>2414</v>
      </c>
      <c r="AC158" t="s">
        <v>3267</v>
      </c>
    </row>
    <row r="159" spans="1:29">
      <c r="A159" s="1" t="s">
        <v>3266</v>
      </c>
      <c r="B159" s="1" t="s">
        <v>3263</v>
      </c>
      <c r="C159" s="1" t="s">
        <v>3265</v>
      </c>
      <c r="D159" s="1" t="s">
        <v>3264</v>
      </c>
      <c r="E159" s="1" t="s">
        <v>3263</v>
      </c>
      <c r="F159" s="1" t="s">
        <v>3262</v>
      </c>
      <c r="G159" s="1" t="s">
        <v>626</v>
      </c>
      <c r="M159" s="140" t="s">
        <v>766</v>
      </c>
      <c r="N159" s="140">
        <v>7031</v>
      </c>
      <c r="O159" s="140" t="s">
        <v>2534</v>
      </c>
      <c r="P159" s="140" t="s">
        <v>724</v>
      </c>
      <c r="W159" s="1" t="s">
        <v>1709</v>
      </c>
      <c r="X159" s="1" t="s">
        <v>1287</v>
      </c>
      <c r="Z159" t="s">
        <v>251</v>
      </c>
      <c r="AA159">
        <v>7091</v>
      </c>
      <c r="AB159" t="s">
        <v>2412</v>
      </c>
      <c r="AC159" t="s">
        <v>3261</v>
      </c>
    </row>
    <row r="160" spans="1:29">
      <c r="A160" s="1" t="s">
        <v>3260</v>
      </c>
      <c r="B160" s="1" t="s">
        <v>3258</v>
      </c>
      <c r="C160" s="1" t="s">
        <v>3259</v>
      </c>
      <c r="D160" s="1" t="s">
        <v>45</v>
      </c>
      <c r="E160" s="1" t="s">
        <v>3258</v>
      </c>
      <c r="F160" s="1" t="s">
        <v>3257</v>
      </c>
      <c r="G160" s="1" t="s">
        <v>3256</v>
      </c>
      <c r="M160" s="1" t="s">
        <v>767</v>
      </c>
      <c r="N160" s="1">
        <v>7032</v>
      </c>
      <c r="O160" s="1" t="s">
        <v>2530</v>
      </c>
      <c r="P160" s="1"/>
      <c r="W160" s="1" t="s">
        <v>1297</v>
      </c>
      <c r="X160" s="1" t="s">
        <v>1291</v>
      </c>
      <c r="Z160" t="s">
        <v>252</v>
      </c>
      <c r="AA160">
        <v>7092</v>
      </c>
      <c r="AB160" t="s">
        <v>2410</v>
      </c>
      <c r="AC160" t="s">
        <v>3255</v>
      </c>
    </row>
    <row r="161" spans="1:29">
      <c r="A161" s="1" t="s">
        <v>3254</v>
      </c>
      <c r="B161" s="1" t="s">
        <v>3251</v>
      </c>
      <c r="C161" s="1" t="s">
        <v>3253</v>
      </c>
      <c r="D161" s="1" t="s">
        <v>3252</v>
      </c>
      <c r="E161" s="1" t="s">
        <v>3251</v>
      </c>
      <c r="F161" s="1" t="s">
        <v>3250</v>
      </c>
      <c r="G161" s="1" t="s">
        <v>3249</v>
      </c>
      <c r="M161" s="1" t="s">
        <v>768</v>
      </c>
      <c r="N161" s="1">
        <v>7033</v>
      </c>
      <c r="O161" s="1" t="s">
        <v>2526</v>
      </c>
      <c r="P161" s="1"/>
      <c r="W161" s="1" t="s">
        <v>1723</v>
      </c>
      <c r="X161" s="1" t="s">
        <v>1292</v>
      </c>
      <c r="Z161" t="s">
        <v>253</v>
      </c>
      <c r="AA161">
        <v>7093</v>
      </c>
      <c r="AB161" t="s">
        <v>2408</v>
      </c>
      <c r="AC161" t="s">
        <v>3248</v>
      </c>
    </row>
    <row r="162" spans="1:29">
      <c r="A162" s="1" t="s">
        <v>3247</v>
      </c>
      <c r="B162" s="1" t="s">
        <v>3244</v>
      </c>
      <c r="C162" s="1" t="s">
        <v>3246</v>
      </c>
      <c r="D162" s="1" t="s">
        <v>3245</v>
      </c>
      <c r="E162" s="1" t="s">
        <v>3244</v>
      </c>
      <c r="F162" s="1" t="s">
        <v>3243</v>
      </c>
      <c r="G162" s="1" t="s">
        <v>3242</v>
      </c>
      <c r="M162" s="1" t="s">
        <v>769</v>
      </c>
      <c r="N162" s="1">
        <v>7034</v>
      </c>
      <c r="O162" s="1" t="s">
        <v>2525</v>
      </c>
      <c r="P162" s="1"/>
      <c r="W162" s="1" t="s">
        <v>1730</v>
      </c>
      <c r="X162" s="1" t="s">
        <v>1293</v>
      </c>
      <c r="Z162" t="s">
        <v>254</v>
      </c>
      <c r="AA162">
        <v>7094</v>
      </c>
      <c r="AB162" t="s">
        <v>2406</v>
      </c>
      <c r="AC162" t="s">
        <v>3241</v>
      </c>
    </row>
    <row r="163" spans="1:29">
      <c r="A163" s="1" t="s">
        <v>3240</v>
      </c>
      <c r="B163" s="1" t="s">
        <v>3237</v>
      </c>
      <c r="C163" s="1" t="s">
        <v>3239</v>
      </c>
      <c r="D163" s="1" t="s">
        <v>3238</v>
      </c>
      <c r="E163" s="1" t="s">
        <v>3237</v>
      </c>
      <c r="F163" s="1" t="s">
        <v>3236</v>
      </c>
      <c r="G163" s="1" t="s">
        <v>3235</v>
      </c>
      <c r="M163" s="1" t="s">
        <v>770</v>
      </c>
      <c r="N163" s="1">
        <v>7035</v>
      </c>
      <c r="O163" s="1" t="s">
        <v>2524</v>
      </c>
      <c r="P163" s="1"/>
      <c r="W163" s="1" t="s">
        <v>1737</v>
      </c>
      <c r="X163" s="1" t="s">
        <v>1294</v>
      </c>
      <c r="Z163" t="s">
        <v>255</v>
      </c>
      <c r="AA163">
        <v>7095</v>
      </c>
      <c r="AB163" t="s">
        <v>2404</v>
      </c>
      <c r="AC163" s="667" t="s">
        <v>3234</v>
      </c>
    </row>
    <row r="164" spans="1:29">
      <c r="A164" s="1" t="s">
        <v>3233</v>
      </c>
      <c r="B164" s="1" t="s">
        <v>3230</v>
      </c>
      <c r="C164" s="1" t="s">
        <v>3232</v>
      </c>
      <c r="D164" s="1" t="s">
        <v>3231</v>
      </c>
      <c r="E164" s="1" t="s">
        <v>3230</v>
      </c>
      <c r="F164" s="1" t="s">
        <v>3229</v>
      </c>
      <c r="G164" s="1" t="s">
        <v>3228</v>
      </c>
      <c r="M164" s="1" t="s">
        <v>771</v>
      </c>
      <c r="N164" s="1">
        <v>7036</v>
      </c>
      <c r="O164" s="1" t="s">
        <v>2522</v>
      </c>
      <c r="P164" s="1"/>
      <c r="W164" s="1" t="s">
        <v>1304</v>
      </c>
      <c r="X164" s="1" t="s">
        <v>1299</v>
      </c>
      <c r="Z164" t="s">
        <v>256</v>
      </c>
      <c r="AA164">
        <v>7096</v>
      </c>
      <c r="AB164" t="s">
        <v>2402</v>
      </c>
      <c r="AC164" t="s">
        <v>1984</v>
      </c>
    </row>
    <row r="165" spans="1:29">
      <c r="A165" s="1" t="s">
        <v>3227</v>
      </c>
      <c r="B165" s="1" t="s">
        <v>3224</v>
      </c>
      <c r="C165" s="1" t="s">
        <v>3226</v>
      </c>
      <c r="D165" s="1" t="s">
        <v>3225</v>
      </c>
      <c r="E165" s="1" t="s">
        <v>3224</v>
      </c>
      <c r="F165" s="1" t="s">
        <v>3223</v>
      </c>
      <c r="G165" s="1" t="s">
        <v>3222</v>
      </c>
      <c r="M165" s="1" t="s">
        <v>772</v>
      </c>
      <c r="N165" s="1">
        <v>7037</v>
      </c>
      <c r="O165" s="1" t="s">
        <v>2520</v>
      </c>
      <c r="P165" s="1"/>
      <c r="W165" s="1" t="s">
        <v>1751</v>
      </c>
      <c r="X165" s="1" t="s">
        <v>1300</v>
      </c>
    </row>
    <row r="166" spans="1:29">
      <c r="A166" s="1" t="s">
        <v>3221</v>
      </c>
      <c r="B166" s="1" t="s">
        <v>3218</v>
      </c>
      <c r="C166" s="1" t="s">
        <v>3220</v>
      </c>
      <c r="D166" s="1" t="s">
        <v>3219</v>
      </c>
      <c r="E166" s="1" t="s">
        <v>3218</v>
      </c>
      <c r="F166" s="1" t="s">
        <v>3217</v>
      </c>
      <c r="G166" s="1" t="s">
        <v>3216</v>
      </c>
      <c r="M166" s="140" t="s">
        <v>773</v>
      </c>
      <c r="N166" s="140">
        <v>7038</v>
      </c>
      <c r="O166" s="140" t="s">
        <v>2518</v>
      </c>
      <c r="P166" s="140" t="s">
        <v>640</v>
      </c>
      <c r="W166" s="1" t="s">
        <v>1758</v>
      </c>
      <c r="X166" s="1" t="s">
        <v>1301</v>
      </c>
    </row>
    <row r="167" spans="1:29">
      <c r="A167" s="1" t="s">
        <v>3215</v>
      </c>
      <c r="B167" s="1" t="s">
        <v>3212</v>
      </c>
      <c r="C167" s="1" t="s">
        <v>3214</v>
      </c>
      <c r="D167" s="1" t="s">
        <v>3213</v>
      </c>
      <c r="E167" s="1" t="s">
        <v>3212</v>
      </c>
      <c r="F167" s="1" t="s">
        <v>3211</v>
      </c>
      <c r="G167" s="1" t="s">
        <v>3210</v>
      </c>
      <c r="M167" s="1" t="s">
        <v>774</v>
      </c>
      <c r="N167" s="1">
        <v>7039</v>
      </c>
      <c r="O167" s="1" t="s">
        <v>2516</v>
      </c>
      <c r="P167" s="1"/>
      <c r="W167" s="1" t="s">
        <v>1765</v>
      </c>
      <c r="X167" s="1" t="s">
        <v>1302</v>
      </c>
    </row>
    <row r="168" spans="1:29">
      <c r="M168" s="1" t="s">
        <v>775</v>
      </c>
      <c r="N168" s="1">
        <v>7040</v>
      </c>
      <c r="O168" s="1" t="s">
        <v>2514</v>
      </c>
      <c r="P168" s="1"/>
      <c r="W168" s="1" t="s">
        <v>1310</v>
      </c>
      <c r="X168" s="1" t="s">
        <v>1306</v>
      </c>
    </row>
    <row r="169" spans="1:29">
      <c r="A169" s="831" t="s">
        <v>3209</v>
      </c>
      <c r="B169" s="832"/>
      <c r="C169" s="832"/>
      <c r="D169" s="832"/>
      <c r="E169" s="832"/>
      <c r="F169" s="832"/>
      <c r="G169" s="833"/>
      <c r="M169" s="140" t="s">
        <v>776</v>
      </c>
      <c r="N169" s="140">
        <v>7041</v>
      </c>
      <c r="O169" s="140" t="s">
        <v>2512</v>
      </c>
      <c r="P169" s="140" t="s">
        <v>167</v>
      </c>
      <c r="W169" s="1" t="s">
        <v>1778</v>
      </c>
      <c r="X169" s="1" t="s">
        <v>1307</v>
      </c>
      <c r="Z169" s="825" t="s">
        <v>3796</v>
      </c>
      <c r="AA169" s="825"/>
    </row>
    <row r="170" spans="1:29" ht="12.6" customHeight="1">
      <c r="A170" s="1" t="s">
        <v>3208</v>
      </c>
      <c r="B170" s="1" t="s">
        <v>3205</v>
      </c>
      <c r="C170" s="23" t="s">
        <v>3207</v>
      </c>
      <c r="D170" s="1" t="s">
        <v>3206</v>
      </c>
      <c r="E170" s="1" t="s">
        <v>3205</v>
      </c>
      <c r="F170" s="23" t="s">
        <v>3003</v>
      </c>
      <c r="G170" s="23" t="s">
        <v>3002</v>
      </c>
      <c r="M170" s="140" t="s">
        <v>777</v>
      </c>
      <c r="N170" s="140">
        <v>7042</v>
      </c>
      <c r="O170" s="140" t="s">
        <v>2510</v>
      </c>
      <c r="P170" s="140" t="s">
        <v>712</v>
      </c>
      <c r="W170" s="1" t="s">
        <v>1787</v>
      </c>
      <c r="X170" s="1" t="s">
        <v>1308</v>
      </c>
      <c r="Z170" s="1" t="s">
        <v>213</v>
      </c>
      <c r="AA170" s="1" t="s">
        <v>214</v>
      </c>
    </row>
    <row r="171" spans="1:29">
      <c r="A171" s="1" t="s">
        <v>3204</v>
      </c>
      <c r="B171" s="1" t="s">
        <v>3203</v>
      </c>
      <c r="C171" s="1" t="s">
        <v>3177</v>
      </c>
      <c r="D171" s="1" t="s">
        <v>49</v>
      </c>
      <c r="E171" s="1" t="s">
        <v>3203</v>
      </c>
      <c r="F171" s="1" t="s">
        <v>3195</v>
      </c>
      <c r="G171" s="1" t="s">
        <v>3194</v>
      </c>
      <c r="M171" s="1" t="s">
        <v>778</v>
      </c>
      <c r="N171" s="1">
        <v>7043</v>
      </c>
      <c r="O171" s="1" t="s">
        <v>2508</v>
      </c>
      <c r="P171" s="1"/>
      <c r="W171" s="1" t="s">
        <v>1796</v>
      </c>
      <c r="X171" s="1" t="s">
        <v>1309</v>
      </c>
      <c r="Z171" s="1" t="s">
        <v>3797</v>
      </c>
      <c r="AA171" s="1" t="s">
        <v>216</v>
      </c>
    </row>
    <row r="172" spans="1:29">
      <c r="A172" s="1" t="s">
        <v>3175</v>
      </c>
      <c r="B172" s="1" t="s">
        <v>3202</v>
      </c>
      <c r="C172" s="1" t="s">
        <v>3174</v>
      </c>
      <c r="D172" s="1" t="s">
        <v>3190</v>
      </c>
      <c r="E172" s="1" t="s">
        <v>3202</v>
      </c>
      <c r="F172" s="1" t="s">
        <v>3188</v>
      </c>
      <c r="G172" s="1" t="s">
        <v>3187</v>
      </c>
      <c r="M172" s="140" t="s">
        <v>779</v>
      </c>
      <c r="N172" s="140">
        <v>7044</v>
      </c>
      <c r="O172" s="140" t="s">
        <v>2506</v>
      </c>
      <c r="P172" s="140" t="s">
        <v>856</v>
      </c>
      <c r="W172" s="1" t="s">
        <v>1318</v>
      </c>
      <c r="X172" s="1" t="s">
        <v>1313</v>
      </c>
      <c r="Z172" s="1" t="s">
        <v>3798</v>
      </c>
      <c r="AA172" s="1" t="s">
        <v>0</v>
      </c>
    </row>
    <row r="173" spans="1:29">
      <c r="A173" s="1" t="s">
        <v>3171</v>
      </c>
      <c r="B173" s="1" t="s">
        <v>3201</v>
      </c>
      <c r="C173" s="1" t="s">
        <v>3192</v>
      </c>
      <c r="D173" s="1" t="s">
        <v>3182</v>
      </c>
      <c r="E173" s="1" t="s">
        <v>3201</v>
      </c>
      <c r="F173" s="1" t="s">
        <v>3180</v>
      </c>
      <c r="G173" s="1" t="s">
        <v>3179</v>
      </c>
      <c r="M173" s="1" t="s">
        <v>780</v>
      </c>
      <c r="N173" s="1">
        <v>7045</v>
      </c>
      <c r="O173" s="1" t="s">
        <v>2504</v>
      </c>
      <c r="P173" s="1"/>
      <c r="W173" s="1" t="s">
        <v>1811</v>
      </c>
      <c r="X173" s="1" t="s">
        <v>1314</v>
      </c>
      <c r="Z173" s="1" t="s">
        <v>3799</v>
      </c>
      <c r="AA173" s="1" t="s">
        <v>1</v>
      </c>
    </row>
    <row r="174" spans="1:29">
      <c r="A174" s="1" t="s">
        <v>3184</v>
      </c>
      <c r="B174" s="1" t="s">
        <v>3200</v>
      </c>
      <c r="C174" s="1" t="s">
        <v>3183</v>
      </c>
      <c r="D174" s="1" t="s">
        <v>3170</v>
      </c>
      <c r="E174" s="1" t="s">
        <v>3200</v>
      </c>
      <c r="F174" s="1" t="s">
        <v>3168</v>
      </c>
      <c r="G174" s="1" t="s">
        <v>3172</v>
      </c>
      <c r="M174" s="1" t="s">
        <v>781</v>
      </c>
      <c r="N174" s="1">
        <v>7046</v>
      </c>
      <c r="O174" s="1" t="s">
        <v>2502</v>
      </c>
      <c r="P174" s="1"/>
      <c r="W174" s="1" t="s">
        <v>1820</v>
      </c>
      <c r="X174" s="1" t="s">
        <v>1315</v>
      </c>
      <c r="Z174" s="1" t="s">
        <v>3800</v>
      </c>
      <c r="AA174" s="1" t="s">
        <v>2</v>
      </c>
    </row>
    <row r="175" spans="1:29">
      <c r="A175" s="1" t="s">
        <v>3175</v>
      </c>
      <c r="B175" s="1" t="s">
        <v>3199</v>
      </c>
      <c r="C175" s="1" t="s">
        <v>3174</v>
      </c>
      <c r="D175" s="1" t="s">
        <v>3197</v>
      </c>
      <c r="E175" s="1" t="s">
        <v>3199</v>
      </c>
      <c r="F175" s="1" t="s">
        <v>3195</v>
      </c>
      <c r="G175" s="1" t="s">
        <v>630</v>
      </c>
      <c r="M175" s="1" t="s">
        <v>782</v>
      </c>
      <c r="N175" s="1">
        <v>7047</v>
      </c>
      <c r="O175" s="1" t="s">
        <v>2500</v>
      </c>
      <c r="P175" s="1"/>
      <c r="W175" s="1" t="s">
        <v>1827</v>
      </c>
      <c r="X175" s="1" t="s">
        <v>1316</v>
      </c>
      <c r="Z175" s="1" t="s">
        <v>3801</v>
      </c>
      <c r="AA175" s="1" t="s">
        <v>3</v>
      </c>
    </row>
    <row r="176" spans="1:29">
      <c r="A176" s="1" t="s">
        <v>3171</v>
      </c>
      <c r="B176" s="1" t="s">
        <v>3198</v>
      </c>
      <c r="C176" s="1" t="s">
        <v>3192</v>
      </c>
      <c r="D176" s="1" t="s">
        <v>49</v>
      </c>
      <c r="E176" s="1" t="s">
        <v>3198</v>
      </c>
      <c r="F176" s="1" t="s">
        <v>3195</v>
      </c>
      <c r="G176" s="1" t="s">
        <v>3194</v>
      </c>
      <c r="M176" s="1" t="s">
        <v>783</v>
      </c>
      <c r="N176" s="1">
        <v>7048</v>
      </c>
      <c r="O176" s="1" t="s">
        <v>2498</v>
      </c>
      <c r="P176" s="1"/>
      <c r="W176" s="1" t="s">
        <v>1325</v>
      </c>
      <c r="X176" s="1" t="s">
        <v>1320</v>
      </c>
      <c r="Z176" s="1" t="s">
        <v>3802</v>
      </c>
      <c r="AA176" s="1" t="s">
        <v>4</v>
      </c>
    </row>
    <row r="177" spans="1:27">
      <c r="A177" s="1" t="s">
        <v>3184</v>
      </c>
      <c r="B177" s="1" t="s">
        <v>3196</v>
      </c>
      <c r="C177" s="1" t="s">
        <v>3183</v>
      </c>
      <c r="D177" s="1" t="s">
        <v>3197</v>
      </c>
      <c r="E177" s="1" t="s">
        <v>3196</v>
      </c>
      <c r="F177" s="1" t="s">
        <v>3195</v>
      </c>
      <c r="G177" s="1" t="s">
        <v>3194</v>
      </c>
      <c r="M177" s="1" t="s">
        <v>784</v>
      </c>
      <c r="N177" s="1">
        <v>7049</v>
      </c>
      <c r="O177" s="1" t="s">
        <v>2496</v>
      </c>
      <c r="P177" s="1"/>
      <c r="W177" s="1" t="s">
        <v>1842</v>
      </c>
      <c r="X177" s="1" t="s">
        <v>1321</v>
      </c>
      <c r="Z177" s="1" t="s">
        <v>3803</v>
      </c>
      <c r="AA177" s="1" t="s">
        <v>5</v>
      </c>
    </row>
    <row r="178" spans="1:27">
      <c r="A178" s="1" t="s">
        <v>3178</v>
      </c>
      <c r="B178" s="1" t="s">
        <v>3193</v>
      </c>
      <c r="C178" s="1" t="s">
        <v>3177</v>
      </c>
      <c r="D178" s="1" t="s">
        <v>3190</v>
      </c>
      <c r="E178" s="1" t="s">
        <v>3193</v>
      </c>
      <c r="F178" s="1" t="s">
        <v>3188</v>
      </c>
      <c r="G178" s="1" t="s">
        <v>3187</v>
      </c>
      <c r="M178" s="1" t="s">
        <v>785</v>
      </c>
      <c r="N178" s="1">
        <v>7050</v>
      </c>
      <c r="O178" s="1" t="s">
        <v>2494</v>
      </c>
      <c r="P178" s="1"/>
      <c r="W178" s="1" t="s">
        <v>1850</v>
      </c>
      <c r="X178" s="1" t="s">
        <v>1322</v>
      </c>
      <c r="Z178" s="1" t="s">
        <v>3804</v>
      </c>
      <c r="AA178" s="1" t="s">
        <v>6</v>
      </c>
    </row>
    <row r="179" spans="1:27">
      <c r="A179" s="1" t="s">
        <v>3171</v>
      </c>
      <c r="B179" s="1" t="s">
        <v>3191</v>
      </c>
      <c r="C179" s="1" t="s">
        <v>3192</v>
      </c>
      <c r="D179" s="1" t="s">
        <v>3190</v>
      </c>
      <c r="E179" s="1" t="s">
        <v>3191</v>
      </c>
      <c r="F179" s="1" t="s">
        <v>3188</v>
      </c>
      <c r="G179" s="1" t="s">
        <v>3187</v>
      </c>
      <c r="M179" s="1" t="s">
        <v>786</v>
      </c>
      <c r="N179" s="1">
        <v>7051</v>
      </c>
      <c r="O179" s="1" t="s">
        <v>2492</v>
      </c>
      <c r="P179" s="1"/>
      <c r="W179" s="1" t="s">
        <v>1858</v>
      </c>
      <c r="X179" s="1" t="s">
        <v>1323</v>
      </c>
      <c r="Z179" s="1" t="s">
        <v>3805</v>
      </c>
      <c r="AA179" s="1" t="s">
        <v>7</v>
      </c>
    </row>
    <row r="180" spans="1:27">
      <c r="A180" s="1" t="s">
        <v>3184</v>
      </c>
      <c r="B180" s="1" t="s">
        <v>3189</v>
      </c>
      <c r="C180" s="1" t="s">
        <v>3183</v>
      </c>
      <c r="D180" s="1" t="s">
        <v>3190</v>
      </c>
      <c r="E180" s="1" t="s">
        <v>3189</v>
      </c>
      <c r="F180" s="1" t="s">
        <v>3188</v>
      </c>
      <c r="G180" s="1" t="s">
        <v>3187</v>
      </c>
      <c r="M180" s="1" t="s">
        <v>787</v>
      </c>
      <c r="N180" s="1">
        <v>7052</v>
      </c>
      <c r="O180" s="1" t="s">
        <v>2490</v>
      </c>
      <c r="P180" s="1"/>
      <c r="W180" s="1" t="s">
        <v>1334</v>
      </c>
      <c r="X180" s="1" t="s">
        <v>1328</v>
      </c>
      <c r="Z180" s="1" t="s">
        <v>3806</v>
      </c>
      <c r="AA180" s="1" t="s">
        <v>8</v>
      </c>
    </row>
    <row r="181" spans="1:27">
      <c r="A181" s="1" t="s">
        <v>3178</v>
      </c>
      <c r="B181" s="1" t="s">
        <v>3186</v>
      </c>
      <c r="C181" s="1" t="s">
        <v>3177</v>
      </c>
      <c r="D181" s="1" t="s">
        <v>3182</v>
      </c>
      <c r="E181" s="1" t="s">
        <v>3186</v>
      </c>
      <c r="F181" s="1" t="s">
        <v>3180</v>
      </c>
      <c r="G181" s="1" t="s">
        <v>3179</v>
      </c>
      <c r="M181" s="1" t="s">
        <v>788</v>
      </c>
      <c r="N181" s="1">
        <v>7053</v>
      </c>
      <c r="O181" s="1" t="s">
        <v>2488</v>
      </c>
      <c r="P181" s="1"/>
      <c r="W181" s="1" t="s">
        <v>1874</v>
      </c>
      <c r="X181" s="1" t="s">
        <v>1329</v>
      </c>
      <c r="Z181" s="1" t="s">
        <v>3807</v>
      </c>
      <c r="AA181" s="1" t="s">
        <v>9</v>
      </c>
    </row>
    <row r="182" spans="1:27">
      <c r="A182" s="1" t="s">
        <v>3175</v>
      </c>
      <c r="B182" s="1" t="s">
        <v>3185</v>
      </c>
      <c r="C182" s="1" t="s">
        <v>3174</v>
      </c>
      <c r="D182" s="1" t="s">
        <v>3182</v>
      </c>
      <c r="E182" s="1" t="s">
        <v>3185</v>
      </c>
      <c r="F182" s="1" t="s">
        <v>3180</v>
      </c>
      <c r="G182" s="1" t="s">
        <v>3179</v>
      </c>
      <c r="M182" s="1" t="s">
        <v>789</v>
      </c>
      <c r="N182" s="1">
        <v>7054</v>
      </c>
      <c r="O182" s="1" t="s">
        <v>2486</v>
      </c>
      <c r="P182" s="1"/>
      <c r="W182" s="1" t="s">
        <v>1882</v>
      </c>
      <c r="X182" s="1" t="s">
        <v>1330</v>
      </c>
      <c r="Z182" s="1" t="s">
        <v>3808</v>
      </c>
      <c r="AA182" s="1" t="s">
        <v>10</v>
      </c>
    </row>
    <row r="183" spans="1:27">
      <c r="A183" s="1" t="s">
        <v>3184</v>
      </c>
      <c r="B183" s="1" t="s">
        <v>3181</v>
      </c>
      <c r="C183" s="1" t="s">
        <v>3183</v>
      </c>
      <c r="D183" s="1" t="s">
        <v>3182</v>
      </c>
      <c r="E183" s="1" t="s">
        <v>3181</v>
      </c>
      <c r="F183" s="1" t="s">
        <v>3180</v>
      </c>
      <c r="G183" s="1" t="s">
        <v>3179</v>
      </c>
      <c r="M183" s="1" t="s">
        <v>790</v>
      </c>
      <c r="N183" s="1">
        <v>7055</v>
      </c>
      <c r="O183" s="1" t="s">
        <v>2484</v>
      </c>
      <c r="P183" s="1"/>
      <c r="W183" s="1" t="s">
        <v>1891</v>
      </c>
      <c r="X183" s="1" t="s">
        <v>1331</v>
      </c>
      <c r="Z183" s="1" t="s">
        <v>3809</v>
      </c>
      <c r="AA183" s="1" t="s">
        <v>3810</v>
      </c>
    </row>
    <row r="184" spans="1:27">
      <c r="A184" s="1" t="s">
        <v>3178</v>
      </c>
      <c r="B184" s="1" t="s">
        <v>3176</v>
      </c>
      <c r="C184" s="1" t="s">
        <v>3177</v>
      </c>
      <c r="D184" s="1" t="s">
        <v>3170</v>
      </c>
      <c r="E184" s="1" t="s">
        <v>3176</v>
      </c>
      <c r="F184" s="1" t="s">
        <v>3168</v>
      </c>
      <c r="G184" s="1" t="s">
        <v>3172</v>
      </c>
      <c r="M184" s="1" t="s">
        <v>791</v>
      </c>
      <c r="N184" s="1">
        <v>7056</v>
      </c>
      <c r="O184" s="1" t="s">
        <v>2482</v>
      </c>
      <c r="P184" s="1"/>
      <c r="W184" s="1" t="s">
        <v>1341</v>
      </c>
      <c r="X184" s="1" t="s">
        <v>1337</v>
      </c>
      <c r="Z184" s="1" t="s">
        <v>3811</v>
      </c>
      <c r="AA184" s="1" t="s">
        <v>3812</v>
      </c>
    </row>
    <row r="185" spans="1:27">
      <c r="A185" s="1" t="s">
        <v>3175</v>
      </c>
      <c r="B185" s="1" t="s">
        <v>3173</v>
      </c>
      <c r="C185" s="1" t="s">
        <v>3174</v>
      </c>
      <c r="D185" s="1" t="s">
        <v>3170</v>
      </c>
      <c r="E185" s="1" t="s">
        <v>3173</v>
      </c>
      <c r="F185" s="1" t="s">
        <v>3168</v>
      </c>
      <c r="G185" s="1" t="s">
        <v>3172</v>
      </c>
      <c r="M185" s="140" t="s">
        <v>792</v>
      </c>
      <c r="N185" s="140">
        <v>7057</v>
      </c>
      <c r="O185" s="140" t="s">
        <v>2480</v>
      </c>
      <c r="P185" s="140" t="s">
        <v>2479</v>
      </c>
      <c r="W185" s="1" t="s">
        <v>1896</v>
      </c>
      <c r="X185" s="1" t="s">
        <v>1338</v>
      </c>
      <c r="Z185" s="1" t="s">
        <v>3813</v>
      </c>
      <c r="AA185" s="1" t="s">
        <v>3814</v>
      </c>
    </row>
    <row r="186" spans="1:27">
      <c r="A186" s="1" t="s">
        <v>3171</v>
      </c>
      <c r="B186" s="1" t="s">
        <v>3169</v>
      </c>
      <c r="C186" s="1" t="s">
        <v>31</v>
      </c>
      <c r="D186" s="1" t="s">
        <v>3170</v>
      </c>
      <c r="E186" s="1" t="s">
        <v>3169</v>
      </c>
      <c r="F186" s="1" t="s">
        <v>3168</v>
      </c>
      <c r="G186" s="1" t="s">
        <v>3167</v>
      </c>
      <c r="M186" s="1" t="s">
        <v>793</v>
      </c>
      <c r="N186" s="1">
        <v>7058</v>
      </c>
      <c r="O186" s="1" t="s">
        <v>2477</v>
      </c>
      <c r="P186" s="1"/>
      <c r="W186" s="1" t="s">
        <v>1899</v>
      </c>
      <c r="X186" s="1" t="s">
        <v>1339</v>
      </c>
      <c r="Z186" s="1" t="s">
        <v>3815</v>
      </c>
      <c r="AA186" s="1" t="s">
        <v>3816</v>
      </c>
    </row>
    <row r="187" spans="1:27">
      <c r="M187" s="140" t="s">
        <v>794</v>
      </c>
      <c r="N187" s="140">
        <v>7059</v>
      </c>
      <c r="O187" s="140" t="s">
        <v>2475</v>
      </c>
      <c r="P187" s="140" t="s">
        <v>862</v>
      </c>
      <c r="W187" s="1" t="s">
        <v>1902</v>
      </c>
      <c r="X187" s="1" t="s">
        <v>1340</v>
      </c>
      <c r="Z187" s="1" t="s">
        <v>3817</v>
      </c>
      <c r="AA187" s="1" t="s">
        <v>3818</v>
      </c>
    </row>
    <row r="188" spans="1:27">
      <c r="M188" s="1" t="s">
        <v>795</v>
      </c>
      <c r="N188" s="1">
        <v>7060</v>
      </c>
      <c r="O188" s="1" t="s">
        <v>2473</v>
      </c>
      <c r="P188" s="1"/>
      <c r="W188" s="1" t="s">
        <v>1348</v>
      </c>
      <c r="X188" s="1" t="s">
        <v>1343</v>
      </c>
      <c r="Z188" s="1" t="s">
        <v>3819</v>
      </c>
      <c r="AA188" s="1" t="s">
        <v>3820</v>
      </c>
    </row>
    <row r="189" spans="1:27">
      <c r="M189" s="140" t="s">
        <v>796</v>
      </c>
      <c r="N189" s="140">
        <v>7061</v>
      </c>
      <c r="O189" s="140" t="s">
        <v>2471</v>
      </c>
      <c r="P189" s="140" t="s">
        <v>640</v>
      </c>
      <c r="W189" s="1" t="s">
        <v>1905</v>
      </c>
      <c r="X189" s="1" t="s">
        <v>1344</v>
      </c>
      <c r="Z189" s="1" t="s">
        <v>3821</v>
      </c>
      <c r="AA189" s="1" t="s">
        <v>3822</v>
      </c>
    </row>
    <row r="190" spans="1:27">
      <c r="M190" s="140" t="s">
        <v>797</v>
      </c>
      <c r="N190" s="140">
        <v>7062</v>
      </c>
      <c r="O190" s="140" t="s">
        <v>2469</v>
      </c>
      <c r="P190" s="140" t="s">
        <v>682</v>
      </c>
      <c r="W190" s="1" t="s">
        <v>1908</v>
      </c>
      <c r="X190" s="1" t="s">
        <v>1345</v>
      </c>
      <c r="Z190" s="1" t="s">
        <v>3823</v>
      </c>
      <c r="AA190" s="1" t="s">
        <v>3824</v>
      </c>
    </row>
    <row r="191" spans="1:27" ht="75">
      <c r="C191" t="s">
        <v>3166</v>
      </c>
      <c r="F191" s="3" t="s">
        <v>3003</v>
      </c>
      <c r="G191" s="3" t="s">
        <v>3002</v>
      </c>
      <c r="M191" s="1" t="s">
        <v>798</v>
      </c>
      <c r="N191" s="1">
        <v>7063</v>
      </c>
      <c r="O191" s="1" t="s">
        <v>2467</v>
      </c>
      <c r="P191" s="1"/>
      <c r="W191" s="1" t="s">
        <v>1911</v>
      </c>
      <c r="X191" s="1" t="s">
        <v>1346</v>
      </c>
      <c r="Z191" s="1" t="s">
        <v>3825</v>
      </c>
      <c r="AA191" s="1" t="s">
        <v>3826</v>
      </c>
    </row>
    <row r="192" spans="1:27">
      <c r="A192" t="s">
        <v>163</v>
      </c>
      <c r="B192" t="s">
        <v>3165</v>
      </c>
      <c r="C192" t="s">
        <v>138</v>
      </c>
      <c r="E192" t="s">
        <v>3164</v>
      </c>
      <c r="F192" t="s">
        <v>3163</v>
      </c>
      <c r="G192" t="s">
        <v>3162</v>
      </c>
      <c r="M192" s="140" t="s">
        <v>799</v>
      </c>
      <c r="N192" s="140">
        <v>7064</v>
      </c>
      <c r="O192" s="140" t="s">
        <v>2465</v>
      </c>
      <c r="P192" s="140" t="s">
        <v>840</v>
      </c>
      <c r="W192" s="1" t="s">
        <v>1355</v>
      </c>
      <c r="X192" s="1" t="s">
        <v>1350</v>
      </c>
      <c r="Z192" s="1" t="s">
        <v>3827</v>
      </c>
      <c r="AA192" s="1" t="s">
        <v>3828</v>
      </c>
    </row>
    <row r="193" spans="1:27">
      <c r="A193" t="s">
        <v>164</v>
      </c>
      <c r="B193" t="s">
        <v>115</v>
      </c>
      <c r="C193" t="s">
        <v>139</v>
      </c>
      <c r="E193" t="s">
        <v>173</v>
      </c>
      <c r="F193" t="s">
        <v>75</v>
      </c>
      <c r="G193" t="s">
        <v>333</v>
      </c>
      <c r="M193" s="1" t="s">
        <v>800</v>
      </c>
      <c r="N193" s="1">
        <v>7065</v>
      </c>
      <c r="O193" s="1" t="s">
        <v>2463</v>
      </c>
      <c r="P193" s="1"/>
      <c r="W193" s="1" t="s">
        <v>1913</v>
      </c>
      <c r="X193" s="1" t="s">
        <v>1351</v>
      </c>
      <c r="Z193" s="1" t="s">
        <v>3829</v>
      </c>
      <c r="AA193" s="1" t="s">
        <v>3830</v>
      </c>
    </row>
    <row r="194" spans="1:27">
      <c r="A194" t="s">
        <v>165</v>
      </c>
      <c r="B194" t="s">
        <v>116</v>
      </c>
      <c r="C194" t="s">
        <v>140</v>
      </c>
      <c r="E194" t="s">
        <v>174</v>
      </c>
      <c r="F194" t="s">
        <v>76</v>
      </c>
      <c r="G194" t="s">
        <v>342</v>
      </c>
      <c r="M194" s="1" t="s">
        <v>801</v>
      </c>
      <c r="N194" s="1">
        <v>7066</v>
      </c>
      <c r="O194" s="1" t="s">
        <v>2461</v>
      </c>
      <c r="P194" s="1"/>
      <c r="W194" s="1" t="s">
        <v>1915</v>
      </c>
      <c r="X194" s="1" t="s">
        <v>1352</v>
      </c>
      <c r="Z194" s="1" t="s">
        <v>3831</v>
      </c>
      <c r="AA194" s="1" t="s">
        <v>3832</v>
      </c>
    </row>
    <row r="195" spans="1:27">
      <c r="A195" t="s">
        <v>166</v>
      </c>
      <c r="B195" t="s">
        <v>117</v>
      </c>
      <c r="C195" t="s">
        <v>141</v>
      </c>
      <c r="E195" t="s">
        <v>3161</v>
      </c>
      <c r="F195" t="s">
        <v>3160</v>
      </c>
      <c r="G195" t="s">
        <v>3159</v>
      </c>
      <c r="M195" s="1" t="s">
        <v>802</v>
      </c>
      <c r="N195" s="1">
        <v>7067</v>
      </c>
      <c r="O195" s="1" t="s">
        <v>2459</v>
      </c>
      <c r="P195" s="1"/>
      <c r="W195" s="1" t="s">
        <v>1916</v>
      </c>
      <c r="X195" s="1" t="s">
        <v>1353</v>
      </c>
      <c r="Z195" s="1" t="s">
        <v>3833</v>
      </c>
      <c r="AA195" s="1" t="s">
        <v>3834</v>
      </c>
    </row>
    <row r="196" spans="1:27">
      <c r="A196" t="s">
        <v>189</v>
      </c>
      <c r="B196" t="s">
        <v>118</v>
      </c>
      <c r="C196" t="s">
        <v>142</v>
      </c>
      <c r="E196" t="s">
        <v>175</v>
      </c>
      <c r="F196" t="s">
        <v>77</v>
      </c>
      <c r="G196" t="s">
        <v>351</v>
      </c>
      <c r="M196" s="1" t="s">
        <v>803</v>
      </c>
      <c r="N196" s="1">
        <v>7068</v>
      </c>
      <c r="O196" s="1" t="s">
        <v>2457</v>
      </c>
      <c r="P196" s="1"/>
      <c r="W196" s="1" t="s">
        <v>1363</v>
      </c>
      <c r="X196" s="1" t="s">
        <v>1357</v>
      </c>
      <c r="Z196" s="1" t="s">
        <v>3835</v>
      </c>
      <c r="AA196" s="1" t="s">
        <v>3836</v>
      </c>
    </row>
    <row r="197" spans="1:27">
      <c r="A197" t="s">
        <v>190</v>
      </c>
      <c r="B197" t="s">
        <v>119</v>
      </c>
      <c r="C197" t="s">
        <v>143</v>
      </c>
      <c r="E197" t="s">
        <v>176</v>
      </c>
      <c r="F197" t="s">
        <v>78</v>
      </c>
      <c r="G197" t="s">
        <v>360</v>
      </c>
      <c r="M197" s="1" t="s">
        <v>804</v>
      </c>
      <c r="N197" s="1">
        <v>7069</v>
      </c>
      <c r="O197" s="1" t="s">
        <v>2455</v>
      </c>
      <c r="P197" s="1"/>
      <c r="W197" s="1" t="s">
        <v>1918</v>
      </c>
      <c r="X197" s="1" t="s">
        <v>1358</v>
      </c>
      <c r="Z197" s="1" t="s">
        <v>3837</v>
      </c>
      <c r="AA197" s="1" t="s">
        <v>3838</v>
      </c>
    </row>
    <row r="198" spans="1:27">
      <c r="A198" t="s">
        <v>167</v>
      </c>
      <c r="B198" t="s">
        <v>120</v>
      </c>
      <c r="C198" t="s">
        <v>144</v>
      </c>
      <c r="E198" t="s">
        <v>177</v>
      </c>
      <c r="F198" t="s">
        <v>79</v>
      </c>
      <c r="G198" t="s">
        <v>369</v>
      </c>
      <c r="M198" s="140" t="s">
        <v>805</v>
      </c>
      <c r="N198" s="140">
        <v>7070</v>
      </c>
      <c r="O198" s="140" t="s">
        <v>2453</v>
      </c>
      <c r="P198" s="140" t="s">
        <v>696</v>
      </c>
      <c r="W198" s="1" t="s">
        <v>1920</v>
      </c>
      <c r="X198" s="1" t="s">
        <v>1359</v>
      </c>
      <c r="Z198" s="1" t="s">
        <v>3839</v>
      </c>
      <c r="AA198" s="1" t="s">
        <v>12</v>
      </c>
    </row>
    <row r="199" spans="1:27">
      <c r="A199" t="s">
        <v>3158</v>
      </c>
      <c r="B199" t="s">
        <v>3157</v>
      </c>
      <c r="C199" t="s">
        <v>3156</v>
      </c>
      <c r="E199" t="s">
        <v>178</v>
      </c>
      <c r="F199" t="s">
        <v>80</v>
      </c>
      <c r="G199" t="s">
        <v>378</v>
      </c>
      <c r="M199" s="1" t="s">
        <v>806</v>
      </c>
      <c r="N199" s="1">
        <v>7071</v>
      </c>
      <c r="O199" s="1" t="s">
        <v>2451</v>
      </c>
      <c r="P199" s="1"/>
      <c r="W199" s="1" t="s">
        <v>1922</v>
      </c>
      <c r="X199" s="1" t="s">
        <v>1360</v>
      </c>
      <c r="Z199" s="1" t="s">
        <v>3840</v>
      </c>
      <c r="AA199" s="1" t="s">
        <v>3841</v>
      </c>
    </row>
    <row r="200" spans="1:27">
      <c r="A200" t="s">
        <v>3155</v>
      </c>
      <c r="B200" t="s">
        <v>3154</v>
      </c>
      <c r="C200" t="s">
        <v>3153</v>
      </c>
      <c r="E200" t="s">
        <v>179</v>
      </c>
      <c r="F200" t="s">
        <v>81</v>
      </c>
      <c r="G200" t="s">
        <v>387</v>
      </c>
      <c r="M200" s="1" t="s">
        <v>807</v>
      </c>
      <c r="N200" s="1">
        <v>7072</v>
      </c>
      <c r="O200" s="1" t="s">
        <v>2449</v>
      </c>
      <c r="P200" s="1"/>
      <c r="W200" s="1" t="s">
        <v>1370</v>
      </c>
      <c r="X200" s="1" t="s">
        <v>1366</v>
      </c>
      <c r="Z200" s="1" t="s">
        <v>3842</v>
      </c>
      <c r="AA200" s="1" t="s">
        <v>3843</v>
      </c>
    </row>
    <row r="201" spans="1:27">
      <c r="A201" t="s">
        <v>168</v>
      </c>
      <c r="B201" t="s">
        <v>121</v>
      </c>
      <c r="C201" t="s">
        <v>145</v>
      </c>
      <c r="E201" t="s">
        <v>180</v>
      </c>
      <c r="F201" t="s">
        <v>82</v>
      </c>
      <c r="G201" t="s">
        <v>396</v>
      </c>
      <c r="M201" s="1" t="s">
        <v>233</v>
      </c>
      <c r="N201" s="1">
        <v>7073</v>
      </c>
      <c r="O201" s="1" t="s">
        <v>2447</v>
      </c>
      <c r="P201" s="1"/>
      <c r="W201" s="1" t="s">
        <v>1924</v>
      </c>
      <c r="X201" s="1" t="s">
        <v>1367</v>
      </c>
      <c r="Z201" s="1" t="s">
        <v>3844</v>
      </c>
      <c r="AA201" s="1" t="s">
        <v>3845</v>
      </c>
    </row>
    <row r="202" spans="1:27">
      <c r="A202" t="s">
        <v>169</v>
      </c>
      <c r="B202" t="s">
        <v>122</v>
      </c>
      <c r="C202" t="s">
        <v>146</v>
      </c>
      <c r="E202" t="s">
        <v>181</v>
      </c>
      <c r="F202" t="s">
        <v>83</v>
      </c>
      <c r="G202" t="s">
        <v>405</v>
      </c>
      <c r="M202" s="140" t="s">
        <v>234</v>
      </c>
      <c r="N202" s="140">
        <v>7074</v>
      </c>
      <c r="O202" s="140" t="s">
        <v>2445</v>
      </c>
      <c r="P202" s="140" t="s">
        <v>210</v>
      </c>
      <c r="W202" s="1" t="s">
        <v>1925</v>
      </c>
      <c r="X202" s="1" t="s">
        <v>1368</v>
      </c>
      <c r="Z202" s="1" t="s">
        <v>3846</v>
      </c>
      <c r="AA202" s="1" t="s">
        <v>3847</v>
      </c>
    </row>
    <row r="203" spans="1:27">
      <c r="A203" t="s">
        <v>170</v>
      </c>
      <c r="B203" t="s">
        <v>123</v>
      </c>
      <c r="C203" t="s">
        <v>147</v>
      </c>
      <c r="E203" t="s">
        <v>182</v>
      </c>
      <c r="F203" t="s">
        <v>84</v>
      </c>
      <c r="G203" t="s">
        <v>414</v>
      </c>
      <c r="M203" s="1" t="s">
        <v>235</v>
      </c>
      <c r="N203" s="1">
        <v>7075</v>
      </c>
      <c r="O203" s="1" t="s">
        <v>2443</v>
      </c>
      <c r="P203" s="1"/>
      <c r="W203" s="1" t="s">
        <v>1927</v>
      </c>
      <c r="X203" s="1" t="s">
        <v>1369</v>
      </c>
      <c r="Z203" s="1" t="s">
        <v>3848</v>
      </c>
      <c r="AA203" s="1" t="s">
        <v>3849</v>
      </c>
    </row>
    <row r="204" spans="1:27">
      <c r="A204" t="s">
        <v>171</v>
      </c>
      <c r="B204" t="s">
        <v>124</v>
      </c>
      <c r="C204" t="s">
        <v>148</v>
      </c>
      <c r="E204" t="s">
        <v>183</v>
      </c>
      <c r="F204" t="s">
        <v>85</v>
      </c>
      <c r="G204" t="s">
        <v>423</v>
      </c>
      <c r="M204" s="140" t="s">
        <v>236</v>
      </c>
      <c r="N204" s="140">
        <v>7076</v>
      </c>
      <c r="O204" s="140" t="s">
        <v>2441</v>
      </c>
      <c r="P204" s="140" t="s">
        <v>880</v>
      </c>
      <c r="W204" s="1" t="s">
        <v>1377</v>
      </c>
      <c r="X204" s="1" t="s">
        <v>1372</v>
      </c>
      <c r="Z204" s="1" t="s">
        <v>3850</v>
      </c>
      <c r="AA204" s="1" t="s">
        <v>3851</v>
      </c>
    </row>
    <row r="205" spans="1:27">
      <c r="A205" t="s">
        <v>172</v>
      </c>
      <c r="B205" t="s">
        <v>125</v>
      </c>
      <c r="C205" t="s">
        <v>149</v>
      </c>
      <c r="E205" t="s">
        <v>184</v>
      </c>
      <c r="F205" t="s">
        <v>86</v>
      </c>
      <c r="G205" t="s">
        <v>432</v>
      </c>
      <c r="M205" s="1" t="s">
        <v>237</v>
      </c>
      <c r="N205" s="1">
        <v>7077</v>
      </c>
      <c r="O205" s="1" t="s">
        <v>2439</v>
      </c>
      <c r="P205" s="1"/>
      <c r="W205" s="1" t="s">
        <v>1928</v>
      </c>
      <c r="X205" s="1" t="s">
        <v>1373</v>
      </c>
      <c r="Z205" s="1" t="s">
        <v>3852</v>
      </c>
      <c r="AA205" s="1" t="s">
        <v>3853</v>
      </c>
    </row>
    <row r="206" spans="1:27">
      <c r="A206" t="s">
        <v>201</v>
      </c>
      <c r="B206" t="s">
        <v>126</v>
      </c>
      <c r="C206" t="s">
        <v>150</v>
      </c>
      <c r="E206" t="s">
        <v>185</v>
      </c>
      <c r="F206" t="s">
        <v>87</v>
      </c>
      <c r="G206" t="s">
        <v>441</v>
      </c>
      <c r="M206" s="140" t="s">
        <v>238</v>
      </c>
      <c r="N206" s="140">
        <v>7078</v>
      </c>
      <c r="O206" s="140" t="s">
        <v>2437</v>
      </c>
      <c r="P206" s="140" t="s">
        <v>842</v>
      </c>
      <c r="W206" s="1" t="s">
        <v>1930</v>
      </c>
      <c r="X206" s="1" t="s">
        <v>1374</v>
      </c>
      <c r="Z206" s="1" t="s">
        <v>3854</v>
      </c>
      <c r="AA206" s="1" t="s">
        <v>3855</v>
      </c>
    </row>
    <row r="207" spans="1:27">
      <c r="A207" t="s">
        <v>202</v>
      </c>
      <c r="B207" t="s">
        <v>127</v>
      </c>
      <c r="C207" t="s">
        <v>151</v>
      </c>
      <c r="E207" t="s">
        <v>186</v>
      </c>
      <c r="F207" t="s">
        <v>88</v>
      </c>
      <c r="G207" t="s">
        <v>450</v>
      </c>
      <c r="M207" s="140" t="s">
        <v>239</v>
      </c>
      <c r="N207" s="140">
        <v>7079</v>
      </c>
      <c r="O207" s="140" t="s">
        <v>2435</v>
      </c>
      <c r="P207" s="140" t="s">
        <v>672</v>
      </c>
      <c r="W207" s="1" t="s">
        <v>1932</v>
      </c>
      <c r="X207" s="1" t="s">
        <v>1375</v>
      </c>
      <c r="Z207" s="1" t="s">
        <v>3856</v>
      </c>
      <c r="AA207" s="1" t="s">
        <v>3857</v>
      </c>
    </row>
    <row r="208" spans="1:27">
      <c r="A208" t="s">
        <v>203</v>
      </c>
      <c r="B208" t="s">
        <v>128</v>
      </c>
      <c r="C208" t="s">
        <v>152</v>
      </c>
      <c r="E208" t="s">
        <v>187</v>
      </c>
      <c r="F208" t="s">
        <v>89</v>
      </c>
      <c r="G208" t="s">
        <v>459</v>
      </c>
      <c r="M208" s="140" t="s">
        <v>240</v>
      </c>
      <c r="N208" s="140">
        <v>7080</v>
      </c>
      <c r="O208" s="140" t="s">
        <v>1564</v>
      </c>
      <c r="P208" s="140" t="s">
        <v>640</v>
      </c>
      <c r="W208" s="1" t="s">
        <v>1386</v>
      </c>
      <c r="X208" s="1" t="s">
        <v>1380</v>
      </c>
      <c r="Z208" s="1" t="s">
        <v>3858</v>
      </c>
      <c r="AA208" s="1" t="s">
        <v>3859</v>
      </c>
    </row>
    <row r="209" spans="1:27">
      <c r="A209" t="s">
        <v>204</v>
      </c>
      <c r="B209" t="s">
        <v>129</v>
      </c>
      <c r="C209" t="s">
        <v>153</v>
      </c>
      <c r="E209" t="s">
        <v>188</v>
      </c>
      <c r="F209" t="s">
        <v>90</v>
      </c>
      <c r="G209" t="s">
        <v>468</v>
      </c>
      <c r="M209" s="1" t="s">
        <v>241</v>
      </c>
      <c r="N209" s="1">
        <v>7081</v>
      </c>
      <c r="O209" s="1" t="s">
        <v>2432</v>
      </c>
      <c r="P209" s="1"/>
      <c r="W209" s="1" t="s">
        <v>1933</v>
      </c>
      <c r="X209" s="1" t="s">
        <v>1381</v>
      </c>
      <c r="Z209" s="1" t="s">
        <v>3860</v>
      </c>
      <c r="AA209" s="1" t="s">
        <v>3861</v>
      </c>
    </row>
    <row r="210" spans="1:27">
      <c r="A210" t="s">
        <v>205</v>
      </c>
      <c r="B210" t="s">
        <v>130</v>
      </c>
      <c r="C210" t="s">
        <v>154</v>
      </c>
      <c r="M210" s="1" t="s">
        <v>242</v>
      </c>
      <c r="N210" s="1">
        <v>7082</v>
      </c>
      <c r="O210" s="1" t="s">
        <v>2430</v>
      </c>
      <c r="P210" s="1"/>
      <c r="W210" s="1" t="s">
        <v>1934</v>
      </c>
      <c r="X210" s="1" t="s">
        <v>1382</v>
      </c>
      <c r="Z210" s="1" t="s">
        <v>3862</v>
      </c>
      <c r="AA210" s="1" t="s">
        <v>3863</v>
      </c>
    </row>
    <row r="211" spans="1:27">
      <c r="A211" t="s">
        <v>206</v>
      </c>
      <c r="B211" t="s">
        <v>131</v>
      </c>
      <c r="C211" t="s">
        <v>155</v>
      </c>
      <c r="M211" s="1" t="s">
        <v>243</v>
      </c>
      <c r="N211" s="1">
        <v>7083</v>
      </c>
      <c r="O211" s="1" t="s">
        <v>2428</v>
      </c>
      <c r="P211" s="1"/>
      <c r="W211" s="1" t="s">
        <v>1936</v>
      </c>
      <c r="X211" s="1" t="s">
        <v>1383</v>
      </c>
      <c r="Z211" s="1" t="s">
        <v>3864</v>
      </c>
      <c r="AA211" s="1" t="s">
        <v>3865</v>
      </c>
    </row>
    <row r="212" spans="1:27">
      <c r="A212" t="s">
        <v>207</v>
      </c>
      <c r="B212" t="s">
        <v>132</v>
      </c>
      <c r="C212" t="s">
        <v>156</v>
      </c>
      <c r="M212" s="1" t="s">
        <v>244</v>
      </c>
      <c r="N212" s="1">
        <v>7084</v>
      </c>
      <c r="O212" s="1" t="s">
        <v>2426</v>
      </c>
      <c r="P212" s="1"/>
      <c r="W212" s="1" t="s">
        <v>1393</v>
      </c>
      <c r="X212" s="1" t="s">
        <v>1388</v>
      </c>
      <c r="Z212" s="1" t="s">
        <v>3866</v>
      </c>
      <c r="AA212" s="1" t="s">
        <v>3867</v>
      </c>
    </row>
    <row r="213" spans="1:27">
      <c r="A213" t="s">
        <v>208</v>
      </c>
      <c r="B213" t="s">
        <v>133</v>
      </c>
      <c r="C213" t="s">
        <v>157</v>
      </c>
      <c r="M213" s="1" t="s">
        <v>245</v>
      </c>
      <c r="N213" s="1">
        <v>7085</v>
      </c>
      <c r="O213" s="1" t="s">
        <v>2424</v>
      </c>
      <c r="P213" s="1"/>
      <c r="W213" s="1" t="s">
        <v>1937</v>
      </c>
      <c r="X213" s="1" t="s">
        <v>1389</v>
      </c>
      <c r="Z213" s="1" t="s">
        <v>3868</v>
      </c>
      <c r="AA213" s="1" t="s">
        <v>3869</v>
      </c>
    </row>
    <row r="214" spans="1:27">
      <c r="A214" t="s">
        <v>209</v>
      </c>
      <c r="B214" t="s">
        <v>134</v>
      </c>
      <c r="C214" t="s">
        <v>158</v>
      </c>
      <c r="M214" s="140" t="s">
        <v>246</v>
      </c>
      <c r="N214" s="140">
        <v>7086</v>
      </c>
      <c r="O214" s="140" t="s">
        <v>2422</v>
      </c>
      <c r="P214" s="140" t="s">
        <v>904</v>
      </c>
      <c r="W214" s="1" t="s">
        <v>1938</v>
      </c>
      <c r="X214" s="1" t="s">
        <v>1390</v>
      </c>
      <c r="Z214" s="1" t="s">
        <v>3870</v>
      </c>
      <c r="AA214" s="1" t="s">
        <v>3871</v>
      </c>
    </row>
    <row r="215" spans="1:27">
      <c r="A215" t="s">
        <v>210</v>
      </c>
      <c r="B215" t="s">
        <v>135</v>
      </c>
      <c r="C215" t="s">
        <v>159</v>
      </c>
      <c r="M215" s="1" t="s">
        <v>247</v>
      </c>
      <c r="N215" s="1">
        <v>7087</v>
      </c>
      <c r="O215" s="1" t="s">
        <v>2420</v>
      </c>
      <c r="P215" s="1"/>
      <c r="W215" s="1" t="s">
        <v>1939</v>
      </c>
      <c r="X215" s="1" t="s">
        <v>1391</v>
      </c>
      <c r="Z215" s="1" t="s">
        <v>3872</v>
      </c>
      <c r="AA215" s="1" t="s">
        <v>3873</v>
      </c>
    </row>
    <row r="216" spans="1:27">
      <c r="A216" t="s">
        <v>211</v>
      </c>
      <c r="B216" t="s">
        <v>3152</v>
      </c>
      <c r="C216" t="s">
        <v>108</v>
      </c>
      <c r="M216" s="1" t="s">
        <v>248</v>
      </c>
      <c r="N216" s="1">
        <v>7088</v>
      </c>
      <c r="O216" s="1" t="s">
        <v>2418</v>
      </c>
      <c r="P216" s="1"/>
      <c r="W216" s="1" t="s">
        <v>1401</v>
      </c>
      <c r="X216" s="1" t="s">
        <v>1396</v>
      </c>
      <c r="Z216" s="1" t="s">
        <v>3874</v>
      </c>
      <c r="AA216" s="1" t="s">
        <v>3875</v>
      </c>
    </row>
    <row r="217" spans="1:27">
      <c r="A217" t="s">
        <v>212</v>
      </c>
      <c r="B217" t="s">
        <v>137</v>
      </c>
      <c r="C217" t="s">
        <v>109</v>
      </c>
      <c r="M217" s="1" t="s">
        <v>249</v>
      </c>
      <c r="N217" s="1">
        <v>7089</v>
      </c>
      <c r="O217" s="1" t="s">
        <v>2416</v>
      </c>
      <c r="P217" s="1"/>
      <c r="W217" s="1" t="s">
        <v>1942</v>
      </c>
      <c r="X217" s="1" t="s">
        <v>1397</v>
      </c>
      <c r="Z217" s="1" t="s">
        <v>3876</v>
      </c>
      <c r="AA217" s="1" t="s">
        <v>3877</v>
      </c>
    </row>
    <row r="218" spans="1:27">
      <c r="M218" s="1" t="s">
        <v>250</v>
      </c>
      <c r="N218" s="1">
        <v>7090</v>
      </c>
      <c r="O218" s="1" t="s">
        <v>2414</v>
      </c>
      <c r="P218" s="1"/>
      <c r="W218" s="1" t="s">
        <v>1947</v>
      </c>
      <c r="X218" s="1" t="s">
        <v>1398</v>
      </c>
      <c r="Z218" s="1" t="s">
        <v>3878</v>
      </c>
      <c r="AA218" s="1" t="s">
        <v>3879</v>
      </c>
    </row>
    <row r="219" spans="1:27">
      <c r="M219" s="140" t="s">
        <v>251</v>
      </c>
      <c r="N219" s="140">
        <v>7091</v>
      </c>
      <c r="O219" s="140" t="s">
        <v>2412</v>
      </c>
      <c r="P219" s="140" t="s">
        <v>834</v>
      </c>
      <c r="W219" s="1" t="s">
        <v>1951</v>
      </c>
      <c r="X219" s="1" t="s">
        <v>1399</v>
      </c>
    </row>
    <row r="220" spans="1:27">
      <c r="A220" s="825" t="s">
        <v>3151</v>
      </c>
      <c r="B220" s="825"/>
      <c r="C220" s="825"/>
      <c r="D220" s="825"/>
      <c r="E220" s="825"/>
      <c r="F220" s="825"/>
      <c r="M220" s="1" t="s">
        <v>252</v>
      </c>
      <c r="N220" s="1">
        <v>7092</v>
      </c>
      <c r="O220" s="1" t="s">
        <v>2410</v>
      </c>
      <c r="P220" s="1"/>
      <c r="W220" s="1" t="s">
        <v>1411</v>
      </c>
      <c r="X220" s="1" t="s">
        <v>1404</v>
      </c>
    </row>
    <row r="221" spans="1:27">
      <c r="A221" s="1"/>
      <c r="B221" s="1" t="s">
        <v>3150</v>
      </c>
      <c r="C221" s="1"/>
      <c r="D221" s="1" t="s">
        <v>3149</v>
      </c>
      <c r="E221" s="1" t="s">
        <v>3148</v>
      </c>
      <c r="F221" s="1" t="s">
        <v>3147</v>
      </c>
      <c r="M221" s="1" t="s">
        <v>253</v>
      </c>
      <c r="N221" s="1">
        <v>7093</v>
      </c>
      <c r="O221" s="1" t="s">
        <v>2408</v>
      </c>
      <c r="P221" s="1"/>
      <c r="W221" s="1" t="s">
        <v>1945</v>
      </c>
      <c r="X221" s="1" t="s">
        <v>1405</v>
      </c>
    </row>
    <row r="222" spans="1:27">
      <c r="A222" s="1" t="s">
        <v>3146</v>
      </c>
      <c r="B222" s="1" t="s">
        <v>163</v>
      </c>
      <c r="C222" s="1" t="s">
        <v>138</v>
      </c>
      <c r="D222" s="1" t="s">
        <v>175</v>
      </c>
      <c r="E222" s="1" t="s">
        <v>77</v>
      </c>
      <c r="F222" s="1" t="s">
        <v>351</v>
      </c>
      <c r="M222" s="140" t="s">
        <v>254</v>
      </c>
      <c r="N222" s="140">
        <v>7094</v>
      </c>
      <c r="O222" s="140" t="s">
        <v>2406</v>
      </c>
      <c r="P222" s="140" t="s">
        <v>646</v>
      </c>
      <c r="W222" s="1" t="s">
        <v>1959</v>
      </c>
      <c r="X222" s="1" t="s">
        <v>1406</v>
      </c>
    </row>
    <row r="223" spans="1:27">
      <c r="A223" s="1" t="s">
        <v>3145</v>
      </c>
      <c r="B223" s="1" t="s">
        <v>164</v>
      </c>
      <c r="C223" s="1" t="s">
        <v>139</v>
      </c>
      <c r="D223" s="1" t="s">
        <v>176</v>
      </c>
      <c r="E223" s="1" t="s">
        <v>78</v>
      </c>
      <c r="F223" s="1" t="s">
        <v>360</v>
      </c>
      <c r="M223" s="140" t="s">
        <v>255</v>
      </c>
      <c r="N223" s="140">
        <v>7095</v>
      </c>
      <c r="O223" s="140" t="s">
        <v>2404</v>
      </c>
      <c r="P223" s="140" t="s">
        <v>165</v>
      </c>
      <c r="W223" s="1" t="s">
        <v>1963</v>
      </c>
      <c r="X223" s="1" t="s">
        <v>1407</v>
      </c>
    </row>
    <row r="224" spans="1:27">
      <c r="A224" s="1" t="s">
        <v>3144</v>
      </c>
      <c r="B224" s="1" t="s">
        <v>165</v>
      </c>
      <c r="C224" s="1" t="s">
        <v>140</v>
      </c>
      <c r="D224" s="1" t="s">
        <v>184</v>
      </c>
      <c r="E224" s="1" t="s">
        <v>86</v>
      </c>
      <c r="F224" s="1" t="s">
        <v>432</v>
      </c>
      <c r="M224" s="1" t="s">
        <v>256</v>
      </c>
      <c r="N224" s="1">
        <v>7096</v>
      </c>
      <c r="O224" s="1" t="s">
        <v>2402</v>
      </c>
      <c r="P224" s="1"/>
      <c r="W224" s="1" t="s">
        <v>1421</v>
      </c>
      <c r="X224" s="1" t="s">
        <v>1414</v>
      </c>
    </row>
    <row r="225" spans="1:24">
      <c r="A225" s="1" t="s">
        <v>3143</v>
      </c>
      <c r="B225" s="1" t="s">
        <v>189</v>
      </c>
      <c r="C225" s="1" t="s">
        <v>142</v>
      </c>
      <c r="D225" s="1" t="s">
        <v>175</v>
      </c>
      <c r="E225" s="1" t="s">
        <v>77</v>
      </c>
      <c r="F225" s="1" t="s">
        <v>351</v>
      </c>
      <c r="W225" s="1" t="s">
        <v>1949</v>
      </c>
      <c r="X225" s="1" t="s">
        <v>1415</v>
      </c>
    </row>
    <row r="226" spans="1:24">
      <c r="A226" s="1" t="s">
        <v>3142</v>
      </c>
      <c r="B226" s="1" t="s">
        <v>167</v>
      </c>
      <c r="C226" s="1" t="s">
        <v>144</v>
      </c>
      <c r="D226" s="1" t="s">
        <v>176</v>
      </c>
      <c r="E226" s="1" t="s">
        <v>78</v>
      </c>
      <c r="F226" s="1" t="s">
        <v>360</v>
      </c>
      <c r="W226" s="1" t="s">
        <v>1969</v>
      </c>
      <c r="X226" s="1" t="s">
        <v>1416</v>
      </c>
    </row>
    <row r="227" spans="1:24">
      <c r="A227" s="1" t="s">
        <v>3141</v>
      </c>
      <c r="B227" s="1" t="s">
        <v>207</v>
      </c>
      <c r="C227" s="1" t="s">
        <v>156</v>
      </c>
      <c r="D227" s="1" t="s">
        <v>184</v>
      </c>
      <c r="E227" s="1" t="s">
        <v>86</v>
      </c>
      <c r="F227" s="1" t="s">
        <v>432</v>
      </c>
      <c r="W227" s="1" t="s">
        <v>1972</v>
      </c>
      <c r="X227" s="1" t="s">
        <v>1417</v>
      </c>
    </row>
    <row r="228" spans="1:24">
      <c r="A228" s="1" t="s">
        <v>3140</v>
      </c>
      <c r="B228" s="1" t="s">
        <v>190</v>
      </c>
      <c r="C228" s="1" t="s">
        <v>143</v>
      </c>
      <c r="D228" s="1" t="s">
        <v>175</v>
      </c>
      <c r="E228" s="1" t="s">
        <v>77</v>
      </c>
      <c r="F228" s="1" t="s">
        <v>351</v>
      </c>
      <c r="H228" s="820" t="s">
        <v>2523</v>
      </c>
      <c r="I228" s="820"/>
      <c r="J228" s="820"/>
      <c r="K228" s="820"/>
      <c r="L228" s="820"/>
      <c r="M228" s="820"/>
      <c r="N228" s="820"/>
      <c r="O228" s="820"/>
      <c r="P228" s="820"/>
      <c r="Q228" s="820"/>
      <c r="R228" s="820"/>
      <c r="S228" s="820"/>
      <c r="T228" s="820"/>
      <c r="W228" s="1" t="s">
        <v>1430</v>
      </c>
      <c r="X228" s="1" t="s">
        <v>1424</v>
      </c>
    </row>
    <row r="229" spans="1:24">
      <c r="A229" s="1" t="s">
        <v>3139</v>
      </c>
      <c r="B229" s="1" t="s">
        <v>170</v>
      </c>
      <c r="C229" s="1" t="s">
        <v>147</v>
      </c>
      <c r="D229" s="1" t="s">
        <v>176</v>
      </c>
      <c r="E229" s="1" t="s">
        <v>78</v>
      </c>
      <c r="F229" s="1" t="s">
        <v>360</v>
      </c>
      <c r="H229" s="1"/>
      <c r="I229" s="1">
        <v>1</v>
      </c>
      <c r="J229" s="1">
        <v>2</v>
      </c>
      <c r="K229" s="1">
        <v>3</v>
      </c>
      <c r="L229" s="1">
        <v>4</v>
      </c>
      <c r="M229" s="1">
        <v>5</v>
      </c>
      <c r="N229" s="1">
        <v>6</v>
      </c>
      <c r="O229" s="1">
        <v>7</v>
      </c>
      <c r="P229" s="1">
        <v>8</v>
      </c>
      <c r="Q229" s="1">
        <v>9</v>
      </c>
      <c r="R229" s="1">
        <v>10</v>
      </c>
      <c r="S229" s="1">
        <v>11</v>
      </c>
      <c r="T229" s="1">
        <v>12</v>
      </c>
      <c r="U229" t="s">
        <v>3138</v>
      </c>
      <c r="W229" s="1" t="s">
        <v>1952</v>
      </c>
      <c r="X229" s="1" t="s">
        <v>1425</v>
      </c>
    </row>
    <row r="230" spans="1:24">
      <c r="A230" s="1" t="s">
        <v>3137</v>
      </c>
      <c r="B230" s="1" t="s">
        <v>204</v>
      </c>
      <c r="C230" s="1" t="s">
        <v>153</v>
      </c>
      <c r="D230" s="1" t="s">
        <v>184</v>
      </c>
      <c r="E230" s="1" t="s">
        <v>86</v>
      </c>
      <c r="F230" s="1" t="s">
        <v>432</v>
      </c>
      <c r="H230" s="1" t="s">
        <v>924</v>
      </c>
      <c r="I230" s="1" t="s">
        <v>2425</v>
      </c>
      <c r="J230" s="1" t="s">
        <v>2409</v>
      </c>
      <c r="K230" s="1" t="s">
        <v>2397</v>
      </c>
      <c r="L230" s="1" t="s">
        <v>2389</v>
      </c>
      <c r="M230" s="1" t="s">
        <v>2381</v>
      </c>
      <c r="N230" s="1" t="s">
        <v>2373</v>
      </c>
      <c r="O230" s="1" t="s">
        <v>2365</v>
      </c>
      <c r="P230" s="1" t="s">
        <v>2357</v>
      </c>
      <c r="Q230" s="1" t="s">
        <v>2349</v>
      </c>
      <c r="R230" s="1" t="s">
        <v>2341</v>
      </c>
      <c r="S230" s="1" t="s">
        <v>2333</v>
      </c>
      <c r="T230" s="1" t="s">
        <v>2325</v>
      </c>
      <c r="U230" t="s">
        <v>1021</v>
      </c>
      <c r="W230" s="1" t="s">
        <v>1976</v>
      </c>
      <c r="X230" s="1" t="s">
        <v>1426</v>
      </c>
    </row>
    <row r="231" spans="1:24">
      <c r="A231" s="1" t="s">
        <v>233</v>
      </c>
      <c r="B231" s="1" t="s">
        <v>168</v>
      </c>
      <c r="C231" s="1" t="s">
        <v>145</v>
      </c>
      <c r="D231" s="1" t="s">
        <v>175</v>
      </c>
      <c r="E231" s="1" t="s">
        <v>77</v>
      </c>
      <c r="F231" s="1" t="s">
        <v>351</v>
      </c>
      <c r="H231" s="1" t="s">
        <v>937</v>
      </c>
      <c r="I231" s="1" t="s">
        <v>2423</v>
      </c>
      <c r="J231" s="1" t="s">
        <v>2407</v>
      </c>
      <c r="K231" s="1" t="s">
        <v>2396</v>
      </c>
      <c r="L231" s="1" t="s">
        <v>2388</v>
      </c>
      <c r="M231" s="1" t="s">
        <v>2380</v>
      </c>
      <c r="N231" s="1" t="s">
        <v>2372</v>
      </c>
      <c r="O231" s="1" t="s">
        <v>2364</v>
      </c>
      <c r="P231" s="1" t="s">
        <v>2356</v>
      </c>
      <c r="Q231" s="1" t="s">
        <v>2348</v>
      </c>
      <c r="R231" s="1" t="s">
        <v>2340</v>
      </c>
      <c r="S231" s="1" t="s">
        <v>2332</v>
      </c>
      <c r="T231" s="1" t="s">
        <v>2324</v>
      </c>
      <c r="W231" s="1" t="s">
        <v>1979</v>
      </c>
      <c r="X231" s="1" t="s">
        <v>1427</v>
      </c>
    </row>
    <row r="232" spans="1:24">
      <c r="A232" s="1" t="s">
        <v>241</v>
      </c>
      <c r="B232" s="1" t="s">
        <v>169</v>
      </c>
      <c r="C232" s="1" t="s">
        <v>146</v>
      </c>
      <c r="D232" s="1" t="s">
        <v>176</v>
      </c>
      <c r="E232" s="1" t="s">
        <v>78</v>
      </c>
      <c r="F232" s="1" t="s">
        <v>360</v>
      </c>
      <c r="H232" s="1" t="s">
        <v>950</v>
      </c>
      <c r="I232" s="1" t="s">
        <v>2421</v>
      </c>
      <c r="J232" s="1" t="s">
        <v>2405</v>
      </c>
      <c r="K232" s="1" t="s">
        <v>2395</v>
      </c>
      <c r="L232" s="1" t="s">
        <v>2387</v>
      </c>
      <c r="M232" s="1" t="s">
        <v>2379</v>
      </c>
      <c r="N232" s="1" t="s">
        <v>2371</v>
      </c>
      <c r="O232" s="1" t="s">
        <v>2363</v>
      </c>
      <c r="P232" s="1" t="s">
        <v>2355</v>
      </c>
      <c r="Q232" s="1" t="s">
        <v>2347</v>
      </c>
      <c r="R232" s="1" t="s">
        <v>2339</v>
      </c>
      <c r="S232" s="1" t="s">
        <v>2331</v>
      </c>
      <c r="T232" s="1" t="s">
        <v>37</v>
      </c>
      <c r="W232" s="1" t="s">
        <v>1438</v>
      </c>
      <c r="X232" s="1" t="s">
        <v>1433</v>
      </c>
    </row>
    <row r="233" spans="1:24">
      <c r="A233" s="1" t="s">
        <v>249</v>
      </c>
      <c r="B233" s="1" t="s">
        <v>171</v>
      </c>
      <c r="C233" s="1" t="s">
        <v>148</v>
      </c>
      <c r="D233" s="1" t="s">
        <v>184</v>
      </c>
      <c r="E233" s="1" t="s">
        <v>86</v>
      </c>
      <c r="F233" s="1" t="s">
        <v>432</v>
      </c>
      <c r="H233" s="1" t="s">
        <v>951</v>
      </c>
      <c r="I233" s="1" t="s">
        <v>2419</v>
      </c>
      <c r="J233" s="1" t="s">
        <v>2403</v>
      </c>
      <c r="K233" s="1" t="s">
        <v>2394</v>
      </c>
      <c r="L233" s="1" t="s">
        <v>2386</v>
      </c>
      <c r="M233" s="1" t="s">
        <v>2378</v>
      </c>
      <c r="N233" s="1" t="s">
        <v>2370</v>
      </c>
      <c r="O233" s="1" t="s">
        <v>2362</v>
      </c>
      <c r="P233" s="1" t="s">
        <v>2354</v>
      </c>
      <c r="Q233" s="1" t="s">
        <v>2346</v>
      </c>
      <c r="R233" s="1" t="s">
        <v>2338</v>
      </c>
      <c r="S233" s="1" t="s">
        <v>2330</v>
      </c>
      <c r="T233" s="1" t="s">
        <v>2323</v>
      </c>
      <c r="W233" s="1" t="s">
        <v>1954</v>
      </c>
      <c r="X233" s="1" t="s">
        <v>1434</v>
      </c>
    </row>
    <row r="234" spans="1:24">
      <c r="A234" s="1" t="s">
        <v>3136</v>
      </c>
      <c r="B234" s="1" t="s">
        <v>164</v>
      </c>
      <c r="C234" s="1" t="s">
        <v>139</v>
      </c>
      <c r="D234" s="1" t="s">
        <v>184</v>
      </c>
      <c r="E234" s="1" t="s">
        <v>86</v>
      </c>
      <c r="F234" s="1" t="s">
        <v>432</v>
      </c>
      <c r="H234" s="1" t="s">
        <v>952</v>
      </c>
      <c r="I234" s="1" t="s">
        <v>2417</v>
      </c>
      <c r="J234" s="1" t="s">
        <v>2401</v>
      </c>
      <c r="K234" s="1" t="s">
        <v>2393</v>
      </c>
      <c r="L234" s="1" t="s">
        <v>2385</v>
      </c>
      <c r="M234" s="1" t="s">
        <v>2377</v>
      </c>
      <c r="N234" s="1" t="s">
        <v>2369</v>
      </c>
      <c r="O234" s="1" t="s">
        <v>2361</v>
      </c>
      <c r="P234" s="1" t="s">
        <v>2353</v>
      </c>
      <c r="Q234" s="1" t="s">
        <v>2345</v>
      </c>
      <c r="R234" s="1" t="s">
        <v>2337</v>
      </c>
      <c r="S234" s="1" t="s">
        <v>2329</v>
      </c>
      <c r="T234" s="1" t="s">
        <v>2322</v>
      </c>
      <c r="W234" s="1" t="s">
        <v>1984</v>
      </c>
      <c r="X234" s="1" t="s">
        <v>1435</v>
      </c>
    </row>
    <row r="235" spans="1:24">
      <c r="A235" s="1" t="s">
        <v>3135</v>
      </c>
      <c r="B235" s="1" t="s">
        <v>165</v>
      </c>
      <c r="C235" s="1" t="s">
        <v>140</v>
      </c>
      <c r="D235" s="1" t="s">
        <v>175</v>
      </c>
      <c r="E235" s="1" t="s">
        <v>77</v>
      </c>
      <c r="F235" s="1" t="s">
        <v>351</v>
      </c>
      <c r="H235" s="1" t="s">
        <v>953</v>
      </c>
      <c r="I235" s="1" t="s">
        <v>2415</v>
      </c>
      <c r="J235" s="1" t="s">
        <v>2400</v>
      </c>
      <c r="K235" s="1" t="s">
        <v>2392</v>
      </c>
      <c r="L235" s="1" t="s">
        <v>2384</v>
      </c>
      <c r="M235" s="1" t="s">
        <v>2376</v>
      </c>
      <c r="N235" s="1" t="s">
        <v>2368</v>
      </c>
      <c r="O235" s="1" t="s">
        <v>2360</v>
      </c>
      <c r="P235" s="1" t="s">
        <v>2352</v>
      </c>
      <c r="Q235" s="1" t="s">
        <v>2344</v>
      </c>
      <c r="R235" s="1" t="s">
        <v>2336</v>
      </c>
      <c r="S235" s="1" t="s">
        <v>2328</v>
      </c>
      <c r="T235" s="1" t="s">
        <v>2321</v>
      </c>
      <c r="W235" s="1" t="s">
        <v>1987</v>
      </c>
      <c r="X235" s="1" t="s">
        <v>1436</v>
      </c>
    </row>
    <row r="236" spans="1:24">
      <c r="A236" s="1" t="s">
        <v>3134</v>
      </c>
      <c r="B236" s="1" t="s">
        <v>163</v>
      </c>
      <c r="C236" s="1" t="s">
        <v>138</v>
      </c>
      <c r="D236" s="1" t="s">
        <v>176</v>
      </c>
      <c r="E236" s="1" t="s">
        <v>78</v>
      </c>
      <c r="F236" s="1" t="s">
        <v>360</v>
      </c>
      <c r="H236" s="1" t="s">
        <v>954</v>
      </c>
      <c r="I236" s="1" t="s">
        <v>2413</v>
      </c>
      <c r="J236" s="1" t="s">
        <v>2399</v>
      </c>
      <c r="K236" s="1" t="s">
        <v>2391</v>
      </c>
      <c r="L236" s="1" t="s">
        <v>2383</v>
      </c>
      <c r="M236" s="1" t="s">
        <v>2375</v>
      </c>
      <c r="N236" s="1" t="s">
        <v>2367</v>
      </c>
      <c r="O236" s="1" t="s">
        <v>2359</v>
      </c>
      <c r="P236" s="1" t="s">
        <v>2351</v>
      </c>
      <c r="Q236" s="1" t="s">
        <v>2343</v>
      </c>
      <c r="R236" s="1" t="s">
        <v>2335</v>
      </c>
      <c r="S236" s="1" t="s">
        <v>2327</v>
      </c>
      <c r="T236" s="1" t="s">
        <v>2320</v>
      </c>
      <c r="W236" s="1" t="s">
        <v>1446</v>
      </c>
      <c r="X236" s="1" t="s">
        <v>1440</v>
      </c>
    </row>
    <row r="237" spans="1:24">
      <c r="A237" s="1" t="s">
        <v>3133</v>
      </c>
      <c r="B237" s="1" t="s">
        <v>167</v>
      </c>
      <c r="C237" s="1" t="s">
        <v>144</v>
      </c>
      <c r="D237" s="1" t="s">
        <v>184</v>
      </c>
      <c r="E237" s="1" t="s">
        <v>86</v>
      </c>
      <c r="F237" s="1" t="s">
        <v>432</v>
      </c>
      <c r="H237" s="1" t="s">
        <v>955</v>
      </c>
      <c r="I237" s="1" t="s">
        <v>2411</v>
      </c>
      <c r="J237" s="1" t="s">
        <v>2398</v>
      </c>
      <c r="K237" s="1" t="s">
        <v>2390</v>
      </c>
      <c r="L237" s="1" t="s">
        <v>2382</v>
      </c>
      <c r="M237" s="1" t="s">
        <v>2374</v>
      </c>
      <c r="N237" s="1" t="s">
        <v>2366</v>
      </c>
      <c r="O237" s="1" t="s">
        <v>2358</v>
      </c>
      <c r="P237" s="1" t="s">
        <v>2350</v>
      </c>
      <c r="Q237" s="1" t="s">
        <v>2342</v>
      </c>
      <c r="R237" s="1" t="s">
        <v>2334</v>
      </c>
      <c r="S237" s="1" t="s">
        <v>2326</v>
      </c>
      <c r="T237" s="1" t="s">
        <v>2319</v>
      </c>
      <c r="W237" s="1" t="s">
        <v>1957</v>
      </c>
      <c r="X237" s="1" t="s">
        <v>1441</v>
      </c>
    </row>
    <row r="238" spans="1:24" ht="15.75" thickBot="1">
      <c r="A238" s="1" t="s">
        <v>3132</v>
      </c>
      <c r="B238" s="1" t="s">
        <v>207</v>
      </c>
      <c r="C238" s="1" t="s">
        <v>156</v>
      </c>
      <c r="D238" s="1" t="s">
        <v>175</v>
      </c>
      <c r="E238" s="1" t="s">
        <v>77</v>
      </c>
      <c r="F238" s="1" t="s">
        <v>351</v>
      </c>
      <c r="W238" s="1" t="s">
        <v>1991</v>
      </c>
      <c r="X238" s="1" t="s">
        <v>1442</v>
      </c>
    </row>
    <row r="239" spans="1:24" ht="15.75" thickBot="1">
      <c r="A239" s="1" t="s">
        <v>3131</v>
      </c>
      <c r="B239" s="1" t="s">
        <v>189</v>
      </c>
      <c r="C239" s="1" t="s">
        <v>142</v>
      </c>
      <c r="D239" s="1" t="s">
        <v>176</v>
      </c>
      <c r="E239" s="1" t="s">
        <v>78</v>
      </c>
      <c r="F239" s="1" t="s">
        <v>360</v>
      </c>
      <c r="H239" s="834" t="s">
        <v>2653</v>
      </c>
      <c r="I239" s="835"/>
      <c r="J239" s="835"/>
      <c r="K239" s="835"/>
      <c r="L239" s="835"/>
      <c r="M239" s="836"/>
      <c r="P239" s="837" t="s">
        <v>2523</v>
      </c>
      <c r="Q239" s="838"/>
      <c r="W239" s="1" t="s">
        <v>1995</v>
      </c>
      <c r="X239" s="1" t="s">
        <v>1443</v>
      </c>
    </row>
    <row r="240" spans="1:24">
      <c r="A240" s="1" t="s">
        <v>3130</v>
      </c>
      <c r="B240" s="1" t="s">
        <v>170</v>
      </c>
      <c r="C240" s="1" t="s">
        <v>147</v>
      </c>
      <c r="D240" s="1" t="s">
        <v>184</v>
      </c>
      <c r="E240" s="1" t="s">
        <v>86</v>
      </c>
      <c r="F240" s="1" t="s">
        <v>432</v>
      </c>
      <c r="H240" s="635" t="s">
        <v>736</v>
      </c>
      <c r="I240" s="635" t="s">
        <v>2651</v>
      </c>
      <c r="J240" s="635" t="s">
        <v>768</v>
      </c>
      <c r="K240" s="635" t="s">
        <v>2441</v>
      </c>
      <c r="L240" s="635" t="s">
        <v>800</v>
      </c>
      <c r="M240" s="635" t="s">
        <v>2650</v>
      </c>
      <c r="P240" s="635" t="s">
        <v>2521</v>
      </c>
      <c r="Q240" s="635" t="s">
        <v>580</v>
      </c>
      <c r="W240" s="1" t="s">
        <v>1456</v>
      </c>
      <c r="X240" s="1" t="s">
        <v>1449</v>
      </c>
    </row>
    <row r="241" spans="1:24">
      <c r="A241" s="1" t="s">
        <v>3129</v>
      </c>
      <c r="B241" s="1" t="s">
        <v>204</v>
      </c>
      <c r="C241" s="1" t="s">
        <v>153</v>
      </c>
      <c r="D241" s="1" t="s">
        <v>175</v>
      </c>
      <c r="E241" s="1" t="s">
        <v>77</v>
      </c>
      <c r="F241" s="1" t="s">
        <v>351</v>
      </c>
      <c r="H241" s="1" t="s">
        <v>737</v>
      </c>
      <c r="I241" s="1" t="s">
        <v>2648</v>
      </c>
      <c r="J241" s="1" t="s">
        <v>769</v>
      </c>
      <c r="K241" s="1" t="s">
        <v>2647</v>
      </c>
      <c r="L241" s="1" t="s">
        <v>801</v>
      </c>
      <c r="M241" s="1" t="s">
        <v>2646</v>
      </c>
      <c r="P241" s="1" t="s">
        <v>2519</v>
      </c>
      <c r="Q241" s="1" t="s">
        <v>586</v>
      </c>
      <c r="W241" s="1" t="s">
        <v>1960</v>
      </c>
      <c r="X241" s="1" t="s">
        <v>1450</v>
      </c>
    </row>
    <row r="242" spans="1:24">
      <c r="A242" s="1" t="s">
        <v>3128</v>
      </c>
      <c r="B242" s="1" t="s">
        <v>190</v>
      </c>
      <c r="C242" s="1" t="s">
        <v>143</v>
      </c>
      <c r="D242" s="1" t="s">
        <v>176</v>
      </c>
      <c r="E242" s="1" t="s">
        <v>78</v>
      </c>
      <c r="F242" s="1" t="s">
        <v>360</v>
      </c>
      <c r="H242" s="1" t="s">
        <v>738</v>
      </c>
      <c r="I242" s="1" t="s">
        <v>2644</v>
      </c>
      <c r="J242" s="1" t="s">
        <v>770</v>
      </c>
      <c r="K242" s="1" t="s">
        <v>2643</v>
      </c>
      <c r="L242" s="1" t="s">
        <v>802</v>
      </c>
      <c r="M242" s="1" t="s">
        <v>2642</v>
      </c>
      <c r="P242" s="1" t="s">
        <v>2517</v>
      </c>
      <c r="Q242" s="1" t="s">
        <v>581</v>
      </c>
      <c r="W242" s="1" t="s">
        <v>2000</v>
      </c>
      <c r="X242" s="1" t="s">
        <v>1451</v>
      </c>
    </row>
    <row r="243" spans="1:24">
      <c r="A243" s="1" t="s">
        <v>234</v>
      </c>
      <c r="B243" s="1" t="s">
        <v>169</v>
      </c>
      <c r="C243" s="1" t="s">
        <v>146</v>
      </c>
      <c r="D243" s="1" t="s">
        <v>184</v>
      </c>
      <c r="E243" s="1" t="s">
        <v>86</v>
      </c>
      <c r="F243" s="1" t="s">
        <v>432</v>
      </c>
      <c r="H243" s="1" t="s">
        <v>739</v>
      </c>
      <c r="I243" s="1" t="s">
        <v>2640</v>
      </c>
      <c r="J243" s="1" t="s">
        <v>771</v>
      </c>
      <c r="K243" s="1" t="s">
        <v>2639</v>
      </c>
      <c r="L243" s="1" t="s">
        <v>803</v>
      </c>
      <c r="M243" s="1" t="s">
        <v>2638</v>
      </c>
      <c r="P243" s="1" t="s">
        <v>2515</v>
      </c>
      <c r="Q243" s="1" t="s">
        <v>587</v>
      </c>
      <c r="W243" s="1" t="s">
        <v>2002</v>
      </c>
      <c r="X243" s="1" t="s">
        <v>1452</v>
      </c>
    </row>
    <row r="244" spans="1:24">
      <c r="A244" s="1" t="s">
        <v>242</v>
      </c>
      <c r="B244" s="1" t="s">
        <v>171</v>
      </c>
      <c r="C244" s="1" t="s">
        <v>148</v>
      </c>
      <c r="D244" s="1" t="s">
        <v>175</v>
      </c>
      <c r="E244" s="1" t="s">
        <v>77</v>
      </c>
      <c r="F244" s="1" t="s">
        <v>351</v>
      </c>
      <c r="H244" s="1" t="s">
        <v>740</v>
      </c>
      <c r="I244" s="1" t="s">
        <v>2636</v>
      </c>
      <c r="J244" s="1" t="s">
        <v>772</v>
      </c>
      <c r="K244" s="1" t="s">
        <v>2635</v>
      </c>
      <c r="L244" s="1" t="s">
        <v>804</v>
      </c>
      <c r="M244" s="1" t="s">
        <v>2634</v>
      </c>
      <c r="P244" s="1" t="s">
        <v>2513</v>
      </c>
      <c r="Q244" s="1" t="s">
        <v>588</v>
      </c>
      <c r="W244" s="1" t="s">
        <v>1465</v>
      </c>
      <c r="X244" s="1" t="s">
        <v>1458</v>
      </c>
    </row>
    <row r="245" spans="1:24">
      <c r="A245" s="1" t="s">
        <v>250</v>
      </c>
      <c r="B245" s="1" t="s">
        <v>168</v>
      </c>
      <c r="C245" s="1" t="s">
        <v>145</v>
      </c>
      <c r="D245" s="1" t="s">
        <v>176</v>
      </c>
      <c r="E245" s="1" t="s">
        <v>78</v>
      </c>
      <c r="F245" s="1" t="s">
        <v>360</v>
      </c>
      <c r="H245" s="1" t="s">
        <v>741</v>
      </c>
      <c r="I245" s="1" t="s">
        <v>2632</v>
      </c>
      <c r="J245" s="1" t="s">
        <v>773</v>
      </c>
      <c r="K245" s="1" t="s">
        <v>2631</v>
      </c>
      <c r="L245" s="1" t="s">
        <v>805</v>
      </c>
      <c r="M245" s="1" t="s">
        <v>2630</v>
      </c>
      <c r="P245" s="1" t="s">
        <v>2511</v>
      </c>
      <c r="Q245" s="1" t="s">
        <v>589</v>
      </c>
      <c r="W245" s="1" t="s">
        <v>1965</v>
      </c>
      <c r="X245" s="1" t="s">
        <v>1459</v>
      </c>
    </row>
    <row r="246" spans="1:24">
      <c r="A246" s="1" t="s">
        <v>3127</v>
      </c>
      <c r="B246" s="1" t="s">
        <v>165</v>
      </c>
      <c r="C246" s="1" t="s">
        <v>140</v>
      </c>
      <c r="D246" s="1" t="s">
        <v>176</v>
      </c>
      <c r="E246" s="1" t="s">
        <v>78</v>
      </c>
      <c r="F246" s="1" t="s">
        <v>360</v>
      </c>
      <c r="H246" s="1" t="s">
        <v>742</v>
      </c>
      <c r="I246" s="1" t="s">
        <v>2628</v>
      </c>
      <c r="J246" s="1" t="s">
        <v>774</v>
      </c>
      <c r="K246" s="1" t="s">
        <v>2627</v>
      </c>
      <c r="L246" s="1" t="s">
        <v>806</v>
      </c>
      <c r="M246" s="1" t="s">
        <v>2626</v>
      </c>
      <c r="P246" s="1" t="s">
        <v>2509</v>
      </c>
      <c r="Q246" s="1" t="s">
        <v>590</v>
      </c>
      <c r="W246" s="1" t="s">
        <v>2008</v>
      </c>
      <c r="X246" s="1" t="s">
        <v>1460</v>
      </c>
    </row>
    <row r="247" spans="1:24">
      <c r="A247" s="1" t="s">
        <v>3126</v>
      </c>
      <c r="B247" s="1" t="s">
        <v>163</v>
      </c>
      <c r="C247" s="1" t="s">
        <v>138</v>
      </c>
      <c r="D247" s="1" t="s">
        <v>184</v>
      </c>
      <c r="E247" s="1" t="s">
        <v>86</v>
      </c>
      <c r="F247" s="1" t="s">
        <v>432</v>
      </c>
      <c r="H247" s="1" t="s">
        <v>743</v>
      </c>
      <c r="I247" s="1" t="s">
        <v>2624</v>
      </c>
      <c r="J247" s="1" t="s">
        <v>775</v>
      </c>
      <c r="K247" s="1" t="s">
        <v>2623</v>
      </c>
      <c r="L247" s="1" t="s">
        <v>807</v>
      </c>
      <c r="M247" s="1" t="s">
        <v>2622</v>
      </c>
      <c r="P247" s="1" t="s">
        <v>2507</v>
      </c>
      <c r="Q247" s="1" t="s">
        <v>582</v>
      </c>
      <c r="W247" s="1" t="s">
        <v>2010</v>
      </c>
      <c r="X247" s="1" t="s">
        <v>1461</v>
      </c>
    </row>
    <row r="248" spans="1:24">
      <c r="A248" s="1" t="s">
        <v>3125</v>
      </c>
      <c r="B248" s="1" t="s">
        <v>164</v>
      </c>
      <c r="C248" s="1" t="s">
        <v>139</v>
      </c>
      <c r="D248" s="1" t="s">
        <v>175</v>
      </c>
      <c r="E248" s="1" t="s">
        <v>77</v>
      </c>
      <c r="F248" s="1" t="s">
        <v>351</v>
      </c>
      <c r="H248" s="1" t="s">
        <v>744</v>
      </c>
      <c r="I248" s="1" t="s">
        <v>2620</v>
      </c>
      <c r="J248" s="1" t="s">
        <v>776</v>
      </c>
      <c r="K248" s="1" t="s">
        <v>2619</v>
      </c>
      <c r="L248" s="1" t="s">
        <v>233</v>
      </c>
      <c r="M248" s="1" t="s">
        <v>2618</v>
      </c>
      <c r="P248" s="1" t="s">
        <v>2505</v>
      </c>
      <c r="Q248" s="1" t="s">
        <v>583</v>
      </c>
      <c r="W248" s="1" t="s">
        <v>1472</v>
      </c>
      <c r="X248" s="1" t="s">
        <v>1468</v>
      </c>
    </row>
    <row r="249" spans="1:24">
      <c r="A249" s="1" t="s">
        <v>3124</v>
      </c>
      <c r="B249" s="1" t="s">
        <v>207</v>
      </c>
      <c r="C249" s="1" t="s">
        <v>156</v>
      </c>
      <c r="D249" s="1" t="s">
        <v>176</v>
      </c>
      <c r="E249" s="1" t="s">
        <v>78</v>
      </c>
      <c r="F249" s="1" t="s">
        <v>360</v>
      </c>
      <c r="H249" s="1" t="s">
        <v>745</v>
      </c>
      <c r="I249" s="1" t="s">
        <v>2616</v>
      </c>
      <c r="J249" s="1" t="s">
        <v>777</v>
      </c>
      <c r="K249" s="1" t="s">
        <v>2615</v>
      </c>
      <c r="L249" s="1" t="s">
        <v>234</v>
      </c>
      <c r="M249" s="1" t="s">
        <v>2614</v>
      </c>
      <c r="P249" s="1" t="s">
        <v>2503</v>
      </c>
      <c r="Q249" s="1" t="s">
        <v>584</v>
      </c>
      <c r="W249" s="1" t="s">
        <v>1966</v>
      </c>
      <c r="X249" s="1" t="s">
        <v>1469</v>
      </c>
    </row>
    <row r="250" spans="1:24">
      <c r="A250" s="1" t="s">
        <v>3123</v>
      </c>
      <c r="B250" s="1" t="s">
        <v>189</v>
      </c>
      <c r="C250" s="1" t="s">
        <v>142</v>
      </c>
      <c r="D250" s="1" t="s">
        <v>184</v>
      </c>
      <c r="E250" s="1" t="s">
        <v>86</v>
      </c>
      <c r="F250" s="1" t="s">
        <v>432</v>
      </c>
      <c r="H250" s="1" t="s">
        <v>746</v>
      </c>
      <c r="I250" s="1" t="s">
        <v>2612</v>
      </c>
      <c r="J250" s="1" t="s">
        <v>778</v>
      </c>
      <c r="K250" s="1" t="s">
        <v>2611</v>
      </c>
      <c r="L250" s="1" t="s">
        <v>235</v>
      </c>
      <c r="M250" s="1" t="s">
        <v>2610</v>
      </c>
      <c r="P250" s="1" t="s">
        <v>2501</v>
      </c>
      <c r="Q250" s="1" t="s">
        <v>585</v>
      </c>
      <c r="W250" s="1" t="s">
        <v>2018</v>
      </c>
      <c r="X250" s="1" t="s">
        <v>1470</v>
      </c>
    </row>
    <row r="251" spans="1:24">
      <c r="A251" s="1" t="s">
        <v>3122</v>
      </c>
      <c r="B251" s="1" t="s">
        <v>167</v>
      </c>
      <c r="C251" s="1" t="s">
        <v>144</v>
      </c>
      <c r="D251" s="1" t="s">
        <v>175</v>
      </c>
      <c r="E251" s="1" t="s">
        <v>77</v>
      </c>
      <c r="F251" s="1" t="s">
        <v>351</v>
      </c>
      <c r="H251" s="1" t="s">
        <v>747</v>
      </c>
      <c r="I251" s="1" t="s">
        <v>2608</v>
      </c>
      <c r="J251" s="1" t="s">
        <v>779</v>
      </c>
      <c r="K251" s="1" t="s">
        <v>2607</v>
      </c>
      <c r="L251" s="1" t="s">
        <v>236</v>
      </c>
      <c r="M251" s="1" t="s">
        <v>2606</v>
      </c>
      <c r="P251" s="1" t="s">
        <v>2499</v>
      </c>
      <c r="Q251" s="1" t="s">
        <v>591</v>
      </c>
      <c r="W251" s="1" t="s">
        <v>2022</v>
      </c>
      <c r="X251" s="1" t="s">
        <v>1471</v>
      </c>
    </row>
    <row r="252" spans="1:24">
      <c r="A252" s="1" t="s">
        <v>3121</v>
      </c>
      <c r="B252" s="1" t="s">
        <v>204</v>
      </c>
      <c r="C252" s="1" t="s">
        <v>153</v>
      </c>
      <c r="D252" s="1" t="s">
        <v>176</v>
      </c>
      <c r="E252" s="1" t="s">
        <v>78</v>
      </c>
      <c r="F252" s="1" t="s">
        <v>360</v>
      </c>
      <c r="H252" s="1" t="s">
        <v>748</v>
      </c>
      <c r="I252" s="1" t="s">
        <v>2604</v>
      </c>
      <c r="J252" s="1" t="s">
        <v>780</v>
      </c>
      <c r="K252" s="1" t="s">
        <v>2603</v>
      </c>
      <c r="L252" s="1" t="s">
        <v>237</v>
      </c>
      <c r="M252" s="1" t="s">
        <v>2602</v>
      </c>
      <c r="P252" s="1" t="s">
        <v>2497</v>
      </c>
      <c r="Q252" s="1" t="s">
        <v>980</v>
      </c>
      <c r="W252" s="1" t="s">
        <v>1480</v>
      </c>
      <c r="X252" s="1" t="s">
        <v>1475</v>
      </c>
    </row>
    <row r="253" spans="1:24">
      <c r="A253" s="1" t="s">
        <v>3120</v>
      </c>
      <c r="B253" s="1" t="s">
        <v>190</v>
      </c>
      <c r="C253" s="1" t="s">
        <v>143</v>
      </c>
      <c r="D253" s="1" t="s">
        <v>184</v>
      </c>
      <c r="E253" s="1" t="s">
        <v>86</v>
      </c>
      <c r="F253" s="1" t="s">
        <v>432</v>
      </c>
      <c r="H253" s="1" t="s">
        <v>749</v>
      </c>
      <c r="I253" s="1" t="s">
        <v>2600</v>
      </c>
      <c r="J253" s="1" t="s">
        <v>781</v>
      </c>
      <c r="K253" s="1" t="s">
        <v>2599</v>
      </c>
      <c r="L253" s="1" t="s">
        <v>238</v>
      </c>
      <c r="M253" s="1" t="s">
        <v>2598</v>
      </c>
      <c r="P253" s="1" t="s">
        <v>2495</v>
      </c>
      <c r="Q253" s="1" t="s">
        <v>981</v>
      </c>
      <c r="W253" s="1" t="s">
        <v>1968</v>
      </c>
      <c r="X253" s="1" t="s">
        <v>1476</v>
      </c>
    </row>
    <row r="254" spans="1:24">
      <c r="A254" s="1" t="s">
        <v>3119</v>
      </c>
      <c r="B254" s="1" t="s">
        <v>170</v>
      </c>
      <c r="C254" s="1" t="s">
        <v>147</v>
      </c>
      <c r="D254" s="1" t="s">
        <v>175</v>
      </c>
      <c r="E254" s="1" t="s">
        <v>77</v>
      </c>
      <c r="F254" s="1" t="s">
        <v>351</v>
      </c>
      <c r="H254" s="1" t="s">
        <v>750</v>
      </c>
      <c r="I254" s="1" t="s">
        <v>2596</v>
      </c>
      <c r="J254" s="1" t="s">
        <v>782</v>
      </c>
      <c r="K254" s="1" t="s">
        <v>2595</v>
      </c>
      <c r="L254" s="1" t="s">
        <v>239</v>
      </c>
      <c r="M254" s="1" t="s">
        <v>2594</v>
      </c>
      <c r="P254" s="1" t="s">
        <v>2493</v>
      </c>
      <c r="Q254" s="1" t="s">
        <v>1022</v>
      </c>
      <c r="W254" s="1" t="s">
        <v>2029</v>
      </c>
      <c r="X254" s="1" t="s">
        <v>1477</v>
      </c>
    </row>
    <row r="255" spans="1:24">
      <c r="A255" s="1" t="s">
        <v>235</v>
      </c>
      <c r="B255" s="1" t="s">
        <v>171</v>
      </c>
      <c r="C255" s="1" t="s">
        <v>148</v>
      </c>
      <c r="D255" s="1" t="s">
        <v>176</v>
      </c>
      <c r="E255" s="1" t="s">
        <v>78</v>
      </c>
      <c r="F255" s="1" t="s">
        <v>360</v>
      </c>
      <c r="H255" s="1" t="s">
        <v>751</v>
      </c>
      <c r="I255" s="1" t="s">
        <v>2592</v>
      </c>
      <c r="J255" s="1" t="s">
        <v>783</v>
      </c>
      <c r="K255" s="1" t="s">
        <v>2591</v>
      </c>
      <c r="L255" s="1" t="s">
        <v>240</v>
      </c>
      <c r="M255" s="1" t="s">
        <v>2590</v>
      </c>
      <c r="P255" s="1" t="s">
        <v>2491</v>
      </c>
      <c r="Q255" s="1" t="s">
        <v>982</v>
      </c>
      <c r="W255" s="1" t="s">
        <v>2032</v>
      </c>
      <c r="X255" s="1" t="s">
        <v>1478</v>
      </c>
    </row>
    <row r="256" spans="1:24">
      <c r="A256" s="1" t="s">
        <v>243</v>
      </c>
      <c r="B256" s="1" t="s">
        <v>168</v>
      </c>
      <c r="C256" s="1" t="s">
        <v>145</v>
      </c>
      <c r="D256" s="1" t="s">
        <v>184</v>
      </c>
      <c r="E256" s="1" t="s">
        <v>86</v>
      </c>
      <c r="F256" s="1" t="s">
        <v>432</v>
      </c>
      <c r="H256" s="1" t="s">
        <v>752</v>
      </c>
      <c r="I256" s="1" t="s">
        <v>2588</v>
      </c>
      <c r="J256" s="1" t="s">
        <v>784</v>
      </c>
      <c r="K256" s="1" t="s">
        <v>2587</v>
      </c>
      <c r="L256" s="1" t="s">
        <v>241</v>
      </c>
      <c r="M256" s="1" t="s">
        <v>2586</v>
      </c>
      <c r="P256" s="1" t="s">
        <v>2489</v>
      </c>
      <c r="Q256" s="1" t="s">
        <v>1023</v>
      </c>
      <c r="W256" s="1" t="s">
        <v>1487</v>
      </c>
      <c r="X256" s="1" t="s">
        <v>1482</v>
      </c>
    </row>
    <row r="257" spans="1:24">
      <c r="A257" s="1" t="s">
        <v>251</v>
      </c>
      <c r="B257" s="1" t="s">
        <v>169</v>
      </c>
      <c r="C257" s="1" t="s">
        <v>146</v>
      </c>
      <c r="D257" s="1" t="s">
        <v>175</v>
      </c>
      <c r="E257" s="1" t="s">
        <v>77</v>
      </c>
      <c r="F257" s="1" t="s">
        <v>351</v>
      </c>
      <c r="H257" s="1" t="s">
        <v>753</v>
      </c>
      <c r="I257" s="1" t="s">
        <v>2584</v>
      </c>
      <c r="J257" s="1" t="s">
        <v>785</v>
      </c>
      <c r="K257" s="1" t="s">
        <v>2583</v>
      </c>
      <c r="L257" s="1" t="s">
        <v>242</v>
      </c>
      <c r="M257" s="1" t="s">
        <v>2582</v>
      </c>
      <c r="P257" s="1" t="s">
        <v>2487</v>
      </c>
      <c r="Q257" s="1" t="s">
        <v>984</v>
      </c>
      <c r="W257" s="1" t="s">
        <v>1970</v>
      </c>
      <c r="X257" s="1" t="s">
        <v>1483</v>
      </c>
    </row>
    <row r="258" spans="1:24">
      <c r="A258" s="1" t="s">
        <v>3118</v>
      </c>
      <c r="B258" s="1" t="s">
        <v>189</v>
      </c>
      <c r="C258" s="1" t="s">
        <v>142</v>
      </c>
      <c r="D258" s="1" t="s">
        <v>174</v>
      </c>
      <c r="E258" s="1" t="s">
        <v>76</v>
      </c>
      <c r="F258" s="1" t="s">
        <v>342</v>
      </c>
      <c r="H258" s="1" t="s">
        <v>754</v>
      </c>
      <c r="I258" s="1" t="s">
        <v>2580</v>
      </c>
      <c r="J258" s="1" t="s">
        <v>786</v>
      </c>
      <c r="K258" s="1" t="s">
        <v>2579</v>
      </c>
      <c r="L258" s="1" t="s">
        <v>243</v>
      </c>
      <c r="M258" s="1" t="s">
        <v>2578</v>
      </c>
      <c r="P258" s="1" t="s">
        <v>2485</v>
      </c>
      <c r="Q258" s="1" t="s">
        <v>986</v>
      </c>
      <c r="W258" s="1" t="s">
        <v>2037</v>
      </c>
      <c r="X258" s="1" t="s">
        <v>1484</v>
      </c>
    </row>
    <row r="259" spans="1:24">
      <c r="A259" s="1" t="s">
        <v>3117</v>
      </c>
      <c r="B259" s="1" t="s">
        <v>167</v>
      </c>
      <c r="C259" s="1" t="s">
        <v>144</v>
      </c>
      <c r="D259" s="1" t="s">
        <v>174</v>
      </c>
      <c r="E259" s="1" t="s">
        <v>76</v>
      </c>
      <c r="F259" s="1" t="s">
        <v>342</v>
      </c>
      <c r="H259" s="1" t="s">
        <v>755</v>
      </c>
      <c r="I259" s="1" t="s">
        <v>1696</v>
      </c>
      <c r="J259" s="1" t="s">
        <v>787</v>
      </c>
      <c r="K259" s="1" t="s">
        <v>2576</v>
      </c>
      <c r="L259" s="1" t="s">
        <v>244</v>
      </c>
      <c r="M259" s="1" t="s">
        <v>2575</v>
      </c>
      <c r="P259" s="1" t="s">
        <v>2483</v>
      </c>
      <c r="Q259" s="1" t="s">
        <v>988</v>
      </c>
      <c r="W259" s="1" t="s">
        <v>2040</v>
      </c>
      <c r="X259" s="1" t="s">
        <v>1485</v>
      </c>
    </row>
    <row r="260" spans="1:24">
      <c r="A260" s="1" t="s">
        <v>3116</v>
      </c>
      <c r="B260" s="1" t="s">
        <v>207</v>
      </c>
      <c r="C260" s="1" t="s">
        <v>156</v>
      </c>
      <c r="D260" s="1" t="s">
        <v>174</v>
      </c>
      <c r="E260" s="1" t="s">
        <v>76</v>
      </c>
      <c r="F260" s="1" t="s">
        <v>342</v>
      </c>
      <c r="H260" s="1" t="s">
        <v>756</v>
      </c>
      <c r="I260" s="1" t="s">
        <v>2573</v>
      </c>
      <c r="J260" s="1" t="s">
        <v>788</v>
      </c>
      <c r="K260" s="1" t="s">
        <v>2572</v>
      </c>
      <c r="L260" s="1" t="s">
        <v>245</v>
      </c>
      <c r="M260" s="1" t="s">
        <v>2571</v>
      </c>
      <c r="P260" s="1" t="s">
        <v>2481</v>
      </c>
      <c r="Q260" s="1" t="s">
        <v>1025</v>
      </c>
      <c r="W260" s="1" t="s">
        <v>1496</v>
      </c>
      <c r="X260" s="1" t="s">
        <v>1490</v>
      </c>
    </row>
    <row r="261" spans="1:24">
      <c r="A261" s="1" t="s">
        <v>3115</v>
      </c>
      <c r="B261" s="1" t="s">
        <v>190</v>
      </c>
      <c r="C261" s="1" t="s">
        <v>143</v>
      </c>
      <c r="D261" s="1" t="s">
        <v>174</v>
      </c>
      <c r="E261" s="1" t="s">
        <v>76</v>
      </c>
      <c r="F261" s="1" t="s">
        <v>342</v>
      </c>
      <c r="H261" s="1" t="s">
        <v>757</v>
      </c>
      <c r="I261" s="1" t="s">
        <v>2569</v>
      </c>
      <c r="J261" s="1" t="s">
        <v>789</v>
      </c>
      <c r="K261" s="1" t="s">
        <v>2568</v>
      </c>
      <c r="L261" s="1" t="s">
        <v>246</v>
      </c>
      <c r="M261" s="1" t="s">
        <v>2567</v>
      </c>
      <c r="P261" s="1" t="s">
        <v>2478</v>
      </c>
      <c r="Q261" s="1" t="s">
        <v>990</v>
      </c>
      <c r="W261" s="1" t="s">
        <v>1973</v>
      </c>
      <c r="X261" s="1" t="s">
        <v>1491</v>
      </c>
    </row>
    <row r="262" spans="1:24">
      <c r="A262" s="1" t="s">
        <v>3114</v>
      </c>
      <c r="B262" s="1" t="s">
        <v>170</v>
      </c>
      <c r="C262" s="1" t="s">
        <v>147</v>
      </c>
      <c r="D262" s="1" t="s">
        <v>174</v>
      </c>
      <c r="E262" s="1" t="s">
        <v>76</v>
      </c>
      <c r="F262" s="1" t="s">
        <v>342</v>
      </c>
      <c r="H262" s="1" t="s">
        <v>758</v>
      </c>
      <c r="I262" s="1" t="s">
        <v>2565</v>
      </c>
      <c r="J262" s="1" t="s">
        <v>790</v>
      </c>
      <c r="K262" s="1" t="s">
        <v>2564</v>
      </c>
      <c r="L262" s="1" t="s">
        <v>247</v>
      </c>
      <c r="M262" s="1" t="s">
        <v>2563</v>
      </c>
      <c r="P262" s="1" t="s">
        <v>2476</v>
      </c>
      <c r="Q262" s="1" t="s">
        <v>304</v>
      </c>
      <c r="W262" s="1" t="s">
        <v>2047</v>
      </c>
      <c r="X262" s="1" t="s">
        <v>1492</v>
      </c>
    </row>
    <row r="263" spans="1:24">
      <c r="A263" s="1" t="s">
        <v>3113</v>
      </c>
      <c r="B263" s="1" t="s">
        <v>204</v>
      </c>
      <c r="C263" s="1" t="s">
        <v>153</v>
      </c>
      <c r="D263" s="1" t="s">
        <v>174</v>
      </c>
      <c r="E263" s="1" t="s">
        <v>76</v>
      </c>
      <c r="F263" s="1" t="s">
        <v>342</v>
      </c>
      <c r="H263" s="1" t="s">
        <v>759</v>
      </c>
      <c r="I263" s="1" t="s">
        <v>2561</v>
      </c>
      <c r="J263" s="1" t="s">
        <v>791</v>
      </c>
      <c r="K263" s="1" t="s">
        <v>2560</v>
      </c>
      <c r="L263" s="1" t="s">
        <v>248</v>
      </c>
      <c r="M263" s="1" t="s">
        <v>2559</v>
      </c>
      <c r="P263" s="1" t="s">
        <v>2474</v>
      </c>
      <c r="Q263" s="1" t="s">
        <v>1026</v>
      </c>
      <c r="W263" s="1" t="s">
        <v>2050</v>
      </c>
      <c r="X263" s="1" t="s">
        <v>1493</v>
      </c>
    </row>
    <row r="264" spans="1:24">
      <c r="A264" s="1" t="s">
        <v>3112</v>
      </c>
      <c r="B264" s="1" t="s">
        <v>168</v>
      </c>
      <c r="C264" s="1" t="s">
        <v>145</v>
      </c>
      <c r="D264" s="1" t="s">
        <v>174</v>
      </c>
      <c r="E264" s="1" t="s">
        <v>76</v>
      </c>
      <c r="F264" s="1" t="s">
        <v>342</v>
      </c>
      <c r="H264" s="1" t="s">
        <v>760</v>
      </c>
      <c r="I264" s="1" t="s">
        <v>2557</v>
      </c>
      <c r="J264" s="1" t="s">
        <v>792</v>
      </c>
      <c r="K264" s="1" t="s">
        <v>2556</v>
      </c>
      <c r="L264" s="1" t="s">
        <v>249</v>
      </c>
      <c r="M264" s="1" t="s">
        <v>2555</v>
      </c>
      <c r="P264" s="1" t="s">
        <v>2472</v>
      </c>
      <c r="Q264" s="1" t="s">
        <v>306</v>
      </c>
      <c r="W264" s="1" t="s">
        <v>1503</v>
      </c>
      <c r="X264" s="1" t="s">
        <v>1499</v>
      </c>
    </row>
    <row r="265" spans="1:24">
      <c r="A265" s="1" t="s">
        <v>3111</v>
      </c>
      <c r="B265" s="1" t="s">
        <v>169</v>
      </c>
      <c r="C265" s="1" t="s">
        <v>146</v>
      </c>
      <c r="D265" s="1" t="s">
        <v>174</v>
      </c>
      <c r="E265" s="1" t="s">
        <v>76</v>
      </c>
      <c r="F265" s="1" t="s">
        <v>342</v>
      </c>
      <c r="H265" s="1" t="s">
        <v>761</v>
      </c>
      <c r="I265" s="1" t="s">
        <v>2553</v>
      </c>
      <c r="J265" s="1" t="s">
        <v>793</v>
      </c>
      <c r="K265" s="1" t="s">
        <v>2552</v>
      </c>
      <c r="L265" s="1" t="s">
        <v>250</v>
      </c>
      <c r="M265" s="1" t="s">
        <v>2551</v>
      </c>
      <c r="P265" s="1" t="s">
        <v>2470</v>
      </c>
      <c r="Q265" s="1" t="s">
        <v>1027</v>
      </c>
      <c r="W265" s="1" t="s">
        <v>1974</v>
      </c>
      <c r="X265" s="1" t="s">
        <v>1500</v>
      </c>
    </row>
    <row r="266" spans="1:24">
      <c r="A266" s="1" t="s">
        <v>3110</v>
      </c>
      <c r="B266" s="1" t="s">
        <v>171</v>
      </c>
      <c r="C266" s="1" t="s">
        <v>148</v>
      </c>
      <c r="D266" s="1" t="s">
        <v>174</v>
      </c>
      <c r="E266" s="1" t="s">
        <v>76</v>
      </c>
      <c r="F266" s="1" t="s">
        <v>342</v>
      </c>
      <c r="H266" s="1" t="s">
        <v>762</v>
      </c>
      <c r="I266" s="1" t="s">
        <v>2549</v>
      </c>
      <c r="J266" s="1" t="s">
        <v>794</v>
      </c>
      <c r="K266" s="1" t="s">
        <v>2548</v>
      </c>
      <c r="L266" s="1" t="s">
        <v>251</v>
      </c>
      <c r="M266" s="1" t="s">
        <v>2547</v>
      </c>
      <c r="P266" s="1" t="s">
        <v>2468</v>
      </c>
      <c r="Q266" s="1" t="s">
        <v>994</v>
      </c>
      <c r="W266" s="1" t="s">
        <v>2056</v>
      </c>
      <c r="X266" s="1" t="s">
        <v>1501</v>
      </c>
    </row>
    <row r="267" spans="1:24">
      <c r="A267" s="1" t="s">
        <v>236</v>
      </c>
      <c r="B267" s="1" t="s">
        <v>163</v>
      </c>
      <c r="C267" s="1" t="s">
        <v>138</v>
      </c>
      <c r="D267" s="1" t="s">
        <v>174</v>
      </c>
      <c r="E267" s="1" t="s">
        <v>76</v>
      </c>
      <c r="F267" s="1" t="s">
        <v>342</v>
      </c>
      <c r="H267" s="1" t="s">
        <v>763</v>
      </c>
      <c r="I267" s="1" t="s">
        <v>2545</v>
      </c>
      <c r="J267" s="1" t="s">
        <v>795</v>
      </c>
      <c r="K267" s="1" t="s">
        <v>2544</v>
      </c>
      <c r="L267" s="1" t="s">
        <v>252</v>
      </c>
      <c r="M267" s="1" t="s">
        <v>2543</v>
      </c>
      <c r="P267" s="1" t="s">
        <v>2466</v>
      </c>
      <c r="Q267" s="1" t="s">
        <v>1028</v>
      </c>
      <c r="W267" s="1" t="s">
        <v>2058</v>
      </c>
      <c r="X267" s="1" t="s">
        <v>1502</v>
      </c>
    </row>
    <row r="268" spans="1:24">
      <c r="A268" s="1" t="s">
        <v>244</v>
      </c>
      <c r="B268" s="1" t="s">
        <v>164</v>
      </c>
      <c r="C268" s="1" t="s">
        <v>139</v>
      </c>
      <c r="D268" s="1" t="s">
        <v>174</v>
      </c>
      <c r="E268" s="1" t="s">
        <v>76</v>
      </c>
      <c r="F268" s="1" t="s">
        <v>342</v>
      </c>
      <c r="H268" s="1" t="s">
        <v>764</v>
      </c>
      <c r="I268" s="1" t="s">
        <v>2541</v>
      </c>
      <c r="J268" s="1" t="s">
        <v>796</v>
      </c>
      <c r="K268" s="1" t="s">
        <v>2540</v>
      </c>
      <c r="L268" s="1" t="s">
        <v>253</v>
      </c>
      <c r="M268" s="1" t="s">
        <v>2539</v>
      </c>
      <c r="P268" s="1" t="s">
        <v>2464</v>
      </c>
      <c r="Q268" s="1" t="s">
        <v>996</v>
      </c>
      <c r="W268" s="1" t="s">
        <v>1510</v>
      </c>
      <c r="X268" s="1" t="s">
        <v>1505</v>
      </c>
    </row>
    <row r="269" spans="1:24">
      <c r="A269" s="1" t="s">
        <v>252</v>
      </c>
      <c r="B269" s="1" t="s">
        <v>165</v>
      </c>
      <c r="C269" s="1" t="s">
        <v>140</v>
      </c>
      <c r="D269" s="1" t="s">
        <v>174</v>
      </c>
      <c r="E269" s="1" t="s">
        <v>76</v>
      </c>
      <c r="F269" s="1" t="s">
        <v>342</v>
      </c>
      <c r="H269" s="1" t="s">
        <v>765</v>
      </c>
      <c r="I269" s="1" t="s">
        <v>2537</v>
      </c>
      <c r="J269" s="1" t="s">
        <v>797</v>
      </c>
      <c r="K269" s="1" t="s">
        <v>2536</v>
      </c>
      <c r="L269" s="1" t="s">
        <v>254</v>
      </c>
      <c r="M269" s="1" t="s">
        <v>2535</v>
      </c>
      <c r="P269" s="1" t="s">
        <v>2462</v>
      </c>
      <c r="Q269" s="1" t="s">
        <v>998</v>
      </c>
      <c r="W269" s="1" t="s">
        <v>1975</v>
      </c>
      <c r="X269" s="1" t="s">
        <v>1506</v>
      </c>
    </row>
    <row r="270" spans="1:24">
      <c r="A270" s="1" t="s">
        <v>3109</v>
      </c>
      <c r="B270" s="1" t="s">
        <v>190</v>
      </c>
      <c r="C270" s="1" t="s">
        <v>143</v>
      </c>
      <c r="D270" s="1" t="s">
        <v>183</v>
      </c>
      <c r="E270" s="1" t="s">
        <v>85</v>
      </c>
      <c r="F270" s="1" t="s">
        <v>423</v>
      </c>
      <c r="H270" s="1" t="s">
        <v>766</v>
      </c>
      <c r="I270" s="1" t="s">
        <v>2533</v>
      </c>
      <c r="J270" s="1" t="s">
        <v>798</v>
      </c>
      <c r="K270" s="1" t="s">
        <v>2532</v>
      </c>
      <c r="L270" s="1" t="s">
        <v>255</v>
      </c>
      <c r="M270" s="1" t="s">
        <v>2531</v>
      </c>
      <c r="P270" s="1" t="s">
        <v>2460</v>
      </c>
      <c r="Q270" s="1" t="s">
        <v>1000</v>
      </c>
      <c r="W270" s="1" t="s">
        <v>2064</v>
      </c>
      <c r="X270" s="1" t="s">
        <v>1507</v>
      </c>
    </row>
    <row r="271" spans="1:24">
      <c r="A271" s="1" t="s">
        <v>3108</v>
      </c>
      <c r="B271" s="1" t="s">
        <v>170</v>
      </c>
      <c r="C271" s="1" t="s">
        <v>147</v>
      </c>
      <c r="D271" s="1" t="s">
        <v>183</v>
      </c>
      <c r="E271" s="1" t="s">
        <v>85</v>
      </c>
      <c r="F271" s="1" t="s">
        <v>423</v>
      </c>
      <c r="H271" s="1" t="s">
        <v>767</v>
      </c>
      <c r="I271" s="1" t="s">
        <v>2529</v>
      </c>
      <c r="J271" s="1" t="s">
        <v>799</v>
      </c>
      <c r="K271" s="1" t="s">
        <v>2528</v>
      </c>
      <c r="L271" s="1" t="s">
        <v>256</v>
      </c>
      <c r="M271" s="1" t="s">
        <v>2527</v>
      </c>
      <c r="P271" s="1" t="s">
        <v>2458</v>
      </c>
      <c r="Q271" s="1" t="s">
        <v>1029</v>
      </c>
      <c r="W271" s="1" t="s">
        <v>2068</v>
      </c>
      <c r="X271" s="1" t="s">
        <v>1508</v>
      </c>
    </row>
    <row r="272" spans="1:24">
      <c r="A272" s="1" t="s">
        <v>3107</v>
      </c>
      <c r="B272" s="1" t="s">
        <v>204</v>
      </c>
      <c r="C272" s="1" t="s">
        <v>153</v>
      </c>
      <c r="D272" s="1" t="s">
        <v>183</v>
      </c>
      <c r="E272" s="1" t="s">
        <v>85</v>
      </c>
      <c r="F272" s="1" t="s">
        <v>423</v>
      </c>
      <c r="P272" s="1" t="s">
        <v>2456</v>
      </c>
      <c r="Q272" s="1" t="s">
        <v>1002</v>
      </c>
      <c r="W272" s="1" t="s">
        <v>1518</v>
      </c>
      <c r="X272" s="1" t="s">
        <v>1512</v>
      </c>
    </row>
    <row r="273" spans="1:24">
      <c r="A273" s="1" t="s">
        <v>3106</v>
      </c>
      <c r="B273" s="1" t="s">
        <v>168</v>
      </c>
      <c r="C273" s="1" t="s">
        <v>145</v>
      </c>
      <c r="D273" s="1" t="s">
        <v>183</v>
      </c>
      <c r="E273" s="1" t="s">
        <v>85</v>
      </c>
      <c r="F273" s="1" t="s">
        <v>423</v>
      </c>
      <c r="P273" s="1" t="s">
        <v>2454</v>
      </c>
      <c r="Q273" s="1" t="s">
        <v>1030</v>
      </c>
      <c r="W273" s="1" t="s">
        <v>1978</v>
      </c>
      <c r="X273" s="1" t="s">
        <v>1513</v>
      </c>
    </row>
    <row r="274" spans="1:24">
      <c r="A274" s="1" t="s">
        <v>3105</v>
      </c>
      <c r="B274" s="1" t="s">
        <v>169</v>
      </c>
      <c r="C274" s="1" t="s">
        <v>146</v>
      </c>
      <c r="D274" s="1" t="s">
        <v>183</v>
      </c>
      <c r="E274" s="1" t="s">
        <v>85</v>
      </c>
      <c r="F274" s="1" t="s">
        <v>423</v>
      </c>
      <c r="P274" s="1" t="s">
        <v>2452</v>
      </c>
      <c r="Q274" s="1" t="s">
        <v>1004</v>
      </c>
      <c r="W274" s="1" t="s">
        <v>2075</v>
      </c>
      <c r="X274" s="1" t="s">
        <v>1514</v>
      </c>
    </row>
    <row r="275" spans="1:24">
      <c r="A275" s="1" t="s">
        <v>3104</v>
      </c>
      <c r="B275" s="1" t="s">
        <v>171</v>
      </c>
      <c r="C275" s="1" t="s">
        <v>148</v>
      </c>
      <c r="D275" s="1" t="s">
        <v>183</v>
      </c>
      <c r="E275" s="1" t="s">
        <v>85</v>
      </c>
      <c r="F275" s="1" t="s">
        <v>423</v>
      </c>
      <c r="P275" s="1" t="s">
        <v>2450</v>
      </c>
      <c r="Q275" s="1" t="s">
        <v>1031</v>
      </c>
      <c r="W275" s="1" t="s">
        <v>2078</v>
      </c>
      <c r="X275" s="1" t="s">
        <v>1515</v>
      </c>
    </row>
    <row r="276" spans="1:24">
      <c r="A276" s="1" t="s">
        <v>3103</v>
      </c>
      <c r="B276" s="1" t="s">
        <v>163</v>
      </c>
      <c r="C276" s="1" t="s">
        <v>138</v>
      </c>
      <c r="D276" s="1" t="s">
        <v>183</v>
      </c>
      <c r="E276" s="1" t="s">
        <v>85</v>
      </c>
      <c r="F276" s="1" t="s">
        <v>423</v>
      </c>
      <c r="P276" s="1" t="s">
        <v>2448</v>
      </c>
      <c r="Q276" s="1" t="s">
        <v>1006</v>
      </c>
      <c r="W276" s="1" t="s">
        <v>1525</v>
      </c>
      <c r="X276" s="1" t="s">
        <v>1520</v>
      </c>
    </row>
    <row r="277" spans="1:24">
      <c r="A277" s="1" t="s">
        <v>3102</v>
      </c>
      <c r="B277" s="1" t="s">
        <v>164</v>
      </c>
      <c r="C277" s="1" t="s">
        <v>139</v>
      </c>
      <c r="D277" s="1" t="s">
        <v>183</v>
      </c>
      <c r="E277" s="1" t="s">
        <v>85</v>
      </c>
      <c r="F277" s="1" t="s">
        <v>423</v>
      </c>
      <c r="P277" s="1" t="s">
        <v>2446</v>
      </c>
      <c r="Q277" s="1" t="s">
        <v>1032</v>
      </c>
      <c r="W277" s="1" t="s">
        <v>1980</v>
      </c>
      <c r="X277" s="1" t="s">
        <v>1521</v>
      </c>
    </row>
    <row r="278" spans="1:24">
      <c r="A278" s="1" t="s">
        <v>3101</v>
      </c>
      <c r="B278" s="1" t="s">
        <v>165</v>
      </c>
      <c r="C278" s="1" t="s">
        <v>140</v>
      </c>
      <c r="D278" s="1" t="s">
        <v>183</v>
      </c>
      <c r="E278" s="1" t="s">
        <v>85</v>
      </c>
      <c r="F278" s="1" t="s">
        <v>423</v>
      </c>
      <c r="P278" s="1" t="s">
        <v>2444</v>
      </c>
      <c r="Q278" s="1" t="s">
        <v>1008</v>
      </c>
      <c r="W278" s="1" t="s">
        <v>2083</v>
      </c>
      <c r="X278" s="1" t="s">
        <v>1522</v>
      </c>
    </row>
    <row r="279" spans="1:24">
      <c r="A279" s="1" t="s">
        <v>237</v>
      </c>
      <c r="B279" s="1" t="s">
        <v>189</v>
      </c>
      <c r="C279" s="1" t="s">
        <v>142</v>
      </c>
      <c r="D279" s="1" t="s">
        <v>183</v>
      </c>
      <c r="E279" s="1" t="s">
        <v>85</v>
      </c>
      <c r="F279" s="1" t="s">
        <v>423</v>
      </c>
      <c r="P279" s="1" t="s">
        <v>2442</v>
      </c>
      <c r="Q279" s="1" t="s">
        <v>1033</v>
      </c>
      <c r="W279" s="1" t="s">
        <v>2086</v>
      </c>
      <c r="X279" s="1" t="s">
        <v>1523</v>
      </c>
    </row>
    <row r="280" spans="1:24">
      <c r="A280" s="1" t="s">
        <v>245</v>
      </c>
      <c r="B280" s="1" t="s">
        <v>167</v>
      </c>
      <c r="C280" s="1" t="s">
        <v>144</v>
      </c>
      <c r="D280" s="1" t="s">
        <v>183</v>
      </c>
      <c r="E280" s="1" t="s">
        <v>85</v>
      </c>
      <c r="F280" s="1" t="s">
        <v>423</v>
      </c>
      <c r="P280" s="1" t="s">
        <v>2440</v>
      </c>
      <c r="Q280" s="1" t="s">
        <v>1009</v>
      </c>
      <c r="W280" s="1" t="s">
        <v>1531</v>
      </c>
      <c r="X280" s="1" t="s">
        <v>1527</v>
      </c>
    </row>
    <row r="281" spans="1:24">
      <c r="A281" s="1" t="s">
        <v>253</v>
      </c>
      <c r="B281" s="1" t="s">
        <v>207</v>
      </c>
      <c r="C281" s="1" t="s">
        <v>156</v>
      </c>
      <c r="D281" s="1" t="s">
        <v>183</v>
      </c>
      <c r="E281" s="1" t="s">
        <v>85</v>
      </c>
      <c r="F281" s="1" t="s">
        <v>423</v>
      </c>
      <c r="P281" s="1" t="s">
        <v>2438</v>
      </c>
      <c r="Q281" s="1" t="s">
        <v>1034</v>
      </c>
      <c r="W281" s="1" t="s">
        <v>1982</v>
      </c>
      <c r="X281" s="1" t="s">
        <v>1528</v>
      </c>
    </row>
    <row r="282" spans="1:24">
      <c r="A282" s="1" t="s">
        <v>195</v>
      </c>
      <c r="B282" s="1" t="s">
        <v>168</v>
      </c>
      <c r="C282" s="1" t="s">
        <v>145</v>
      </c>
      <c r="D282" s="1" t="s">
        <v>188</v>
      </c>
      <c r="E282" s="1" t="s">
        <v>90</v>
      </c>
      <c r="F282" s="1" t="s">
        <v>468</v>
      </c>
      <c r="P282" s="1" t="s">
        <v>2436</v>
      </c>
      <c r="Q282" s="1" t="s">
        <v>1012</v>
      </c>
      <c r="W282" s="1" t="s">
        <v>2092</v>
      </c>
      <c r="X282" s="1" t="s">
        <v>1529</v>
      </c>
    </row>
    <row r="283" spans="1:24">
      <c r="A283" s="1" t="s">
        <v>196</v>
      </c>
      <c r="B283" s="1" t="s">
        <v>169</v>
      </c>
      <c r="C283" s="1" t="s">
        <v>146</v>
      </c>
      <c r="D283" s="1" t="s">
        <v>179</v>
      </c>
      <c r="E283" s="1" t="s">
        <v>81</v>
      </c>
      <c r="F283" s="1" t="s">
        <v>387</v>
      </c>
      <c r="P283" s="1" t="s">
        <v>2434</v>
      </c>
      <c r="Q283" s="1" t="s">
        <v>1035</v>
      </c>
      <c r="W283" s="1" t="s">
        <v>2094</v>
      </c>
      <c r="X283" s="1" t="s">
        <v>1530</v>
      </c>
    </row>
    <row r="284" spans="1:24">
      <c r="A284" s="1" t="s">
        <v>197</v>
      </c>
      <c r="B284" s="1" t="s">
        <v>171</v>
      </c>
      <c r="C284" s="1" t="s">
        <v>148</v>
      </c>
      <c r="D284" s="1" t="s">
        <v>181</v>
      </c>
      <c r="E284" s="1" t="s">
        <v>83</v>
      </c>
      <c r="F284" s="1" t="s">
        <v>405</v>
      </c>
      <c r="P284" s="1" t="s">
        <v>2433</v>
      </c>
      <c r="Q284" s="1" t="s">
        <v>1014</v>
      </c>
      <c r="W284" s="1" t="s">
        <v>1539</v>
      </c>
      <c r="X284" s="1" t="s">
        <v>1534</v>
      </c>
    </row>
    <row r="285" spans="1:24">
      <c r="A285" s="1" t="s">
        <v>198</v>
      </c>
      <c r="B285" s="1" t="s">
        <v>163</v>
      </c>
      <c r="C285" s="1" t="s">
        <v>138</v>
      </c>
      <c r="D285" s="1" t="s">
        <v>188</v>
      </c>
      <c r="E285" s="1" t="s">
        <v>90</v>
      </c>
      <c r="F285" s="1" t="s">
        <v>468</v>
      </c>
      <c r="P285" s="1" t="s">
        <v>2431</v>
      </c>
      <c r="Q285" s="1" t="s">
        <v>1016</v>
      </c>
      <c r="W285" s="1" t="s">
        <v>1983</v>
      </c>
      <c r="X285" s="1" t="s">
        <v>1535</v>
      </c>
    </row>
    <row r="286" spans="1:24">
      <c r="A286" s="1" t="s">
        <v>199</v>
      </c>
      <c r="B286" s="1" t="s">
        <v>164</v>
      </c>
      <c r="C286" s="1" t="s">
        <v>139</v>
      </c>
      <c r="D286" s="1" t="s">
        <v>179</v>
      </c>
      <c r="E286" s="1" t="s">
        <v>81</v>
      </c>
      <c r="F286" s="1" t="s">
        <v>387</v>
      </c>
      <c r="P286" s="1" t="s">
        <v>2429</v>
      </c>
      <c r="Q286" s="1" t="s">
        <v>1018</v>
      </c>
      <c r="W286" s="1" t="s">
        <v>2099</v>
      </c>
      <c r="X286" s="1" t="s">
        <v>1536</v>
      </c>
    </row>
    <row r="287" spans="1:24">
      <c r="A287" s="1" t="s">
        <v>200</v>
      </c>
      <c r="B287" s="1" t="s">
        <v>165</v>
      </c>
      <c r="C287" s="1" t="s">
        <v>140</v>
      </c>
      <c r="D287" s="1" t="s">
        <v>181</v>
      </c>
      <c r="E287" s="1" t="s">
        <v>83</v>
      </c>
      <c r="F287" s="1" t="s">
        <v>405</v>
      </c>
      <c r="P287" s="1" t="s">
        <v>2427</v>
      </c>
      <c r="Q287" s="1" t="s">
        <v>1036</v>
      </c>
      <c r="W287" s="1" t="s">
        <v>2102</v>
      </c>
      <c r="X287" s="1" t="s">
        <v>1537</v>
      </c>
    </row>
    <row r="288" spans="1:24">
      <c r="A288" s="1" t="s">
        <v>231</v>
      </c>
      <c r="B288" s="1" t="s">
        <v>189</v>
      </c>
      <c r="C288" s="1" t="s">
        <v>142</v>
      </c>
      <c r="D288" s="1" t="s">
        <v>188</v>
      </c>
      <c r="E288" s="1" t="s">
        <v>90</v>
      </c>
      <c r="F288" s="1" t="s">
        <v>468</v>
      </c>
      <c r="P288" s="1" t="s">
        <v>736</v>
      </c>
      <c r="Q288" s="1" t="s">
        <v>2425</v>
      </c>
      <c r="W288" s="1" t="s">
        <v>1546</v>
      </c>
      <c r="X288" s="1" t="s">
        <v>1541</v>
      </c>
    </row>
    <row r="289" spans="1:24">
      <c r="A289" s="1" t="s">
        <v>232</v>
      </c>
      <c r="B289" s="1" t="s">
        <v>167</v>
      </c>
      <c r="C289" s="1" t="s">
        <v>144</v>
      </c>
      <c r="D289" s="1" t="s">
        <v>179</v>
      </c>
      <c r="E289" s="1" t="s">
        <v>81</v>
      </c>
      <c r="F289" s="1" t="s">
        <v>387</v>
      </c>
      <c r="P289" s="1" t="s">
        <v>737</v>
      </c>
      <c r="Q289" s="1" t="s">
        <v>2423</v>
      </c>
      <c r="W289" s="1" t="s">
        <v>1986</v>
      </c>
      <c r="X289" s="1" t="s">
        <v>1542</v>
      </c>
    </row>
    <row r="290" spans="1:24">
      <c r="A290" s="1" t="s">
        <v>3100</v>
      </c>
      <c r="B290" s="1" t="s">
        <v>207</v>
      </c>
      <c r="C290" s="1" t="s">
        <v>156</v>
      </c>
      <c r="D290" s="1" t="s">
        <v>181</v>
      </c>
      <c r="E290" s="1" t="s">
        <v>83</v>
      </c>
      <c r="F290" s="1" t="s">
        <v>405</v>
      </c>
      <c r="P290" s="1" t="s">
        <v>738</v>
      </c>
      <c r="Q290" s="1" t="s">
        <v>2421</v>
      </c>
      <c r="W290" s="1" t="s">
        <v>2104</v>
      </c>
      <c r="X290" s="1" t="s">
        <v>1543</v>
      </c>
    </row>
    <row r="291" spans="1:24">
      <c r="A291" s="1" t="s">
        <v>238</v>
      </c>
      <c r="B291" s="1" t="s">
        <v>190</v>
      </c>
      <c r="C291" s="1" t="s">
        <v>143</v>
      </c>
      <c r="D291" s="1" t="s">
        <v>188</v>
      </c>
      <c r="E291" s="1" t="s">
        <v>90</v>
      </c>
      <c r="F291" s="1" t="s">
        <v>468</v>
      </c>
      <c r="P291" s="1" t="s">
        <v>739</v>
      </c>
      <c r="Q291" s="1" t="s">
        <v>2419</v>
      </c>
      <c r="W291" s="1" t="s">
        <v>2105</v>
      </c>
      <c r="X291" s="1" t="s">
        <v>1544</v>
      </c>
    </row>
    <row r="292" spans="1:24">
      <c r="A292" s="1" t="s">
        <v>246</v>
      </c>
      <c r="B292" s="1" t="s">
        <v>170</v>
      </c>
      <c r="C292" s="1" t="s">
        <v>147</v>
      </c>
      <c r="D292" s="1" t="s">
        <v>179</v>
      </c>
      <c r="E292" s="1" t="s">
        <v>81</v>
      </c>
      <c r="F292" s="1" t="s">
        <v>387</v>
      </c>
      <c r="P292" s="1" t="s">
        <v>740</v>
      </c>
      <c r="Q292" s="1" t="s">
        <v>2417</v>
      </c>
      <c r="W292" s="1" t="s">
        <v>1554</v>
      </c>
      <c r="X292" s="1" t="s">
        <v>1548</v>
      </c>
    </row>
    <row r="293" spans="1:24">
      <c r="A293" s="1" t="s">
        <v>254</v>
      </c>
      <c r="B293" s="1" t="s">
        <v>204</v>
      </c>
      <c r="C293" s="1" t="s">
        <v>153</v>
      </c>
      <c r="D293" s="1" t="s">
        <v>181</v>
      </c>
      <c r="E293" s="1" t="s">
        <v>83</v>
      </c>
      <c r="F293" s="1" t="s">
        <v>405</v>
      </c>
      <c r="P293" s="1" t="s">
        <v>741</v>
      </c>
      <c r="Q293" s="1" t="s">
        <v>2415</v>
      </c>
      <c r="W293" s="1" t="s">
        <v>1988</v>
      </c>
      <c r="X293" s="1" t="s">
        <v>1549</v>
      </c>
    </row>
    <row r="294" spans="1:24">
      <c r="A294" s="1" t="s">
        <v>3099</v>
      </c>
      <c r="B294" s="1" t="s">
        <v>169</v>
      </c>
      <c r="C294" s="1" t="s">
        <v>146</v>
      </c>
      <c r="D294" s="1" t="s">
        <v>181</v>
      </c>
      <c r="E294" s="1" t="s">
        <v>83</v>
      </c>
      <c r="F294" s="1" t="s">
        <v>405</v>
      </c>
      <c r="P294" s="1" t="s">
        <v>742</v>
      </c>
      <c r="Q294" s="1" t="s">
        <v>2413</v>
      </c>
      <c r="W294" s="1" t="s">
        <v>2107</v>
      </c>
      <c r="X294" s="1" t="s">
        <v>1550</v>
      </c>
    </row>
    <row r="295" spans="1:24">
      <c r="A295" s="1" t="s">
        <v>3098</v>
      </c>
      <c r="B295" s="1" t="s">
        <v>171</v>
      </c>
      <c r="C295" s="1" t="s">
        <v>148</v>
      </c>
      <c r="D295" s="1" t="s">
        <v>188</v>
      </c>
      <c r="E295" s="1" t="s">
        <v>90</v>
      </c>
      <c r="F295" s="1" t="s">
        <v>468</v>
      </c>
      <c r="P295" s="1" t="s">
        <v>743</v>
      </c>
      <c r="Q295" s="1" t="s">
        <v>2411</v>
      </c>
      <c r="W295" s="1" t="s">
        <v>2108</v>
      </c>
      <c r="X295" s="1" t="s">
        <v>1551</v>
      </c>
    </row>
    <row r="296" spans="1:24">
      <c r="A296" s="1" t="s">
        <v>3097</v>
      </c>
      <c r="B296" s="1" t="s">
        <v>168</v>
      </c>
      <c r="C296" s="1" t="s">
        <v>145</v>
      </c>
      <c r="D296" s="1" t="s">
        <v>179</v>
      </c>
      <c r="E296" s="1" t="s">
        <v>81</v>
      </c>
      <c r="F296" s="1" t="s">
        <v>387</v>
      </c>
      <c r="P296" s="1" t="s">
        <v>744</v>
      </c>
      <c r="Q296" s="1" t="s">
        <v>2409</v>
      </c>
      <c r="W296" s="1" t="s">
        <v>1560</v>
      </c>
      <c r="X296" s="1" t="s">
        <v>1556</v>
      </c>
    </row>
    <row r="297" spans="1:24">
      <c r="A297" s="1" t="s">
        <v>3096</v>
      </c>
      <c r="B297" s="1" t="s">
        <v>164</v>
      </c>
      <c r="C297" s="1" t="s">
        <v>139</v>
      </c>
      <c r="D297" s="1" t="s">
        <v>181</v>
      </c>
      <c r="E297" s="1" t="s">
        <v>83</v>
      </c>
      <c r="F297" s="1" t="s">
        <v>405</v>
      </c>
      <c r="P297" s="1" t="s">
        <v>745</v>
      </c>
      <c r="Q297" s="1" t="s">
        <v>2407</v>
      </c>
      <c r="W297" s="1" t="s">
        <v>1989</v>
      </c>
      <c r="X297" s="1" t="s">
        <v>1557</v>
      </c>
    </row>
    <row r="298" spans="1:24">
      <c r="A298" s="1" t="s">
        <v>3095</v>
      </c>
      <c r="B298" s="1" t="s">
        <v>165</v>
      </c>
      <c r="C298" s="1" t="s">
        <v>140</v>
      </c>
      <c r="D298" s="1" t="s">
        <v>188</v>
      </c>
      <c r="E298" s="1" t="s">
        <v>90</v>
      </c>
      <c r="F298" s="1" t="s">
        <v>468</v>
      </c>
      <c r="P298" s="1" t="s">
        <v>746</v>
      </c>
      <c r="Q298" s="1" t="s">
        <v>2405</v>
      </c>
      <c r="W298" s="1" t="s">
        <v>2109</v>
      </c>
      <c r="X298" s="1" t="s">
        <v>1558</v>
      </c>
    </row>
    <row r="299" spans="1:24">
      <c r="A299" s="1" t="s">
        <v>3094</v>
      </c>
      <c r="B299" s="1" t="s">
        <v>163</v>
      </c>
      <c r="C299" s="1" t="s">
        <v>138</v>
      </c>
      <c r="D299" s="1" t="s">
        <v>179</v>
      </c>
      <c r="E299" s="1" t="s">
        <v>81</v>
      </c>
      <c r="F299" s="1" t="s">
        <v>387</v>
      </c>
      <c r="P299" s="1" t="s">
        <v>747</v>
      </c>
      <c r="Q299" s="1" t="s">
        <v>2403</v>
      </c>
      <c r="W299" s="1" t="s">
        <v>2110</v>
      </c>
      <c r="X299" s="1" t="s">
        <v>1559</v>
      </c>
    </row>
    <row r="300" spans="1:24">
      <c r="A300" s="1" t="s">
        <v>3093</v>
      </c>
      <c r="B300" s="1" t="s">
        <v>167</v>
      </c>
      <c r="C300" s="1" t="s">
        <v>144</v>
      </c>
      <c r="D300" s="1" t="s">
        <v>181</v>
      </c>
      <c r="E300" s="1" t="s">
        <v>83</v>
      </c>
      <c r="F300" s="1" t="s">
        <v>405</v>
      </c>
      <c r="P300" s="1" t="s">
        <v>748</v>
      </c>
      <c r="Q300" s="1" t="s">
        <v>2401</v>
      </c>
      <c r="W300" s="1" t="s">
        <v>1569</v>
      </c>
      <c r="X300" s="1" t="s">
        <v>1563</v>
      </c>
    </row>
    <row r="301" spans="1:24">
      <c r="A301" s="1" t="s">
        <v>3092</v>
      </c>
      <c r="B301" s="1" t="s">
        <v>207</v>
      </c>
      <c r="C301" s="1" t="s">
        <v>156</v>
      </c>
      <c r="D301" s="1" t="s">
        <v>188</v>
      </c>
      <c r="E301" s="1" t="s">
        <v>90</v>
      </c>
      <c r="F301" s="1" t="s">
        <v>468</v>
      </c>
      <c r="P301" s="1" t="s">
        <v>749</v>
      </c>
      <c r="Q301" s="1" t="s">
        <v>2400</v>
      </c>
      <c r="W301" s="1" t="s">
        <v>2112</v>
      </c>
      <c r="X301" s="1" t="s">
        <v>1564</v>
      </c>
    </row>
    <row r="302" spans="1:24">
      <c r="A302" s="1" t="s">
        <v>3091</v>
      </c>
      <c r="B302" s="1" t="s">
        <v>189</v>
      </c>
      <c r="C302" s="1" t="s">
        <v>142</v>
      </c>
      <c r="D302" s="1" t="s">
        <v>179</v>
      </c>
      <c r="E302" s="1" t="s">
        <v>81</v>
      </c>
      <c r="F302" s="1" t="s">
        <v>387</v>
      </c>
      <c r="P302" s="1" t="s">
        <v>750</v>
      </c>
      <c r="Q302" s="1" t="s">
        <v>2399</v>
      </c>
      <c r="W302" s="1" t="s">
        <v>2113</v>
      </c>
      <c r="X302" s="1" t="s">
        <v>1565</v>
      </c>
    </row>
    <row r="303" spans="1:24">
      <c r="A303" s="1" t="s">
        <v>239</v>
      </c>
      <c r="B303" s="1" t="s">
        <v>170</v>
      </c>
      <c r="C303" s="1" t="s">
        <v>147</v>
      </c>
      <c r="D303" s="1" t="s">
        <v>181</v>
      </c>
      <c r="E303" s="1" t="s">
        <v>83</v>
      </c>
      <c r="F303" s="1" t="s">
        <v>405</v>
      </c>
      <c r="P303" s="1" t="s">
        <v>751</v>
      </c>
      <c r="Q303" s="1" t="s">
        <v>2398</v>
      </c>
      <c r="W303" s="1" t="s">
        <v>2115</v>
      </c>
      <c r="X303" s="1" t="s">
        <v>1566</v>
      </c>
    </row>
    <row r="304" spans="1:24">
      <c r="A304" s="1" t="s">
        <v>247</v>
      </c>
      <c r="B304" s="1" t="s">
        <v>204</v>
      </c>
      <c r="C304" s="1" t="s">
        <v>153</v>
      </c>
      <c r="D304" s="1" t="s">
        <v>188</v>
      </c>
      <c r="E304" s="1" t="s">
        <v>90</v>
      </c>
      <c r="F304" s="1" t="s">
        <v>468</v>
      </c>
      <c r="P304" s="1" t="s">
        <v>752</v>
      </c>
      <c r="Q304" s="1" t="s">
        <v>2397</v>
      </c>
      <c r="W304" s="1" t="s">
        <v>1576</v>
      </c>
      <c r="X304" s="1" t="s">
        <v>1571</v>
      </c>
    </row>
    <row r="305" spans="1:24">
      <c r="A305" s="1" t="s">
        <v>255</v>
      </c>
      <c r="B305" s="1" t="s">
        <v>190</v>
      </c>
      <c r="C305" s="1" t="s">
        <v>143</v>
      </c>
      <c r="D305" s="1" t="s">
        <v>179</v>
      </c>
      <c r="E305" s="1" t="s">
        <v>81</v>
      </c>
      <c r="F305" s="1" t="s">
        <v>387</v>
      </c>
      <c r="P305" s="1" t="s">
        <v>753</v>
      </c>
      <c r="Q305" s="1" t="s">
        <v>2396</v>
      </c>
      <c r="W305" s="1" t="s">
        <v>1993</v>
      </c>
      <c r="X305" s="1" t="s">
        <v>1572</v>
      </c>
    </row>
    <row r="306" spans="1:24">
      <c r="A306" s="1" t="s">
        <v>3090</v>
      </c>
      <c r="B306" s="1" t="s">
        <v>171</v>
      </c>
      <c r="C306" s="1" t="s">
        <v>148</v>
      </c>
      <c r="D306" s="1" t="s">
        <v>179</v>
      </c>
      <c r="E306" s="1" t="s">
        <v>81</v>
      </c>
      <c r="F306" s="1" t="s">
        <v>387</v>
      </c>
      <c r="P306" s="1" t="s">
        <v>754</v>
      </c>
      <c r="Q306" s="1" t="s">
        <v>2395</v>
      </c>
      <c r="W306" s="1" t="s">
        <v>2116</v>
      </c>
      <c r="X306" s="1" t="s">
        <v>1573</v>
      </c>
    </row>
    <row r="307" spans="1:24">
      <c r="A307" s="1" t="s">
        <v>3089</v>
      </c>
      <c r="B307" s="1" t="s">
        <v>168</v>
      </c>
      <c r="C307" s="1" t="s">
        <v>145</v>
      </c>
      <c r="D307" s="1" t="s">
        <v>181</v>
      </c>
      <c r="E307" s="1" t="s">
        <v>83</v>
      </c>
      <c r="F307" s="1" t="s">
        <v>405</v>
      </c>
      <c r="P307" s="1" t="s">
        <v>755</v>
      </c>
      <c r="Q307" s="1" t="s">
        <v>2394</v>
      </c>
      <c r="W307" s="1" t="s">
        <v>2118</v>
      </c>
      <c r="X307" s="1" t="s">
        <v>1574</v>
      </c>
    </row>
    <row r="308" spans="1:24">
      <c r="A308" s="1" t="s">
        <v>3088</v>
      </c>
      <c r="B308" s="1" t="s">
        <v>169</v>
      </c>
      <c r="C308" s="1" t="s">
        <v>146</v>
      </c>
      <c r="D308" s="1" t="s">
        <v>188</v>
      </c>
      <c r="E308" s="1" t="s">
        <v>90</v>
      </c>
      <c r="F308" s="1" t="s">
        <v>468</v>
      </c>
      <c r="P308" s="1" t="s">
        <v>756</v>
      </c>
      <c r="Q308" s="1" t="s">
        <v>2393</v>
      </c>
      <c r="W308" s="1" t="s">
        <v>1584</v>
      </c>
      <c r="X308" s="1" t="s">
        <v>1578</v>
      </c>
    </row>
    <row r="309" spans="1:24">
      <c r="A309" s="1" t="s">
        <v>3087</v>
      </c>
      <c r="B309" s="1" t="s">
        <v>165</v>
      </c>
      <c r="C309" s="1" t="s">
        <v>140</v>
      </c>
      <c r="D309" s="1" t="s">
        <v>179</v>
      </c>
      <c r="E309" s="1" t="s">
        <v>81</v>
      </c>
      <c r="F309" s="1" t="s">
        <v>387</v>
      </c>
      <c r="P309" s="1" t="s">
        <v>757</v>
      </c>
      <c r="Q309" s="1" t="s">
        <v>2392</v>
      </c>
      <c r="W309" s="1" t="s">
        <v>1996</v>
      </c>
      <c r="X309" s="1" t="s">
        <v>1579</v>
      </c>
    </row>
    <row r="310" spans="1:24">
      <c r="A310" s="1" t="s">
        <v>3086</v>
      </c>
      <c r="B310" s="1" t="s">
        <v>163</v>
      </c>
      <c r="C310" s="1" t="s">
        <v>138</v>
      </c>
      <c r="D310" s="1" t="s">
        <v>181</v>
      </c>
      <c r="E310" s="1" t="s">
        <v>83</v>
      </c>
      <c r="F310" s="1" t="s">
        <v>405</v>
      </c>
      <c r="P310" s="1" t="s">
        <v>758</v>
      </c>
      <c r="Q310" s="1" t="s">
        <v>2391</v>
      </c>
      <c r="W310" s="1" t="s">
        <v>2120</v>
      </c>
      <c r="X310" s="1" t="s">
        <v>1580</v>
      </c>
    </row>
    <row r="311" spans="1:24">
      <c r="A311" s="1" t="s">
        <v>3085</v>
      </c>
      <c r="B311" s="1" t="s">
        <v>164</v>
      </c>
      <c r="C311" s="1" t="s">
        <v>139</v>
      </c>
      <c r="D311" s="1" t="s">
        <v>188</v>
      </c>
      <c r="E311" s="1" t="s">
        <v>90</v>
      </c>
      <c r="F311" s="1" t="s">
        <v>468</v>
      </c>
      <c r="P311" s="1" t="s">
        <v>759</v>
      </c>
      <c r="Q311" s="1" t="s">
        <v>2390</v>
      </c>
      <c r="W311" s="1" t="s">
        <v>2121</v>
      </c>
      <c r="X311" s="1" t="s">
        <v>1581</v>
      </c>
    </row>
    <row r="312" spans="1:24">
      <c r="A312" s="1" t="s">
        <v>3084</v>
      </c>
      <c r="B312" s="1" t="s">
        <v>207</v>
      </c>
      <c r="C312" s="1" t="s">
        <v>156</v>
      </c>
      <c r="D312" s="1" t="s">
        <v>179</v>
      </c>
      <c r="E312" s="1" t="s">
        <v>81</v>
      </c>
      <c r="F312" s="1" t="s">
        <v>387</v>
      </c>
      <c r="P312" s="1" t="s">
        <v>760</v>
      </c>
      <c r="Q312" s="1" t="s">
        <v>2389</v>
      </c>
      <c r="W312" s="1" t="s">
        <v>1590</v>
      </c>
      <c r="X312" s="1" t="s">
        <v>1586</v>
      </c>
    </row>
    <row r="313" spans="1:24">
      <c r="A313" s="1" t="s">
        <v>3083</v>
      </c>
      <c r="B313" s="1" t="s">
        <v>189</v>
      </c>
      <c r="C313" s="1" t="s">
        <v>142</v>
      </c>
      <c r="D313" s="1" t="s">
        <v>181</v>
      </c>
      <c r="E313" s="1" t="s">
        <v>83</v>
      </c>
      <c r="F313" s="1" t="s">
        <v>405</v>
      </c>
      <c r="P313" s="1" t="s">
        <v>761</v>
      </c>
      <c r="Q313" s="1" t="s">
        <v>2388</v>
      </c>
      <c r="W313" s="1" t="s">
        <v>1998</v>
      </c>
      <c r="X313" s="1" t="s">
        <v>1587</v>
      </c>
    </row>
    <row r="314" spans="1:24">
      <c r="A314" s="1" t="s">
        <v>3082</v>
      </c>
      <c r="B314" s="1" t="s">
        <v>167</v>
      </c>
      <c r="C314" s="1" t="s">
        <v>144</v>
      </c>
      <c r="D314" s="1" t="s">
        <v>188</v>
      </c>
      <c r="E314" s="1" t="s">
        <v>90</v>
      </c>
      <c r="F314" s="1" t="s">
        <v>468</v>
      </c>
      <c r="P314" s="1" t="s">
        <v>762</v>
      </c>
      <c r="Q314" s="1" t="s">
        <v>2387</v>
      </c>
      <c r="W314" s="1" t="s">
        <v>2126</v>
      </c>
      <c r="X314" s="1" t="s">
        <v>1588</v>
      </c>
    </row>
    <row r="315" spans="1:24">
      <c r="A315" s="1" t="s">
        <v>240</v>
      </c>
      <c r="B315" s="1" t="s">
        <v>204</v>
      </c>
      <c r="C315" s="1" t="s">
        <v>153</v>
      </c>
      <c r="D315" s="1" t="s">
        <v>179</v>
      </c>
      <c r="E315" s="1" t="s">
        <v>81</v>
      </c>
      <c r="F315" s="1" t="s">
        <v>387</v>
      </c>
      <c r="P315" s="1" t="s">
        <v>763</v>
      </c>
      <c r="Q315" s="1" t="s">
        <v>2386</v>
      </c>
      <c r="W315" s="1" t="s">
        <v>2128</v>
      </c>
      <c r="X315" s="1" t="s">
        <v>1589</v>
      </c>
    </row>
    <row r="316" spans="1:24">
      <c r="A316" s="1" t="s">
        <v>248</v>
      </c>
      <c r="B316" s="1" t="s">
        <v>190</v>
      </c>
      <c r="C316" s="1" t="s">
        <v>143</v>
      </c>
      <c r="D316" s="1" t="s">
        <v>181</v>
      </c>
      <c r="E316" s="1" t="s">
        <v>83</v>
      </c>
      <c r="F316" s="1" t="s">
        <v>405</v>
      </c>
      <c r="P316" s="1" t="s">
        <v>764</v>
      </c>
      <c r="Q316" s="1" t="s">
        <v>2385</v>
      </c>
      <c r="W316" s="1" t="s">
        <v>1598</v>
      </c>
      <c r="X316" s="1" t="s">
        <v>1592</v>
      </c>
    </row>
    <row r="317" spans="1:24">
      <c r="A317" s="1" t="s">
        <v>256</v>
      </c>
      <c r="B317" s="1" t="s">
        <v>170</v>
      </c>
      <c r="C317" s="1" t="s">
        <v>147</v>
      </c>
      <c r="D317" s="1" t="s">
        <v>188</v>
      </c>
      <c r="E317" s="1" t="s">
        <v>90</v>
      </c>
      <c r="F317" s="1" t="s">
        <v>468</v>
      </c>
      <c r="P317" s="1" t="s">
        <v>765</v>
      </c>
      <c r="Q317" s="1" t="s">
        <v>2384</v>
      </c>
      <c r="W317" s="1" t="s">
        <v>1999</v>
      </c>
      <c r="X317" s="1" t="s">
        <v>1593</v>
      </c>
    </row>
    <row r="318" spans="1:24">
      <c r="P318" s="1" t="s">
        <v>766</v>
      </c>
      <c r="Q318" s="1" t="s">
        <v>2383</v>
      </c>
      <c r="W318" s="1" t="s">
        <v>2132</v>
      </c>
      <c r="X318" s="1" t="s">
        <v>1594</v>
      </c>
    </row>
    <row r="319" spans="1:24">
      <c r="P319" s="1" t="s">
        <v>767</v>
      </c>
      <c r="Q319" s="1" t="s">
        <v>2382</v>
      </c>
      <c r="W319" s="1" t="s">
        <v>2135</v>
      </c>
      <c r="X319" s="1" t="s">
        <v>1595</v>
      </c>
    </row>
    <row r="320" spans="1:24" ht="15.75" thickBot="1">
      <c r="P320" s="1" t="s">
        <v>768</v>
      </c>
      <c r="Q320" s="1" t="s">
        <v>2381</v>
      </c>
      <c r="W320" s="1" t="s">
        <v>1606</v>
      </c>
      <c r="X320" s="1" t="s">
        <v>1601</v>
      </c>
    </row>
    <row r="321" spans="1:24" ht="15.75" thickBot="1">
      <c r="A321" s="839" t="s">
        <v>3081</v>
      </c>
      <c r="B321" s="840"/>
      <c r="C321" s="840"/>
      <c r="D321" s="840"/>
      <c r="E321" s="840"/>
      <c r="F321" s="840"/>
      <c r="G321" s="840"/>
      <c r="H321" s="840"/>
      <c r="I321" s="840"/>
      <c r="J321" s="840"/>
      <c r="K321" s="840"/>
      <c r="L321" s="840"/>
      <c r="M321" s="841"/>
      <c r="P321" s="1" t="s">
        <v>769</v>
      </c>
      <c r="Q321" s="1" t="s">
        <v>2380</v>
      </c>
      <c r="W321" s="1" t="s">
        <v>2001</v>
      </c>
      <c r="X321" s="1" t="s">
        <v>1602</v>
      </c>
    </row>
    <row r="322" spans="1:24">
      <c r="A322" s="666"/>
      <c r="B322" s="665">
        <v>1</v>
      </c>
      <c r="C322" s="665">
        <v>2</v>
      </c>
      <c r="D322" s="665">
        <v>3</v>
      </c>
      <c r="E322" s="665">
        <v>4</v>
      </c>
      <c r="F322" s="665">
        <v>5</v>
      </c>
      <c r="G322" s="665">
        <v>6</v>
      </c>
      <c r="H322" s="665">
        <v>7</v>
      </c>
      <c r="I322" s="665">
        <v>8</v>
      </c>
      <c r="J322" s="665">
        <v>9</v>
      </c>
      <c r="K322" s="665">
        <v>10</v>
      </c>
      <c r="L322" s="665">
        <v>11</v>
      </c>
      <c r="M322" s="664">
        <v>12</v>
      </c>
      <c r="P322" s="1" t="s">
        <v>770</v>
      </c>
      <c r="Q322" s="1" t="s">
        <v>2379</v>
      </c>
      <c r="W322" s="1" t="s">
        <v>2137</v>
      </c>
      <c r="X322" s="1" t="s">
        <v>1603</v>
      </c>
    </row>
    <row r="323" spans="1:24">
      <c r="A323" s="663" t="s">
        <v>924</v>
      </c>
      <c r="B323" s="710" t="s">
        <v>3080</v>
      </c>
      <c r="C323" s="710" t="s">
        <v>1307</v>
      </c>
      <c r="D323" s="710" t="s">
        <v>3079</v>
      </c>
      <c r="E323" s="710" t="s">
        <v>3078</v>
      </c>
      <c r="F323" s="710" t="s">
        <v>2568</v>
      </c>
      <c r="G323" s="710" t="s">
        <v>2541</v>
      </c>
      <c r="H323" s="710" t="s">
        <v>2610</v>
      </c>
      <c r="I323" s="710" t="s">
        <v>2556</v>
      </c>
      <c r="J323" s="710" t="s">
        <v>3077</v>
      </c>
      <c r="K323" s="710" t="s">
        <v>3076</v>
      </c>
      <c r="L323" s="710" t="s">
        <v>3075</v>
      </c>
      <c r="M323" s="662" t="s">
        <v>3074</v>
      </c>
      <c r="P323" s="1" t="s">
        <v>771</v>
      </c>
      <c r="Q323" s="1" t="s">
        <v>2378</v>
      </c>
      <c r="W323" s="1" t="s">
        <v>2138</v>
      </c>
      <c r="X323" s="1" t="s">
        <v>1604</v>
      </c>
    </row>
    <row r="324" spans="1:24">
      <c r="A324" s="663" t="s">
        <v>937</v>
      </c>
      <c r="B324" s="710" t="s">
        <v>3073</v>
      </c>
      <c r="C324" s="710" t="s">
        <v>3072</v>
      </c>
      <c r="D324" s="710" t="s">
        <v>3071</v>
      </c>
      <c r="E324" s="710" t="s">
        <v>3070</v>
      </c>
      <c r="F324" s="710" t="s">
        <v>2549</v>
      </c>
      <c r="G324" s="710" t="s">
        <v>3069</v>
      </c>
      <c r="H324" s="710" t="s">
        <v>2754</v>
      </c>
      <c r="I324" s="710" t="s">
        <v>3068</v>
      </c>
      <c r="J324" s="710" t="s">
        <v>2820</v>
      </c>
      <c r="K324" s="710" t="s">
        <v>3067</v>
      </c>
      <c r="L324" s="710" t="s">
        <v>3066</v>
      </c>
      <c r="M324" s="662" t="s">
        <v>3065</v>
      </c>
      <c r="P324" s="1" t="s">
        <v>772</v>
      </c>
      <c r="Q324" s="1" t="s">
        <v>2377</v>
      </c>
      <c r="W324" s="1" t="s">
        <v>1614</v>
      </c>
      <c r="X324" s="1" t="s">
        <v>1609</v>
      </c>
    </row>
    <row r="325" spans="1:24">
      <c r="A325" s="663" t="s">
        <v>950</v>
      </c>
      <c r="B325" s="710" t="s">
        <v>3064</v>
      </c>
      <c r="C325" s="710" t="s">
        <v>2531</v>
      </c>
      <c r="D325" s="710" t="s">
        <v>3063</v>
      </c>
      <c r="E325" s="710" t="s">
        <v>3062</v>
      </c>
      <c r="F325" s="710" t="s">
        <v>3061</v>
      </c>
      <c r="G325" s="710" t="s">
        <v>3060</v>
      </c>
      <c r="H325" s="710" t="s">
        <v>2805</v>
      </c>
      <c r="I325" s="710" t="s">
        <v>3059</v>
      </c>
      <c r="J325" s="710" t="s">
        <v>3058</v>
      </c>
      <c r="K325" s="710" t="s">
        <v>3057</v>
      </c>
      <c r="L325" s="710" t="s">
        <v>3056</v>
      </c>
      <c r="M325" s="662" t="s">
        <v>3055</v>
      </c>
      <c r="P325" s="1" t="s">
        <v>773</v>
      </c>
      <c r="Q325" s="1" t="s">
        <v>2376</v>
      </c>
      <c r="W325" s="1" t="s">
        <v>2003</v>
      </c>
      <c r="X325" s="1" t="s">
        <v>1610</v>
      </c>
    </row>
    <row r="326" spans="1:24">
      <c r="A326" s="663" t="s">
        <v>951</v>
      </c>
      <c r="B326" s="710" t="s">
        <v>3054</v>
      </c>
      <c r="C326" s="710" t="s">
        <v>2590</v>
      </c>
      <c r="D326" s="710" t="s">
        <v>3053</v>
      </c>
      <c r="E326" s="710" t="s">
        <v>3052</v>
      </c>
      <c r="F326" s="710" t="s">
        <v>2586</v>
      </c>
      <c r="G326" s="710" t="s">
        <v>2850</v>
      </c>
      <c r="H326" s="710" t="s">
        <v>3051</v>
      </c>
      <c r="I326" s="710" t="s">
        <v>3050</v>
      </c>
      <c r="J326" s="710" t="s">
        <v>3049</v>
      </c>
      <c r="K326" s="710" t="s">
        <v>3048</v>
      </c>
      <c r="L326" s="710" t="s">
        <v>3047</v>
      </c>
      <c r="M326" s="662" t="s">
        <v>2595</v>
      </c>
      <c r="P326" s="1" t="s">
        <v>774</v>
      </c>
      <c r="Q326" s="1" t="s">
        <v>2375</v>
      </c>
      <c r="W326" s="1" t="s">
        <v>2139</v>
      </c>
      <c r="X326" s="1" t="s">
        <v>1611</v>
      </c>
    </row>
    <row r="327" spans="1:24">
      <c r="A327" s="663" t="s">
        <v>952</v>
      </c>
      <c r="B327" s="710" t="s">
        <v>3046</v>
      </c>
      <c r="C327" s="710" t="s">
        <v>2560</v>
      </c>
      <c r="D327" s="710" t="s">
        <v>3045</v>
      </c>
      <c r="E327" s="710" t="s">
        <v>3044</v>
      </c>
      <c r="F327" s="710" t="s">
        <v>3043</v>
      </c>
      <c r="G327" s="710" t="s">
        <v>2594</v>
      </c>
      <c r="H327" s="710" t="s">
        <v>3042</v>
      </c>
      <c r="I327" s="710" t="s">
        <v>3041</v>
      </c>
      <c r="J327" s="710" t="s">
        <v>3040</v>
      </c>
      <c r="K327" s="710" t="s">
        <v>3039</v>
      </c>
      <c r="L327" s="710" t="s">
        <v>3038</v>
      </c>
      <c r="M327" s="662" t="s">
        <v>2555</v>
      </c>
      <c r="P327" s="1" t="s">
        <v>775</v>
      </c>
      <c r="Q327" s="1" t="s">
        <v>2374</v>
      </c>
      <c r="W327" s="1" t="s">
        <v>2140</v>
      </c>
      <c r="X327" s="1" t="s">
        <v>1612</v>
      </c>
    </row>
    <row r="328" spans="1:24">
      <c r="A328" s="663" t="s">
        <v>953</v>
      </c>
      <c r="B328" s="710" t="s">
        <v>3037</v>
      </c>
      <c r="C328" s="710" t="s">
        <v>3036</v>
      </c>
      <c r="D328" s="710" t="s">
        <v>2804</v>
      </c>
      <c r="E328" s="710" t="s">
        <v>2647</v>
      </c>
      <c r="F328" s="710" t="s">
        <v>3035</v>
      </c>
      <c r="G328" s="710" t="s">
        <v>3034</v>
      </c>
      <c r="H328" s="710" t="s">
        <v>1673</v>
      </c>
      <c r="I328" s="710" t="s">
        <v>3033</v>
      </c>
      <c r="J328" s="710" t="s">
        <v>3032</v>
      </c>
      <c r="K328" s="710" t="s">
        <v>3031</v>
      </c>
      <c r="L328" s="710" t="s">
        <v>3030</v>
      </c>
      <c r="M328" s="662" t="s">
        <v>2635</v>
      </c>
      <c r="P328" s="1" t="s">
        <v>776</v>
      </c>
      <c r="Q328" s="1" t="s">
        <v>2373</v>
      </c>
      <c r="W328" s="1" t="s">
        <v>1621</v>
      </c>
      <c r="X328" s="1" t="s">
        <v>1617</v>
      </c>
    </row>
    <row r="329" spans="1:24">
      <c r="A329" s="663" t="s">
        <v>954</v>
      </c>
      <c r="B329" s="710" t="s">
        <v>3029</v>
      </c>
      <c r="C329" s="710" t="s">
        <v>2632</v>
      </c>
      <c r="D329" s="710" t="s">
        <v>2571</v>
      </c>
      <c r="E329" s="710" t="s">
        <v>3028</v>
      </c>
      <c r="F329" s="710" t="s">
        <v>3027</v>
      </c>
      <c r="G329" s="710" t="s">
        <v>3026</v>
      </c>
      <c r="H329" s="710" t="s">
        <v>2559</v>
      </c>
      <c r="I329" s="710" t="s">
        <v>2539</v>
      </c>
      <c r="J329" s="710" t="s">
        <v>2636</v>
      </c>
      <c r="K329" s="710" t="s">
        <v>3025</v>
      </c>
      <c r="L329" s="710" t="s">
        <v>2627</v>
      </c>
      <c r="M329" s="662" t="s">
        <v>3024</v>
      </c>
      <c r="P329" s="1" t="s">
        <v>777</v>
      </c>
      <c r="Q329" s="1" t="s">
        <v>2372</v>
      </c>
      <c r="W329" s="1" t="s">
        <v>2004</v>
      </c>
      <c r="X329" s="1" t="s">
        <v>1618</v>
      </c>
    </row>
    <row r="330" spans="1:24" ht="15.75" thickBot="1">
      <c r="A330" s="661" t="s">
        <v>955</v>
      </c>
      <c r="B330" s="660" t="s">
        <v>2626</v>
      </c>
      <c r="C330" s="660" t="s">
        <v>3023</v>
      </c>
      <c r="D330" s="660" t="s">
        <v>2642</v>
      </c>
      <c r="E330" s="660" t="s">
        <v>3022</v>
      </c>
      <c r="F330" s="660" t="s">
        <v>3021</v>
      </c>
      <c r="G330" s="660" t="s">
        <v>3020</v>
      </c>
      <c r="H330" s="660" t="s">
        <v>3019</v>
      </c>
      <c r="I330" s="660" t="s">
        <v>2797</v>
      </c>
      <c r="J330" s="660" t="s">
        <v>2599</v>
      </c>
      <c r="K330" s="660" t="s">
        <v>2619</v>
      </c>
      <c r="L330" s="660" t="s">
        <v>3018</v>
      </c>
      <c r="M330" s="659" t="s">
        <v>3017</v>
      </c>
      <c r="P330" s="1" t="s">
        <v>778</v>
      </c>
      <c r="Q330" s="1" t="s">
        <v>2371</v>
      </c>
      <c r="W330" s="1" t="s">
        <v>2141</v>
      </c>
      <c r="X330" s="1" t="s">
        <v>1619</v>
      </c>
    </row>
    <row r="331" spans="1:24" ht="15.75" thickBot="1">
      <c r="P331" s="1" t="s">
        <v>779</v>
      </c>
      <c r="Q331" s="1" t="s">
        <v>2370</v>
      </c>
      <c r="W331" s="1" t="s">
        <v>2143</v>
      </c>
      <c r="X331" s="1" t="s">
        <v>1620</v>
      </c>
    </row>
    <row r="332" spans="1:24" ht="15.75" thickBot="1">
      <c r="A332" s="839" t="s">
        <v>3016</v>
      </c>
      <c r="B332" s="841"/>
      <c r="P332" s="1" t="s">
        <v>780</v>
      </c>
      <c r="Q332" s="1" t="s">
        <v>2369</v>
      </c>
      <c r="W332" s="1" t="s">
        <v>1629</v>
      </c>
      <c r="X332" s="1" t="s">
        <v>1623</v>
      </c>
    </row>
    <row r="333" spans="1:24">
      <c r="A333" s="658" t="s">
        <v>3015</v>
      </c>
      <c r="B333" s="657" t="s">
        <v>3014</v>
      </c>
      <c r="P333" s="1" t="s">
        <v>781</v>
      </c>
      <c r="Q333" s="1" t="s">
        <v>2368</v>
      </c>
      <c r="W333" s="1" t="s">
        <v>2006</v>
      </c>
      <c r="X333" s="1" t="s">
        <v>1624</v>
      </c>
    </row>
    <row r="334" spans="1:24">
      <c r="A334" s="41" t="s">
        <v>3013</v>
      </c>
      <c r="B334" s="156" t="s">
        <v>3012</v>
      </c>
      <c r="P334" s="1" t="s">
        <v>782</v>
      </c>
      <c r="Q334" s="1" t="s">
        <v>2367</v>
      </c>
      <c r="W334" s="1" t="s">
        <v>2145</v>
      </c>
      <c r="X334" s="1" t="s">
        <v>1625</v>
      </c>
    </row>
    <row r="335" spans="1:24">
      <c r="A335" s="41" t="s">
        <v>3011</v>
      </c>
      <c r="B335" s="156" t="s">
        <v>3010</v>
      </c>
      <c r="P335" s="1" t="s">
        <v>783</v>
      </c>
      <c r="Q335" s="1" t="s">
        <v>2366</v>
      </c>
      <c r="W335" s="1" t="s">
        <v>2146</v>
      </c>
      <c r="X335" s="1" t="s">
        <v>1626</v>
      </c>
    </row>
    <row r="336" spans="1:24">
      <c r="A336" s="41" t="s">
        <v>3009</v>
      </c>
      <c r="B336" s="156" t="s">
        <v>3008</v>
      </c>
      <c r="P336" s="1" t="s">
        <v>784</v>
      </c>
      <c r="Q336" s="1" t="s">
        <v>2365</v>
      </c>
      <c r="W336" s="1" t="s">
        <v>1638</v>
      </c>
      <c r="X336" s="1" t="s">
        <v>1632</v>
      </c>
    </row>
    <row r="337" spans="1:24" ht="15.75" thickBot="1">
      <c r="A337" s="656" t="s">
        <v>3007</v>
      </c>
      <c r="B337" s="655" t="s">
        <v>3006</v>
      </c>
      <c r="P337" s="1" t="s">
        <v>785</v>
      </c>
      <c r="Q337" s="1" t="s">
        <v>2364</v>
      </c>
      <c r="W337" s="1" t="s">
        <v>2009</v>
      </c>
      <c r="X337" s="1" t="s">
        <v>1633</v>
      </c>
    </row>
    <row r="338" spans="1:24" ht="15.75" thickBot="1">
      <c r="P338" s="1" t="s">
        <v>786</v>
      </c>
      <c r="Q338" s="1" t="s">
        <v>2363</v>
      </c>
      <c r="W338" s="1" t="s">
        <v>2147</v>
      </c>
      <c r="X338" s="1" t="s">
        <v>1634</v>
      </c>
    </row>
    <row r="339" spans="1:24">
      <c r="A339" s="868" t="s">
        <v>3005</v>
      </c>
      <c r="B339" s="869"/>
      <c r="C339" s="869"/>
      <c r="D339" s="869"/>
      <c r="E339" s="869"/>
      <c r="F339" s="869"/>
      <c r="G339" s="869"/>
      <c r="H339" s="869"/>
      <c r="I339" s="869"/>
      <c r="J339" s="869"/>
      <c r="K339" s="870"/>
      <c r="P339" s="1" t="s">
        <v>787</v>
      </c>
      <c r="Q339" s="1" t="s">
        <v>2362</v>
      </c>
      <c r="W339" s="1" t="s">
        <v>2148</v>
      </c>
      <c r="X339" s="1" t="s">
        <v>1635</v>
      </c>
    </row>
    <row r="340" spans="1:24" ht="120">
      <c r="A340" s="1"/>
      <c r="B340" s="1" t="s">
        <v>3004</v>
      </c>
      <c r="C340" s="1"/>
      <c r="D340" s="23" t="s">
        <v>3003</v>
      </c>
      <c r="E340" s="23" t="s">
        <v>3002</v>
      </c>
      <c r="F340" s="23"/>
      <c r="G340" s="23"/>
      <c r="H340" s="23" t="s">
        <v>3004</v>
      </c>
      <c r="I340" s="23"/>
      <c r="J340" s="23" t="s">
        <v>3003</v>
      </c>
      <c r="K340" s="23" t="s">
        <v>3002</v>
      </c>
      <c r="P340" s="1" t="s">
        <v>788</v>
      </c>
      <c r="Q340" s="1" t="s">
        <v>2361</v>
      </c>
      <c r="W340" s="1" t="s">
        <v>1646</v>
      </c>
      <c r="X340" s="1" t="s">
        <v>1641</v>
      </c>
    </row>
    <row r="341" spans="1:24">
      <c r="A341" s="1" t="s">
        <v>3001</v>
      </c>
      <c r="B341" s="1" t="s">
        <v>214</v>
      </c>
      <c r="C341" s="1"/>
      <c r="D341" s="1"/>
      <c r="E341" s="1"/>
      <c r="F341" s="1"/>
      <c r="G341" s="1" t="s">
        <v>3001</v>
      </c>
      <c r="H341" s="1" t="s">
        <v>214</v>
      </c>
      <c r="I341" s="1"/>
      <c r="J341" s="1"/>
      <c r="K341" s="1"/>
      <c r="P341" s="1" t="s">
        <v>789</v>
      </c>
      <c r="Q341" s="1" t="s">
        <v>2360</v>
      </c>
      <c r="W341" s="1" t="s">
        <v>2011</v>
      </c>
      <c r="X341" s="1" t="s">
        <v>1642</v>
      </c>
    </row>
    <row r="342" spans="1:24">
      <c r="A342" s="1" t="s">
        <v>3000</v>
      </c>
      <c r="B342" s="1" t="s">
        <v>2754</v>
      </c>
      <c r="C342" s="1"/>
      <c r="D342" s="1" t="s">
        <v>2755</v>
      </c>
      <c r="E342" s="1" t="s">
        <v>2999</v>
      </c>
      <c r="F342" s="1"/>
      <c r="G342" s="1" t="s">
        <v>2998</v>
      </c>
      <c r="H342" s="1" t="s">
        <v>2757</v>
      </c>
      <c r="I342" s="1"/>
      <c r="J342" s="1" t="s">
        <v>2758</v>
      </c>
      <c r="K342" s="1" t="s">
        <v>703</v>
      </c>
      <c r="P342" s="1" t="s">
        <v>790</v>
      </c>
      <c r="Q342" s="1" t="s">
        <v>2359</v>
      </c>
      <c r="W342" s="1" t="s">
        <v>2149</v>
      </c>
      <c r="X342" s="1" t="s">
        <v>1643</v>
      </c>
    </row>
    <row r="343" spans="1:24">
      <c r="A343" s="1" t="s">
        <v>2997</v>
      </c>
      <c r="B343" s="1" t="s">
        <v>2761</v>
      </c>
      <c r="C343" s="1"/>
      <c r="D343" s="1" t="s">
        <v>2762</v>
      </c>
      <c r="E343" s="1" t="s">
        <v>2996</v>
      </c>
      <c r="F343" s="1"/>
      <c r="G343" s="1" t="s">
        <v>2995</v>
      </c>
      <c r="H343" s="1" t="s">
        <v>2764</v>
      </c>
      <c r="I343" s="1"/>
      <c r="J343" s="1" t="s">
        <v>2765</v>
      </c>
      <c r="K343" s="1" t="s">
        <v>699</v>
      </c>
      <c r="P343" s="1" t="s">
        <v>791</v>
      </c>
      <c r="Q343" s="1" t="s">
        <v>2358</v>
      </c>
      <c r="W343" s="1" t="s">
        <v>2151</v>
      </c>
      <c r="X343" s="1" t="s">
        <v>1644</v>
      </c>
    </row>
    <row r="344" spans="1:24">
      <c r="A344" s="1" t="s">
        <v>2994</v>
      </c>
      <c r="B344" s="1" t="s">
        <v>2768</v>
      </c>
      <c r="C344" s="1"/>
      <c r="D344" s="1" t="s">
        <v>2769</v>
      </c>
      <c r="E344" s="1" t="s">
        <v>687</v>
      </c>
      <c r="F344" s="1"/>
      <c r="G344" s="1" t="s">
        <v>2993</v>
      </c>
      <c r="H344" s="1" t="s">
        <v>2771</v>
      </c>
      <c r="I344" s="1"/>
      <c r="J344" s="1" t="s">
        <v>2772</v>
      </c>
      <c r="K344" s="1" t="s">
        <v>695</v>
      </c>
      <c r="P344" s="1" t="s">
        <v>792</v>
      </c>
      <c r="Q344" s="1" t="s">
        <v>2357</v>
      </c>
      <c r="W344" s="1" t="s">
        <v>1652</v>
      </c>
      <c r="X344" s="1" t="s">
        <v>1648</v>
      </c>
    </row>
    <row r="345" spans="1:24">
      <c r="A345" s="1" t="s">
        <v>2992</v>
      </c>
      <c r="B345" s="1" t="s">
        <v>2775</v>
      </c>
      <c r="C345" s="1"/>
      <c r="D345" s="1" t="s">
        <v>2776</v>
      </c>
      <c r="E345" s="1" t="s">
        <v>647</v>
      </c>
      <c r="F345" s="1"/>
      <c r="G345" s="1" t="s">
        <v>2991</v>
      </c>
      <c r="H345" s="1" t="s">
        <v>2778</v>
      </c>
      <c r="I345" s="1"/>
      <c r="J345" s="1" t="s">
        <v>2779</v>
      </c>
      <c r="K345" s="1" t="s">
        <v>691</v>
      </c>
      <c r="P345" s="1" t="s">
        <v>793</v>
      </c>
      <c r="Q345" s="1" t="s">
        <v>2356</v>
      </c>
      <c r="W345" s="1" t="s">
        <v>2014</v>
      </c>
      <c r="X345" s="1" t="s">
        <v>1649</v>
      </c>
    </row>
    <row r="346" spans="1:24">
      <c r="A346" s="1" t="s">
        <v>2990</v>
      </c>
      <c r="B346" s="1" t="s">
        <v>2782</v>
      </c>
      <c r="C346" s="1"/>
      <c r="D346" s="1" t="s">
        <v>2783</v>
      </c>
      <c r="E346" s="1" t="s">
        <v>697</v>
      </c>
      <c r="F346" s="1"/>
      <c r="G346" s="1" t="s">
        <v>2989</v>
      </c>
      <c r="H346" s="1" t="s">
        <v>2785</v>
      </c>
      <c r="I346" s="1"/>
      <c r="J346" s="1" t="s">
        <v>2786</v>
      </c>
      <c r="K346" s="1" t="s">
        <v>683</v>
      </c>
      <c r="P346" s="1" t="s">
        <v>794</v>
      </c>
      <c r="Q346" s="1" t="s">
        <v>2355</v>
      </c>
      <c r="W346" s="1" t="s">
        <v>2154</v>
      </c>
      <c r="X346" s="1" t="s">
        <v>1650</v>
      </c>
    </row>
    <row r="347" spans="1:24">
      <c r="A347" s="1" t="s">
        <v>2988</v>
      </c>
      <c r="B347" s="1" t="s">
        <v>2789</v>
      </c>
      <c r="C347" s="1"/>
      <c r="D347" s="1" t="s">
        <v>2790</v>
      </c>
      <c r="E347" s="1" t="s">
        <v>641</v>
      </c>
      <c r="F347" s="1"/>
      <c r="G347" s="1" t="s">
        <v>2987</v>
      </c>
      <c r="H347" s="1" t="s">
        <v>2792</v>
      </c>
      <c r="I347" s="1"/>
      <c r="J347" s="1" t="s">
        <v>2793</v>
      </c>
      <c r="K347" s="1" t="s">
        <v>675</v>
      </c>
      <c r="P347" s="1" t="s">
        <v>795</v>
      </c>
      <c r="Q347" s="1" t="s">
        <v>2354</v>
      </c>
      <c r="W347" s="1" t="s">
        <v>2160</v>
      </c>
      <c r="X347" s="1" t="s">
        <v>705</v>
      </c>
    </row>
    <row r="348" spans="1:24">
      <c r="A348" s="1" t="s">
        <v>2986</v>
      </c>
      <c r="B348" s="1" t="s">
        <v>2796</v>
      </c>
      <c r="C348" s="1"/>
      <c r="D348" s="1" t="s">
        <v>2797</v>
      </c>
      <c r="E348" s="1" t="s">
        <v>2985</v>
      </c>
      <c r="F348" s="1"/>
      <c r="G348" s="1" t="s">
        <v>2984</v>
      </c>
      <c r="H348" s="1" t="s">
        <v>2800</v>
      </c>
      <c r="I348" s="1"/>
      <c r="J348" s="1" t="s">
        <v>2801</v>
      </c>
      <c r="K348" s="1" t="s">
        <v>667</v>
      </c>
      <c r="P348" s="1" t="s">
        <v>796</v>
      </c>
      <c r="Q348" s="1" t="s">
        <v>2353</v>
      </c>
      <c r="W348" s="1" t="s">
        <v>1660</v>
      </c>
      <c r="X348" s="1" t="s">
        <v>1654</v>
      </c>
    </row>
    <row r="349" spans="1:24">
      <c r="A349" s="1" t="s">
        <v>2983</v>
      </c>
      <c r="B349" s="1" t="s">
        <v>2804</v>
      </c>
      <c r="C349" s="1"/>
      <c r="D349" s="1" t="s">
        <v>2805</v>
      </c>
      <c r="E349" s="1" t="s">
        <v>2982</v>
      </c>
      <c r="F349" s="1"/>
      <c r="G349" s="1" t="s">
        <v>2981</v>
      </c>
      <c r="H349" s="1" t="s">
        <v>2808</v>
      </c>
      <c r="I349" s="1"/>
      <c r="J349" s="1" t="s">
        <v>2809</v>
      </c>
      <c r="K349" s="1" t="s">
        <v>655</v>
      </c>
      <c r="P349" s="1" t="s">
        <v>797</v>
      </c>
      <c r="Q349" s="1" t="s">
        <v>2352</v>
      </c>
      <c r="W349" s="1" t="s">
        <v>2016</v>
      </c>
      <c r="X349" s="1" t="s">
        <v>1655</v>
      </c>
    </row>
    <row r="350" spans="1:24">
      <c r="A350" s="1" t="s">
        <v>2980</v>
      </c>
      <c r="B350" s="1" t="s">
        <v>2812</v>
      </c>
      <c r="C350" s="1"/>
      <c r="D350" s="1" t="s">
        <v>2813</v>
      </c>
      <c r="E350" s="1" t="s">
        <v>2979</v>
      </c>
      <c r="F350" s="1"/>
      <c r="G350" s="1" t="s">
        <v>2978</v>
      </c>
      <c r="H350" s="1" t="s">
        <v>2816</v>
      </c>
      <c r="I350" s="1"/>
      <c r="J350" s="1" t="s">
        <v>2817</v>
      </c>
      <c r="K350" s="1" t="s">
        <v>651</v>
      </c>
      <c r="P350" s="1" t="s">
        <v>798</v>
      </c>
      <c r="Q350" s="1" t="s">
        <v>2351</v>
      </c>
      <c r="W350" s="1" t="s">
        <v>2156</v>
      </c>
      <c r="X350" s="1" t="s">
        <v>1656</v>
      </c>
    </row>
    <row r="351" spans="1:24">
      <c r="A351" s="1" t="s">
        <v>2977</v>
      </c>
      <c r="B351" s="1" t="s">
        <v>2820</v>
      </c>
      <c r="C351" s="1"/>
      <c r="D351" s="1" t="s">
        <v>2821</v>
      </c>
      <c r="E351" s="1" t="s">
        <v>2976</v>
      </c>
      <c r="F351" s="1"/>
      <c r="G351" s="1" t="s">
        <v>2975</v>
      </c>
      <c r="H351" s="1" t="s">
        <v>2385</v>
      </c>
      <c r="I351" s="1"/>
      <c r="J351" s="1" t="s">
        <v>2824</v>
      </c>
      <c r="K351" s="1" t="s">
        <v>643</v>
      </c>
      <c r="P351" s="1" t="s">
        <v>799</v>
      </c>
      <c r="Q351" s="1" t="s">
        <v>2350</v>
      </c>
      <c r="W351" s="1" t="s">
        <v>2173</v>
      </c>
      <c r="X351" s="1" t="s">
        <v>1657</v>
      </c>
    </row>
    <row r="352" spans="1:24">
      <c r="A352" s="1" t="s">
        <v>2974</v>
      </c>
      <c r="B352" s="1" t="s">
        <v>2827</v>
      </c>
      <c r="C352" s="1"/>
      <c r="D352" s="1" t="s">
        <v>2828</v>
      </c>
      <c r="E352" s="1" t="s">
        <v>2973</v>
      </c>
      <c r="F352" s="1"/>
      <c r="G352" s="1" t="s">
        <v>2972</v>
      </c>
      <c r="H352" s="1" t="s">
        <v>2831</v>
      </c>
      <c r="I352" s="1"/>
      <c r="J352" s="1" t="s">
        <v>2832</v>
      </c>
      <c r="K352" s="1" t="s">
        <v>733</v>
      </c>
      <c r="P352" s="1" t="s">
        <v>800</v>
      </c>
      <c r="Q352" s="1" t="s">
        <v>2349</v>
      </c>
      <c r="W352" s="1" t="s">
        <v>1668</v>
      </c>
      <c r="X352" s="1" t="s">
        <v>1662</v>
      </c>
    </row>
    <row r="353" spans="1:24">
      <c r="A353" s="1" t="s">
        <v>2971</v>
      </c>
      <c r="B353" s="1" t="s">
        <v>2835</v>
      </c>
      <c r="C353" s="1"/>
      <c r="D353" s="1" t="s">
        <v>2836</v>
      </c>
      <c r="E353" s="1" t="s">
        <v>2970</v>
      </c>
      <c r="F353" s="1"/>
      <c r="G353" s="1" t="s">
        <v>2969</v>
      </c>
      <c r="H353" s="1" t="s">
        <v>2839</v>
      </c>
      <c r="I353" s="1"/>
      <c r="J353" s="1" t="s">
        <v>2840</v>
      </c>
      <c r="K353" s="1" t="s">
        <v>729</v>
      </c>
      <c r="P353" s="1" t="s">
        <v>801</v>
      </c>
      <c r="Q353" s="1" t="s">
        <v>2348</v>
      </c>
      <c r="W353" s="1" t="s">
        <v>2019</v>
      </c>
      <c r="X353" s="1" t="s">
        <v>1663</v>
      </c>
    </row>
    <row r="354" spans="1:24">
      <c r="A354" s="1" t="s">
        <v>2968</v>
      </c>
      <c r="B354" s="1" t="s">
        <v>2588</v>
      </c>
      <c r="C354" s="1"/>
      <c r="D354" s="1" t="s">
        <v>2843</v>
      </c>
      <c r="E354" s="1" t="s">
        <v>2967</v>
      </c>
      <c r="F354" s="1"/>
      <c r="G354" s="1" t="s">
        <v>2966</v>
      </c>
      <c r="H354" s="1" t="s">
        <v>2846</v>
      </c>
      <c r="I354" s="1"/>
      <c r="J354" s="1" t="s">
        <v>2847</v>
      </c>
      <c r="K354" s="1" t="s">
        <v>725</v>
      </c>
      <c r="P354" s="1" t="s">
        <v>802</v>
      </c>
      <c r="Q354" s="1" t="s">
        <v>2347</v>
      </c>
      <c r="W354" s="1" t="s">
        <v>2158</v>
      </c>
      <c r="X354" s="1" t="s">
        <v>1664</v>
      </c>
    </row>
    <row r="355" spans="1:24">
      <c r="A355" s="1" t="s">
        <v>2965</v>
      </c>
      <c r="B355" s="1" t="s">
        <v>2850</v>
      </c>
      <c r="C355" s="1"/>
      <c r="D355" s="1" t="s">
        <v>2851</v>
      </c>
      <c r="E355" s="1" t="s">
        <v>2964</v>
      </c>
      <c r="F355" s="1"/>
      <c r="G355" s="1" t="s">
        <v>2963</v>
      </c>
      <c r="H355" s="1" t="s">
        <v>2854</v>
      </c>
      <c r="I355" s="1"/>
      <c r="J355" s="1" t="s">
        <v>2855</v>
      </c>
      <c r="K355" s="1" t="s">
        <v>721</v>
      </c>
      <c r="P355" s="1" t="s">
        <v>803</v>
      </c>
      <c r="Q355" s="1" t="s">
        <v>2346</v>
      </c>
      <c r="W355" s="1" t="s">
        <v>2181</v>
      </c>
      <c r="X355" s="1" t="s">
        <v>1665</v>
      </c>
    </row>
    <row r="356" spans="1:24">
      <c r="A356" s="1" t="s">
        <v>2962</v>
      </c>
      <c r="B356" s="1" t="s">
        <v>2642</v>
      </c>
      <c r="C356" s="1"/>
      <c r="D356" s="1" t="s">
        <v>2858</v>
      </c>
      <c r="E356" s="1" t="s">
        <v>2961</v>
      </c>
      <c r="F356" s="1"/>
      <c r="G356" s="1" t="s">
        <v>2960</v>
      </c>
      <c r="H356" s="1" t="s">
        <v>2861</v>
      </c>
      <c r="I356" s="1"/>
      <c r="J356" s="1" t="s">
        <v>2862</v>
      </c>
      <c r="K356" s="1" t="s">
        <v>709</v>
      </c>
      <c r="P356" s="1" t="s">
        <v>804</v>
      </c>
      <c r="Q356" s="1" t="s">
        <v>2345</v>
      </c>
      <c r="W356" s="1" t="s">
        <v>1677</v>
      </c>
      <c r="X356" s="1" t="s">
        <v>1671</v>
      </c>
    </row>
    <row r="357" spans="1:24">
      <c r="A357" s="1" t="s">
        <v>2959</v>
      </c>
      <c r="B357" s="1" t="s">
        <v>2865</v>
      </c>
      <c r="C357" s="1"/>
      <c r="D357" s="1" t="s">
        <v>2866</v>
      </c>
      <c r="E357" s="1" t="s">
        <v>2958</v>
      </c>
      <c r="F357" s="1"/>
      <c r="G357" s="1" t="s">
        <v>2957</v>
      </c>
      <c r="H357" s="1" t="s">
        <v>2869</v>
      </c>
      <c r="I357" s="1"/>
      <c r="J357" s="1" t="s">
        <v>2870</v>
      </c>
      <c r="K357" s="1" t="s">
        <v>693</v>
      </c>
      <c r="P357" s="1" t="s">
        <v>805</v>
      </c>
      <c r="Q357" s="1" t="s">
        <v>2344</v>
      </c>
      <c r="W357" s="1" t="s">
        <v>2023</v>
      </c>
      <c r="X357" s="1" t="s">
        <v>1672</v>
      </c>
    </row>
    <row r="358" spans="1:24">
      <c r="A358" s="1" t="s">
        <v>2956</v>
      </c>
      <c r="B358" s="1" t="s">
        <v>2873</v>
      </c>
      <c r="C358" s="1"/>
      <c r="D358" s="1" t="s">
        <v>2874</v>
      </c>
      <c r="E358" s="1" t="s">
        <v>2955</v>
      </c>
      <c r="F358" s="1"/>
      <c r="G358" s="1" t="s">
        <v>2954</v>
      </c>
      <c r="H358" s="1" t="s">
        <v>2877</v>
      </c>
      <c r="I358" s="1"/>
      <c r="J358" s="1" t="s">
        <v>2878</v>
      </c>
      <c r="K358" s="1" t="s">
        <v>681</v>
      </c>
      <c r="P358" s="1" t="s">
        <v>806</v>
      </c>
      <c r="Q358" s="1" t="s">
        <v>2343</v>
      </c>
      <c r="W358" s="1" t="s">
        <v>2162</v>
      </c>
      <c r="X358" s="1" t="s">
        <v>1673</v>
      </c>
    </row>
    <row r="359" spans="1:24">
      <c r="A359" s="1" t="s">
        <v>2953</v>
      </c>
      <c r="B359" s="1" t="s">
        <v>2881</v>
      </c>
      <c r="C359" s="1"/>
      <c r="D359" s="1" t="s">
        <v>2882</v>
      </c>
      <c r="E359" s="1" t="s">
        <v>2952</v>
      </c>
      <c r="F359" s="1"/>
      <c r="G359" s="1" t="s">
        <v>2951</v>
      </c>
      <c r="H359" s="1" t="s">
        <v>2885</v>
      </c>
      <c r="I359" s="1"/>
      <c r="J359" s="1" t="s">
        <v>2886</v>
      </c>
      <c r="K359" s="1" t="s">
        <v>673</v>
      </c>
      <c r="P359" s="1" t="s">
        <v>807</v>
      </c>
      <c r="Q359" s="1" t="s">
        <v>2342</v>
      </c>
      <c r="W359" s="1" t="s">
        <v>2189</v>
      </c>
      <c r="X359" s="1" t="s">
        <v>1674</v>
      </c>
    </row>
    <row r="360" spans="1:24">
      <c r="A360" s="1" t="s">
        <v>2950</v>
      </c>
      <c r="B360" s="1" t="s">
        <v>2889</v>
      </c>
      <c r="C360" s="1"/>
      <c r="D360" s="1" t="s">
        <v>2890</v>
      </c>
      <c r="E360" s="1" t="s">
        <v>2949</v>
      </c>
      <c r="F360" s="1"/>
      <c r="G360" s="1" t="s">
        <v>2948</v>
      </c>
      <c r="H360" s="1" t="s">
        <v>2893</v>
      </c>
      <c r="I360" s="1"/>
      <c r="J360" s="1" t="s">
        <v>665</v>
      </c>
      <c r="K360" s="1" t="s">
        <v>665</v>
      </c>
      <c r="P360" s="1" t="s">
        <v>233</v>
      </c>
      <c r="Q360" s="1" t="s">
        <v>2341</v>
      </c>
      <c r="W360" s="1" t="s">
        <v>1684</v>
      </c>
      <c r="X360" s="1" t="s">
        <v>1679</v>
      </c>
    </row>
    <row r="361" spans="1:24">
      <c r="A361" s="1" t="s">
        <v>2947</v>
      </c>
      <c r="B361" s="1" t="s">
        <v>2636</v>
      </c>
      <c r="C361" s="1"/>
      <c r="D361" s="1" t="s">
        <v>2896</v>
      </c>
      <c r="E361" s="1" t="s">
        <v>2946</v>
      </c>
      <c r="F361" s="1"/>
      <c r="G361" s="1" t="s">
        <v>2945</v>
      </c>
      <c r="H361" s="1" t="s">
        <v>2899</v>
      </c>
      <c r="I361" s="1"/>
      <c r="J361" s="1" t="s">
        <v>2900</v>
      </c>
      <c r="K361" s="1" t="s">
        <v>661</v>
      </c>
      <c r="P361" s="1" t="s">
        <v>234</v>
      </c>
      <c r="Q361" s="1" t="s">
        <v>2340</v>
      </c>
      <c r="W361" s="1" t="s">
        <v>2025</v>
      </c>
      <c r="X361" s="1" t="s">
        <v>1680</v>
      </c>
    </row>
    <row r="362" spans="1:24">
      <c r="A362" s="1" t="s">
        <v>2944</v>
      </c>
      <c r="B362" s="1" t="s">
        <v>2903</v>
      </c>
      <c r="C362" s="1"/>
      <c r="D362" s="1" t="s">
        <v>2904</v>
      </c>
      <c r="E362" s="1" t="s">
        <v>2943</v>
      </c>
      <c r="F362" s="1"/>
      <c r="G362" s="1" t="s">
        <v>2942</v>
      </c>
      <c r="H362" s="1" t="s">
        <v>2907</v>
      </c>
      <c r="I362" s="1"/>
      <c r="J362" s="1" t="s">
        <v>2908</v>
      </c>
      <c r="K362" s="1" t="s">
        <v>657</v>
      </c>
      <c r="P362" s="1" t="s">
        <v>235</v>
      </c>
      <c r="Q362" s="1" t="s">
        <v>2339</v>
      </c>
      <c r="W362" s="1" t="s">
        <v>2165</v>
      </c>
      <c r="X362" s="1" t="s">
        <v>1681</v>
      </c>
    </row>
    <row r="363" spans="1:24">
      <c r="A363" s="1" t="s">
        <v>2941</v>
      </c>
      <c r="B363" s="1" t="s">
        <v>2911</v>
      </c>
      <c r="C363" s="1"/>
      <c r="D363" s="1" t="s">
        <v>2912</v>
      </c>
      <c r="E363" s="1" t="s">
        <v>2940</v>
      </c>
      <c r="F363" s="1"/>
      <c r="G363" s="1" t="s">
        <v>2939</v>
      </c>
      <c r="H363" s="1" t="s">
        <v>2915</v>
      </c>
      <c r="I363" s="1"/>
      <c r="J363" s="1" t="s">
        <v>581</v>
      </c>
      <c r="K363" s="1" t="s">
        <v>649</v>
      </c>
      <c r="P363" s="1" t="s">
        <v>236</v>
      </c>
      <c r="Q363" s="1" t="s">
        <v>2338</v>
      </c>
      <c r="W363" s="1" t="s">
        <v>2196</v>
      </c>
      <c r="X363" s="1" t="s">
        <v>1682</v>
      </c>
    </row>
    <row r="364" spans="1:24">
      <c r="A364" s="1" t="s">
        <v>2938</v>
      </c>
      <c r="B364" s="1" t="s">
        <v>2918</v>
      </c>
      <c r="C364" s="1"/>
      <c r="D364" s="1" t="s">
        <v>2919</v>
      </c>
      <c r="E364" s="1" t="s">
        <v>2937</v>
      </c>
      <c r="F364" s="1"/>
      <c r="G364" s="1" t="s">
        <v>2936</v>
      </c>
      <c r="H364" s="1" t="s">
        <v>2922</v>
      </c>
      <c r="I364" s="1"/>
      <c r="J364" s="1" t="s">
        <v>2923</v>
      </c>
      <c r="K364" s="1" t="s">
        <v>645</v>
      </c>
      <c r="P364" s="1" t="s">
        <v>237</v>
      </c>
      <c r="Q364" s="1" t="s">
        <v>2337</v>
      </c>
      <c r="W364" s="1" t="s">
        <v>1692</v>
      </c>
      <c r="X364" s="1" t="s">
        <v>1686</v>
      </c>
    </row>
    <row r="365" spans="1:24">
      <c r="A365" s="1" t="s">
        <v>2935</v>
      </c>
      <c r="B365" s="1" t="s">
        <v>2926</v>
      </c>
      <c r="C365" s="1"/>
      <c r="D365" s="1" t="s">
        <v>2927</v>
      </c>
      <c r="E365" s="1" t="s">
        <v>1415</v>
      </c>
      <c r="F365" s="1"/>
      <c r="G365" s="1" t="s">
        <v>2934</v>
      </c>
      <c r="H365" s="1" t="s">
        <v>2930</v>
      </c>
      <c r="I365" s="1"/>
      <c r="J365" s="1" t="s">
        <v>2931</v>
      </c>
      <c r="K365" s="1" t="s">
        <v>2933</v>
      </c>
      <c r="P365" s="1" t="s">
        <v>238</v>
      </c>
      <c r="Q365" s="1" t="s">
        <v>2336</v>
      </c>
      <c r="W365" s="1" t="s">
        <v>2027</v>
      </c>
      <c r="X365" s="1" t="s">
        <v>1687</v>
      </c>
    </row>
    <row r="366" spans="1:24">
      <c r="A366" s="1" t="s">
        <v>2932</v>
      </c>
      <c r="B366" s="1" t="s">
        <v>2931</v>
      </c>
      <c r="C366" s="1"/>
      <c r="D366" s="1" t="s">
        <v>2930</v>
      </c>
      <c r="E366" s="1" t="s">
        <v>2929</v>
      </c>
      <c r="F366" s="1"/>
      <c r="G366" s="1" t="s">
        <v>2928</v>
      </c>
      <c r="H366" s="1" t="s">
        <v>2927</v>
      </c>
      <c r="I366" s="1"/>
      <c r="J366" s="1" t="s">
        <v>2926</v>
      </c>
      <c r="K366" s="1" t="s">
        <v>2925</v>
      </c>
      <c r="P366" s="1" t="s">
        <v>239</v>
      </c>
      <c r="Q366" s="1" t="s">
        <v>2335</v>
      </c>
      <c r="W366" s="1" t="s">
        <v>2168</v>
      </c>
      <c r="X366" s="1" t="s">
        <v>1688</v>
      </c>
    </row>
    <row r="367" spans="1:24">
      <c r="A367" s="1" t="s">
        <v>2924</v>
      </c>
      <c r="B367" s="1" t="s">
        <v>2923</v>
      </c>
      <c r="C367" s="1"/>
      <c r="D367" s="1" t="s">
        <v>2922</v>
      </c>
      <c r="E367" s="1" t="s">
        <v>2921</v>
      </c>
      <c r="F367" s="1"/>
      <c r="G367" s="1" t="s">
        <v>2920</v>
      </c>
      <c r="H367" s="1" t="s">
        <v>2919</v>
      </c>
      <c r="I367" s="1"/>
      <c r="J367" s="1" t="s">
        <v>2918</v>
      </c>
      <c r="K367" s="1" t="s">
        <v>2917</v>
      </c>
      <c r="P367" s="1" t="s">
        <v>240</v>
      </c>
      <c r="Q367" s="1" t="s">
        <v>2334</v>
      </c>
      <c r="W367" s="1" t="s">
        <v>2205</v>
      </c>
      <c r="X367" s="1" t="s">
        <v>1689</v>
      </c>
    </row>
    <row r="368" spans="1:24">
      <c r="A368" s="1" t="s">
        <v>2916</v>
      </c>
      <c r="B368" s="1" t="s">
        <v>581</v>
      </c>
      <c r="C368" s="1"/>
      <c r="D368" s="1" t="s">
        <v>2915</v>
      </c>
      <c r="E368" s="1" t="s">
        <v>2914</v>
      </c>
      <c r="F368" s="1"/>
      <c r="G368" s="1" t="s">
        <v>2913</v>
      </c>
      <c r="H368" s="1" t="s">
        <v>2912</v>
      </c>
      <c r="I368" s="1"/>
      <c r="J368" s="1" t="s">
        <v>2911</v>
      </c>
      <c r="K368" s="1" t="s">
        <v>2910</v>
      </c>
      <c r="P368" s="1" t="s">
        <v>241</v>
      </c>
      <c r="Q368" s="1" t="s">
        <v>2333</v>
      </c>
      <c r="W368" s="1" t="s">
        <v>1701</v>
      </c>
      <c r="X368" s="1" t="s">
        <v>1694</v>
      </c>
    </row>
    <row r="369" spans="1:24">
      <c r="A369" s="1" t="s">
        <v>2909</v>
      </c>
      <c r="B369" s="1" t="s">
        <v>2908</v>
      </c>
      <c r="C369" s="1"/>
      <c r="D369" s="1" t="s">
        <v>2907</v>
      </c>
      <c r="E369" s="1" t="s">
        <v>2906</v>
      </c>
      <c r="F369" s="1"/>
      <c r="G369" s="1" t="s">
        <v>2905</v>
      </c>
      <c r="H369" s="1" t="s">
        <v>2904</v>
      </c>
      <c r="I369" s="1"/>
      <c r="J369" s="1" t="s">
        <v>2903</v>
      </c>
      <c r="K369" s="1" t="s">
        <v>2902</v>
      </c>
      <c r="P369" s="1" t="s">
        <v>242</v>
      </c>
      <c r="Q369" s="1" t="s">
        <v>2332</v>
      </c>
      <c r="W369" s="1" t="s">
        <v>2030</v>
      </c>
      <c r="X369" s="1" t="s">
        <v>1695</v>
      </c>
    </row>
    <row r="370" spans="1:24">
      <c r="A370" s="1" t="s">
        <v>2901</v>
      </c>
      <c r="B370" s="1" t="s">
        <v>2900</v>
      </c>
      <c r="C370" s="1"/>
      <c r="D370" s="1" t="s">
        <v>2899</v>
      </c>
      <c r="E370" s="1" t="s">
        <v>2898</v>
      </c>
      <c r="F370" s="1"/>
      <c r="G370" s="1" t="s">
        <v>2897</v>
      </c>
      <c r="H370" s="1" t="s">
        <v>2896</v>
      </c>
      <c r="I370" s="1"/>
      <c r="J370" s="1" t="s">
        <v>2636</v>
      </c>
      <c r="K370" s="1" t="s">
        <v>2895</v>
      </c>
      <c r="P370" s="1" t="s">
        <v>243</v>
      </c>
      <c r="Q370" s="1" t="s">
        <v>2331</v>
      </c>
      <c r="W370" s="1" t="s">
        <v>2171</v>
      </c>
      <c r="X370" s="1" t="s">
        <v>1696</v>
      </c>
    </row>
    <row r="371" spans="1:24">
      <c r="A371" s="1" t="s">
        <v>2894</v>
      </c>
      <c r="B371" s="1" t="s">
        <v>665</v>
      </c>
      <c r="C371" s="1"/>
      <c r="D371" s="1" t="s">
        <v>2893</v>
      </c>
      <c r="E371" s="1" t="s">
        <v>2892</v>
      </c>
      <c r="F371" s="1"/>
      <c r="G371" s="1" t="s">
        <v>2891</v>
      </c>
      <c r="H371" s="1" t="s">
        <v>2890</v>
      </c>
      <c r="I371" s="1"/>
      <c r="J371" s="1" t="s">
        <v>2889</v>
      </c>
      <c r="K371" s="1" t="s">
        <v>2888</v>
      </c>
      <c r="P371" s="1" t="s">
        <v>244</v>
      </c>
      <c r="Q371" s="1" t="s">
        <v>2330</v>
      </c>
      <c r="W371" s="1" t="s">
        <v>2212</v>
      </c>
      <c r="X371" s="1" t="s">
        <v>1697</v>
      </c>
    </row>
    <row r="372" spans="1:24">
      <c r="A372" s="1" t="s">
        <v>2887</v>
      </c>
      <c r="B372" s="1" t="s">
        <v>2886</v>
      </c>
      <c r="C372" s="1"/>
      <c r="D372" s="1" t="s">
        <v>2885</v>
      </c>
      <c r="E372" s="1" t="s">
        <v>2884</v>
      </c>
      <c r="F372" s="1"/>
      <c r="G372" s="1" t="s">
        <v>2883</v>
      </c>
      <c r="H372" s="1" t="s">
        <v>2882</v>
      </c>
      <c r="I372" s="1"/>
      <c r="J372" s="1" t="s">
        <v>2881</v>
      </c>
      <c r="K372" s="1" t="s">
        <v>2880</v>
      </c>
      <c r="P372" s="1" t="s">
        <v>245</v>
      </c>
      <c r="Q372" s="1" t="s">
        <v>2329</v>
      </c>
      <c r="W372" s="1" t="s">
        <v>1710</v>
      </c>
      <c r="X372" s="1" t="s">
        <v>1704</v>
      </c>
    </row>
    <row r="373" spans="1:24">
      <c r="A373" s="1" t="s">
        <v>2879</v>
      </c>
      <c r="B373" s="1" t="s">
        <v>2878</v>
      </c>
      <c r="C373" s="1"/>
      <c r="D373" s="1" t="s">
        <v>2877</v>
      </c>
      <c r="E373" s="1" t="s">
        <v>2876</v>
      </c>
      <c r="F373" s="1"/>
      <c r="G373" s="1" t="s">
        <v>2875</v>
      </c>
      <c r="H373" s="1" t="s">
        <v>2874</v>
      </c>
      <c r="I373" s="1"/>
      <c r="J373" s="1" t="s">
        <v>2873</v>
      </c>
      <c r="K373" s="1" t="s">
        <v>2872</v>
      </c>
      <c r="P373" s="1" t="s">
        <v>246</v>
      </c>
      <c r="Q373" s="1" t="s">
        <v>2328</v>
      </c>
      <c r="W373" s="1" t="s">
        <v>2033</v>
      </c>
      <c r="X373" s="1" t="s">
        <v>1705</v>
      </c>
    </row>
    <row r="374" spans="1:24">
      <c r="A374" s="1" t="s">
        <v>2871</v>
      </c>
      <c r="B374" s="1" t="s">
        <v>2870</v>
      </c>
      <c r="C374" s="1"/>
      <c r="D374" s="1" t="s">
        <v>2869</v>
      </c>
      <c r="E374" s="1" t="s">
        <v>2868</v>
      </c>
      <c r="F374" s="1"/>
      <c r="G374" s="1" t="s">
        <v>2867</v>
      </c>
      <c r="H374" s="1" t="s">
        <v>2866</v>
      </c>
      <c r="I374" s="1"/>
      <c r="J374" s="1" t="s">
        <v>2865</v>
      </c>
      <c r="K374" s="1" t="s">
        <v>2864</v>
      </c>
      <c r="P374" s="1" t="s">
        <v>247</v>
      </c>
      <c r="Q374" s="1" t="s">
        <v>2327</v>
      </c>
      <c r="W374" s="1" t="s">
        <v>2175</v>
      </c>
      <c r="X374" s="1" t="s">
        <v>1706</v>
      </c>
    </row>
    <row r="375" spans="1:24">
      <c r="A375" s="1" t="s">
        <v>2863</v>
      </c>
      <c r="B375" s="1" t="s">
        <v>2862</v>
      </c>
      <c r="C375" s="1"/>
      <c r="D375" s="1" t="s">
        <v>2861</v>
      </c>
      <c r="E375" s="1" t="s">
        <v>2860</v>
      </c>
      <c r="F375" s="1"/>
      <c r="G375" s="1" t="s">
        <v>2859</v>
      </c>
      <c r="H375" s="1" t="s">
        <v>2858</v>
      </c>
      <c r="I375" s="1"/>
      <c r="J375" s="1" t="s">
        <v>2642</v>
      </c>
      <c r="K375" s="1" t="s">
        <v>2857</v>
      </c>
      <c r="P375" s="1" t="s">
        <v>248</v>
      </c>
      <c r="Q375" s="1" t="s">
        <v>2326</v>
      </c>
      <c r="W375" s="1" t="s">
        <v>2219</v>
      </c>
      <c r="X375" s="1" t="s">
        <v>1707</v>
      </c>
    </row>
    <row r="376" spans="1:24">
      <c r="A376" s="1" t="s">
        <v>2856</v>
      </c>
      <c r="B376" s="1" t="s">
        <v>2855</v>
      </c>
      <c r="C376" s="1"/>
      <c r="D376" s="1" t="s">
        <v>2854</v>
      </c>
      <c r="E376" s="1" t="s">
        <v>2853</v>
      </c>
      <c r="F376" s="1"/>
      <c r="G376" s="1" t="s">
        <v>2852</v>
      </c>
      <c r="H376" s="1" t="s">
        <v>2851</v>
      </c>
      <c r="I376" s="1"/>
      <c r="J376" s="1" t="s">
        <v>2850</v>
      </c>
      <c r="K376" s="1" t="s">
        <v>2849</v>
      </c>
      <c r="P376" s="1" t="s">
        <v>249</v>
      </c>
      <c r="Q376" s="1" t="s">
        <v>2325</v>
      </c>
      <c r="W376" s="1" t="s">
        <v>1717</v>
      </c>
      <c r="X376" s="1" t="s">
        <v>1713</v>
      </c>
    </row>
    <row r="377" spans="1:24">
      <c r="A377" s="1" t="s">
        <v>2848</v>
      </c>
      <c r="B377" s="1" t="s">
        <v>2847</v>
      </c>
      <c r="C377" s="1"/>
      <c r="D377" s="1" t="s">
        <v>2846</v>
      </c>
      <c r="E377" s="1" t="s">
        <v>2845</v>
      </c>
      <c r="F377" s="1"/>
      <c r="G377" s="1" t="s">
        <v>2844</v>
      </c>
      <c r="H377" s="1" t="s">
        <v>2843</v>
      </c>
      <c r="I377" s="1"/>
      <c r="J377" s="1" t="s">
        <v>2588</v>
      </c>
      <c r="K377" s="1" t="s">
        <v>2842</v>
      </c>
      <c r="P377" s="1" t="s">
        <v>250</v>
      </c>
      <c r="Q377" s="1" t="s">
        <v>2324</v>
      </c>
      <c r="W377" s="1" t="s">
        <v>2034</v>
      </c>
      <c r="X377" s="1" t="s">
        <v>1714</v>
      </c>
    </row>
    <row r="378" spans="1:24">
      <c r="A378" s="1" t="s">
        <v>2841</v>
      </c>
      <c r="B378" s="1" t="s">
        <v>2840</v>
      </c>
      <c r="C378" s="1"/>
      <c r="D378" s="1" t="s">
        <v>2839</v>
      </c>
      <c r="E378" s="1" t="s">
        <v>2838</v>
      </c>
      <c r="F378" s="1"/>
      <c r="G378" s="1" t="s">
        <v>2837</v>
      </c>
      <c r="H378" s="1" t="s">
        <v>2836</v>
      </c>
      <c r="I378" s="1"/>
      <c r="J378" s="1" t="s">
        <v>2835</v>
      </c>
      <c r="K378" s="1" t="s">
        <v>2834</v>
      </c>
      <c r="P378" s="1" t="s">
        <v>251</v>
      </c>
      <c r="Q378" s="1" t="s">
        <v>37</v>
      </c>
      <c r="W378" s="1" t="s">
        <v>2177</v>
      </c>
      <c r="X378" s="1" t="s">
        <v>1715</v>
      </c>
    </row>
    <row r="379" spans="1:24">
      <c r="A379" s="1" t="s">
        <v>2833</v>
      </c>
      <c r="B379" s="1" t="s">
        <v>2832</v>
      </c>
      <c r="C379" s="1"/>
      <c r="D379" s="1" t="s">
        <v>2831</v>
      </c>
      <c r="E379" s="1" t="s">
        <v>2830</v>
      </c>
      <c r="F379" s="1"/>
      <c r="G379" s="1" t="s">
        <v>2829</v>
      </c>
      <c r="H379" s="1" t="s">
        <v>2828</v>
      </c>
      <c r="I379" s="1"/>
      <c r="J379" s="1" t="s">
        <v>2827</v>
      </c>
      <c r="K379" s="1" t="s">
        <v>2826</v>
      </c>
      <c r="P379" s="1" t="s">
        <v>252</v>
      </c>
      <c r="Q379" s="1" t="s">
        <v>2323</v>
      </c>
      <c r="W379" s="1" t="s">
        <v>2226</v>
      </c>
      <c r="X379" s="1" t="s">
        <v>1716</v>
      </c>
    </row>
    <row r="380" spans="1:24">
      <c r="A380" s="1" t="s">
        <v>2825</v>
      </c>
      <c r="B380" s="1" t="s">
        <v>2824</v>
      </c>
      <c r="C380" s="1"/>
      <c r="D380" s="1" t="s">
        <v>2385</v>
      </c>
      <c r="E380" s="1" t="s">
        <v>2823</v>
      </c>
      <c r="F380" s="1"/>
      <c r="G380" s="1" t="s">
        <v>2822</v>
      </c>
      <c r="H380" s="1" t="s">
        <v>2821</v>
      </c>
      <c r="I380" s="1"/>
      <c r="J380" s="1" t="s">
        <v>2820</v>
      </c>
      <c r="K380" s="1" t="s">
        <v>2819</v>
      </c>
      <c r="P380" s="1" t="s">
        <v>253</v>
      </c>
      <c r="Q380" s="1" t="s">
        <v>2322</v>
      </c>
      <c r="W380" s="1" t="s">
        <v>1724</v>
      </c>
      <c r="X380" s="1" t="s">
        <v>1719</v>
      </c>
    </row>
    <row r="381" spans="1:24">
      <c r="A381" s="1" t="s">
        <v>2818</v>
      </c>
      <c r="B381" s="1" t="s">
        <v>2817</v>
      </c>
      <c r="C381" s="1"/>
      <c r="D381" s="1" t="s">
        <v>2816</v>
      </c>
      <c r="E381" s="1" t="s">
        <v>2815</v>
      </c>
      <c r="F381" s="1"/>
      <c r="G381" s="1" t="s">
        <v>2814</v>
      </c>
      <c r="H381" s="1" t="s">
        <v>2813</v>
      </c>
      <c r="I381" s="1"/>
      <c r="J381" s="1" t="s">
        <v>2812</v>
      </c>
      <c r="K381" s="1" t="s">
        <v>2811</v>
      </c>
      <c r="P381" s="1" t="s">
        <v>254</v>
      </c>
      <c r="Q381" s="1" t="s">
        <v>2321</v>
      </c>
      <c r="W381" s="1" t="s">
        <v>2035</v>
      </c>
      <c r="X381" s="1" t="s">
        <v>1720</v>
      </c>
    </row>
    <row r="382" spans="1:24">
      <c r="A382" s="1" t="s">
        <v>2810</v>
      </c>
      <c r="B382" s="1" t="s">
        <v>2809</v>
      </c>
      <c r="C382" s="1"/>
      <c r="D382" s="1" t="s">
        <v>2808</v>
      </c>
      <c r="E382" s="1" t="s">
        <v>2807</v>
      </c>
      <c r="F382" s="1"/>
      <c r="G382" s="1" t="s">
        <v>2806</v>
      </c>
      <c r="H382" s="1" t="s">
        <v>2805</v>
      </c>
      <c r="I382" s="1"/>
      <c r="J382" s="1" t="s">
        <v>2804</v>
      </c>
      <c r="K382" s="1" t="s">
        <v>2803</v>
      </c>
      <c r="P382" s="1" t="s">
        <v>255</v>
      </c>
      <c r="Q382" s="1" t="s">
        <v>2320</v>
      </c>
      <c r="W382" s="1" t="s">
        <v>2178</v>
      </c>
      <c r="X382" s="1" t="s">
        <v>1721</v>
      </c>
    </row>
    <row r="383" spans="1: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P383" s="1" t="s">
        <v>256</v>
      </c>
      <c r="Q383" s="1" t="s">
        <v>2319</v>
      </c>
      <c r="W383" s="1" t="s">
        <v>2231</v>
      </c>
      <c r="X383" s="1" t="s">
        <v>1722</v>
      </c>
    </row>
    <row r="384" spans="1:24">
      <c r="A384" s="1" t="s">
        <v>2825</v>
      </c>
      <c r="B384" s="1" t="s">
        <v>2824</v>
      </c>
      <c r="C384" s="1"/>
      <c r="D384" s="1" t="s">
        <v>2385</v>
      </c>
      <c r="E384" s="1" t="s">
        <v>2823</v>
      </c>
      <c r="F384" s="1"/>
      <c r="G384" s="1" t="s">
        <v>2822</v>
      </c>
      <c r="H384" s="1" t="s">
        <v>2821</v>
      </c>
      <c r="I384" s="1"/>
      <c r="J384" s="1" t="s">
        <v>2820</v>
      </c>
      <c r="K384" s="1" t="s">
        <v>2819</v>
      </c>
      <c r="W384" s="1" t="s">
        <v>1731</v>
      </c>
      <c r="X384" s="1" t="s">
        <v>1726</v>
      </c>
    </row>
    <row r="385" spans="1:24">
      <c r="A385" s="1" t="s">
        <v>2818</v>
      </c>
      <c r="B385" s="1" t="s">
        <v>2817</v>
      </c>
      <c r="C385" s="1"/>
      <c r="D385" s="1" t="s">
        <v>2816</v>
      </c>
      <c r="E385" s="1" t="s">
        <v>2815</v>
      </c>
      <c r="F385" s="1"/>
      <c r="G385" s="1" t="s">
        <v>2814</v>
      </c>
      <c r="H385" s="1" t="s">
        <v>2813</v>
      </c>
      <c r="I385" s="1"/>
      <c r="J385" s="1" t="s">
        <v>2812</v>
      </c>
      <c r="K385" s="1" t="s">
        <v>2811</v>
      </c>
      <c r="N385" s="820" t="s">
        <v>3880</v>
      </c>
      <c r="O385" s="820"/>
      <c r="P385" s="820"/>
      <c r="Q385" s="820"/>
      <c r="R385" s="820"/>
      <c r="S385" s="820"/>
      <c r="T385" s="820"/>
      <c r="U385" s="820"/>
      <c r="W385" s="1" t="s">
        <v>2038</v>
      </c>
      <c r="X385" s="1" t="s">
        <v>1727</v>
      </c>
    </row>
    <row r="386" spans="1:24">
      <c r="A386" s="1" t="s">
        <v>2810</v>
      </c>
      <c r="B386" s="1" t="s">
        <v>2809</v>
      </c>
      <c r="C386" s="1"/>
      <c r="D386" s="1" t="s">
        <v>2808</v>
      </c>
      <c r="E386" s="1" t="s">
        <v>2807</v>
      </c>
      <c r="F386" s="1"/>
      <c r="G386" s="1" t="s">
        <v>2806</v>
      </c>
      <c r="H386" s="1" t="s">
        <v>2805</v>
      </c>
      <c r="I386" s="1"/>
      <c r="J386" s="1" t="s">
        <v>2804</v>
      </c>
      <c r="K386" s="1" t="s">
        <v>2803</v>
      </c>
      <c r="N386" s="1"/>
      <c r="O386" s="1"/>
      <c r="P386" s="1" t="s">
        <v>3150</v>
      </c>
      <c r="Q386" s="1" t="s">
        <v>3150</v>
      </c>
      <c r="R386" s="1"/>
      <c r="S386" s="1" t="s">
        <v>3149</v>
      </c>
      <c r="T386" s="1" t="s">
        <v>3881</v>
      </c>
      <c r="U386" s="1" t="s">
        <v>3882</v>
      </c>
      <c r="W386" s="1" t="s">
        <v>2180</v>
      </c>
      <c r="X386" s="1" t="s">
        <v>1728</v>
      </c>
    </row>
    <row r="387" spans="1:24">
      <c r="A387" s="1" t="s">
        <v>2802</v>
      </c>
      <c r="B387" s="1" t="s">
        <v>2801</v>
      </c>
      <c r="C387" s="1"/>
      <c r="D387" s="1" t="s">
        <v>2800</v>
      </c>
      <c r="E387" s="1" t="s">
        <v>2799</v>
      </c>
      <c r="F387" s="1"/>
      <c r="G387" s="1" t="s">
        <v>2798</v>
      </c>
      <c r="H387" s="1" t="s">
        <v>2797</v>
      </c>
      <c r="I387" s="1"/>
      <c r="J387" s="1" t="s">
        <v>2796</v>
      </c>
      <c r="K387" s="1" t="s">
        <v>2795</v>
      </c>
      <c r="N387" s="1" t="s">
        <v>924</v>
      </c>
      <c r="O387" s="1" t="s">
        <v>736</v>
      </c>
      <c r="P387" s="1" t="s">
        <v>3883</v>
      </c>
      <c r="Q387" s="1" t="s">
        <v>3884</v>
      </c>
      <c r="R387" s="1"/>
      <c r="S387" s="1" t="s">
        <v>3883</v>
      </c>
      <c r="T387" s="1" t="s">
        <v>3885</v>
      </c>
      <c r="U387" s="1" t="s">
        <v>3886</v>
      </c>
      <c r="W387" s="1" t="s">
        <v>2233</v>
      </c>
      <c r="X387" s="1" t="s">
        <v>1729</v>
      </c>
    </row>
    <row r="388" spans="1:24">
      <c r="A388" s="1" t="s">
        <v>2794</v>
      </c>
      <c r="B388" s="1" t="s">
        <v>2793</v>
      </c>
      <c r="C388" s="1"/>
      <c r="D388" s="1" t="s">
        <v>2792</v>
      </c>
      <c r="E388" s="1" t="s">
        <v>823</v>
      </c>
      <c r="F388" s="1"/>
      <c r="G388" s="1" t="s">
        <v>2791</v>
      </c>
      <c r="H388" s="1" t="s">
        <v>2790</v>
      </c>
      <c r="I388" s="1"/>
      <c r="J388" s="1" t="s">
        <v>2789</v>
      </c>
      <c r="K388" s="1" t="s">
        <v>2788</v>
      </c>
      <c r="N388" s="1" t="s">
        <v>924</v>
      </c>
      <c r="O388" s="1" t="s">
        <v>737</v>
      </c>
      <c r="P388" s="1" t="s">
        <v>3887</v>
      </c>
      <c r="Q388" s="1" t="s">
        <v>3888</v>
      </c>
      <c r="R388" s="1"/>
      <c r="S388" s="1" t="s">
        <v>3887</v>
      </c>
      <c r="T388" s="1" t="s">
        <v>3889</v>
      </c>
      <c r="U388" s="1" t="s">
        <v>3890</v>
      </c>
      <c r="W388" s="1" t="s">
        <v>1738</v>
      </c>
      <c r="X388" s="1" t="s">
        <v>1733</v>
      </c>
    </row>
    <row r="389" spans="1:24">
      <c r="A389" s="1" t="s">
        <v>2787</v>
      </c>
      <c r="B389" s="1" t="s">
        <v>2786</v>
      </c>
      <c r="C389" s="1"/>
      <c r="D389" s="1" t="s">
        <v>2785</v>
      </c>
      <c r="E389" s="1" t="s">
        <v>819</v>
      </c>
      <c r="F389" s="1"/>
      <c r="G389" s="1" t="s">
        <v>2784</v>
      </c>
      <c r="H389" s="1" t="s">
        <v>2783</v>
      </c>
      <c r="I389" s="1"/>
      <c r="J389" s="1" t="s">
        <v>2782</v>
      </c>
      <c r="K389" s="1" t="s">
        <v>2781</v>
      </c>
      <c r="N389" s="1" t="s">
        <v>924</v>
      </c>
      <c r="O389" s="1" t="s">
        <v>738</v>
      </c>
      <c r="P389" s="1" t="s">
        <v>3891</v>
      </c>
      <c r="Q389" s="1" t="s">
        <v>3892</v>
      </c>
      <c r="R389" s="1"/>
      <c r="S389" s="1" t="s">
        <v>3891</v>
      </c>
      <c r="T389" s="1" t="s">
        <v>3893</v>
      </c>
      <c r="U389" s="1" t="s">
        <v>3894</v>
      </c>
      <c r="W389" s="1" t="s">
        <v>2042</v>
      </c>
      <c r="X389" s="1" t="s">
        <v>1734</v>
      </c>
    </row>
    <row r="390" spans="1:24">
      <c r="A390" s="1" t="s">
        <v>2780</v>
      </c>
      <c r="B390" s="1" t="s">
        <v>2779</v>
      </c>
      <c r="C390" s="1"/>
      <c r="D390" s="1" t="s">
        <v>2778</v>
      </c>
      <c r="E390" s="1" t="s">
        <v>735</v>
      </c>
      <c r="F390" s="1"/>
      <c r="G390" s="1" t="s">
        <v>2777</v>
      </c>
      <c r="H390" s="1" t="s">
        <v>2776</v>
      </c>
      <c r="I390" s="1"/>
      <c r="J390" s="1" t="s">
        <v>2775</v>
      </c>
      <c r="K390" s="1" t="s">
        <v>2774</v>
      </c>
      <c r="N390" s="1" t="s">
        <v>924</v>
      </c>
      <c r="O390" s="1" t="s">
        <v>739</v>
      </c>
      <c r="P390" s="1" t="s">
        <v>3895</v>
      </c>
      <c r="Q390" s="1" t="s">
        <v>3896</v>
      </c>
      <c r="R390" s="1"/>
      <c r="S390" s="1" t="s">
        <v>3895</v>
      </c>
      <c r="T390" s="1" t="s">
        <v>3897</v>
      </c>
      <c r="U390" s="1" t="s">
        <v>3898</v>
      </c>
      <c r="W390" s="1" t="s">
        <v>2183</v>
      </c>
      <c r="X390" s="1" t="s">
        <v>1735</v>
      </c>
    </row>
    <row r="391" spans="1:24">
      <c r="A391" s="1" t="s">
        <v>2773</v>
      </c>
      <c r="B391" s="1" t="s">
        <v>2772</v>
      </c>
      <c r="C391" s="1"/>
      <c r="D391" s="1" t="s">
        <v>2771</v>
      </c>
      <c r="E391" s="1" t="s">
        <v>731</v>
      </c>
      <c r="F391" s="1"/>
      <c r="G391" s="1" t="s">
        <v>2770</v>
      </c>
      <c r="H391" s="1" t="s">
        <v>2769</v>
      </c>
      <c r="I391" s="1"/>
      <c r="J391" s="1" t="s">
        <v>2768</v>
      </c>
      <c r="K391" s="1" t="s">
        <v>2767</v>
      </c>
      <c r="N391" s="1" t="s">
        <v>924</v>
      </c>
      <c r="O391" s="1" t="s">
        <v>740</v>
      </c>
      <c r="P391" s="1" t="s">
        <v>3899</v>
      </c>
      <c r="Q391" s="1" t="s">
        <v>3900</v>
      </c>
      <c r="R391" s="1"/>
      <c r="S391" s="1" t="s">
        <v>3899</v>
      </c>
      <c r="T391" s="1" t="s">
        <v>3901</v>
      </c>
      <c r="U391" s="1" t="s">
        <v>3902</v>
      </c>
      <c r="W391" s="1" t="s">
        <v>2234</v>
      </c>
      <c r="X391" s="1" t="s">
        <v>1736</v>
      </c>
    </row>
    <row r="392" spans="1:24">
      <c r="A392" s="1" t="s">
        <v>2766</v>
      </c>
      <c r="B392" s="1" t="s">
        <v>2765</v>
      </c>
      <c r="C392" s="1"/>
      <c r="D392" s="1" t="s">
        <v>2764</v>
      </c>
      <c r="E392" s="1" t="s">
        <v>727</v>
      </c>
      <c r="F392" s="1"/>
      <c r="G392" s="1" t="s">
        <v>2763</v>
      </c>
      <c r="H392" s="1" t="s">
        <v>2762</v>
      </c>
      <c r="I392" s="1"/>
      <c r="J392" s="1" t="s">
        <v>2761</v>
      </c>
      <c r="K392" s="1" t="s">
        <v>2760</v>
      </c>
      <c r="N392" s="1" t="s">
        <v>924</v>
      </c>
      <c r="O392" s="1" t="s">
        <v>741</v>
      </c>
      <c r="P392" s="1" t="s">
        <v>3903</v>
      </c>
      <c r="Q392" s="1" t="s">
        <v>3904</v>
      </c>
      <c r="R392" s="1"/>
      <c r="S392" s="1" t="s">
        <v>3903</v>
      </c>
      <c r="T392" s="1" t="s">
        <v>3905</v>
      </c>
      <c r="U392" s="1" t="s">
        <v>3906</v>
      </c>
      <c r="W392" s="1" t="s">
        <v>1744</v>
      </c>
      <c r="X392" s="1" t="s">
        <v>1740</v>
      </c>
    </row>
    <row r="393" spans="1:24">
      <c r="A393" s="1" t="s">
        <v>2759</v>
      </c>
      <c r="B393" s="1" t="s">
        <v>2758</v>
      </c>
      <c r="C393" s="1"/>
      <c r="D393" s="1" t="s">
        <v>2757</v>
      </c>
      <c r="E393" s="1" t="s">
        <v>723</v>
      </c>
      <c r="F393" s="1"/>
      <c r="G393" s="1" t="s">
        <v>2756</v>
      </c>
      <c r="H393" s="1" t="s">
        <v>2755</v>
      </c>
      <c r="I393" s="1"/>
      <c r="J393" s="1" t="s">
        <v>2754</v>
      </c>
      <c r="K393" s="1" t="s">
        <v>2753</v>
      </c>
      <c r="N393" s="1" t="s">
        <v>924</v>
      </c>
      <c r="O393" s="1" t="s">
        <v>742</v>
      </c>
      <c r="P393" s="1" t="s">
        <v>3907</v>
      </c>
      <c r="Q393" s="1" t="s">
        <v>3908</v>
      </c>
      <c r="R393" s="1"/>
      <c r="S393" s="1" t="s">
        <v>3907</v>
      </c>
      <c r="T393" s="1" t="s">
        <v>3909</v>
      </c>
      <c r="U393" s="1" t="s">
        <v>3910</v>
      </c>
      <c r="W393" s="1" t="s">
        <v>2043</v>
      </c>
      <c r="X393" s="1" t="s">
        <v>1741</v>
      </c>
    </row>
    <row r="394" spans="1:24">
      <c r="N394" s="1" t="s">
        <v>924</v>
      </c>
      <c r="O394" s="1" t="s">
        <v>743</v>
      </c>
      <c r="P394" s="1" t="s">
        <v>3911</v>
      </c>
      <c r="Q394" s="1" t="s">
        <v>3912</v>
      </c>
      <c r="R394" s="1"/>
      <c r="S394" s="1" t="s">
        <v>3911</v>
      </c>
      <c r="T394" s="1" t="s">
        <v>3913</v>
      </c>
      <c r="U394" s="1" t="s">
        <v>3914</v>
      </c>
      <c r="W394" s="1" t="s">
        <v>2185</v>
      </c>
      <c r="X394" s="1" t="s">
        <v>1742</v>
      </c>
    </row>
    <row r="395" spans="1:24">
      <c r="A395" s="825" t="s">
        <v>2658</v>
      </c>
      <c r="B395" s="825"/>
      <c r="C395" s="825"/>
      <c r="D395" s="825"/>
      <c r="E395" s="825"/>
      <c r="F395" s="825"/>
      <c r="G395" s="825"/>
      <c r="H395" s="825"/>
      <c r="I395" s="825"/>
      <c r="J395" s="825"/>
      <c r="K395" s="825"/>
      <c r="L395" s="825"/>
      <c r="N395" s="1" t="s">
        <v>924</v>
      </c>
      <c r="O395" s="1" t="s">
        <v>744</v>
      </c>
      <c r="P395" s="1" t="s">
        <v>3915</v>
      </c>
      <c r="Q395" s="1" t="s">
        <v>3916</v>
      </c>
      <c r="R395" s="1"/>
      <c r="S395" s="1" t="s">
        <v>3915</v>
      </c>
      <c r="T395" s="1" t="s">
        <v>3917</v>
      </c>
      <c r="U395" s="1" t="s">
        <v>3918</v>
      </c>
      <c r="W395" s="1" t="s">
        <v>2235</v>
      </c>
      <c r="X395" s="1" t="s">
        <v>1743</v>
      </c>
    </row>
    <row r="396" spans="1:24">
      <c r="A396" s="1" t="s">
        <v>213</v>
      </c>
      <c r="B396" s="1" t="s">
        <v>967</v>
      </c>
      <c r="C396" s="1" t="s">
        <v>214</v>
      </c>
      <c r="D396" s="1" t="s">
        <v>213</v>
      </c>
      <c r="E396" s="1" t="s">
        <v>967</v>
      </c>
      <c r="F396" s="1" t="s">
        <v>214</v>
      </c>
      <c r="G396" s="1" t="s">
        <v>213</v>
      </c>
      <c r="H396" s="1" t="s">
        <v>967</v>
      </c>
      <c r="I396" s="1" t="s">
        <v>214</v>
      </c>
      <c r="J396" s="1" t="s">
        <v>213</v>
      </c>
      <c r="K396" s="1" t="s">
        <v>967</v>
      </c>
      <c r="L396" s="1" t="s">
        <v>214</v>
      </c>
      <c r="N396" s="1" t="s">
        <v>924</v>
      </c>
      <c r="O396" s="1" t="s">
        <v>745</v>
      </c>
      <c r="P396" s="1" t="s">
        <v>3919</v>
      </c>
      <c r="Q396" s="1" t="s">
        <v>3920</v>
      </c>
      <c r="R396" s="1"/>
      <c r="S396" s="1" t="s">
        <v>3919</v>
      </c>
      <c r="T396" s="1" t="s">
        <v>3921</v>
      </c>
      <c r="U396" s="1" t="s">
        <v>3922</v>
      </c>
      <c r="W396" s="1" t="s">
        <v>1752</v>
      </c>
      <c r="X396" s="1" t="s">
        <v>1747</v>
      </c>
    </row>
    <row r="397" spans="1:24">
      <c r="A397" s="1">
        <v>1</v>
      </c>
      <c r="B397" s="1" t="s">
        <v>736</v>
      </c>
      <c r="C397" s="1" t="s">
        <v>879</v>
      </c>
      <c r="D397" s="1">
        <v>25</v>
      </c>
      <c r="E397" s="1" t="s">
        <v>760</v>
      </c>
      <c r="F397" s="1" t="s">
        <v>711</v>
      </c>
      <c r="G397" s="1">
        <v>49</v>
      </c>
      <c r="H397" s="1" t="s">
        <v>784</v>
      </c>
      <c r="I397" s="1" t="s">
        <v>649</v>
      </c>
      <c r="J397" s="1">
        <v>73</v>
      </c>
      <c r="K397" s="1" t="s">
        <v>233</v>
      </c>
      <c r="L397" s="1" t="s">
        <v>721</v>
      </c>
      <c r="N397" s="1" t="s">
        <v>924</v>
      </c>
      <c r="O397" s="1" t="s">
        <v>746</v>
      </c>
      <c r="P397" s="1" t="s">
        <v>3923</v>
      </c>
      <c r="Q397" s="1" t="s">
        <v>3924</v>
      </c>
      <c r="R397" s="1"/>
      <c r="S397" s="1" t="s">
        <v>3923</v>
      </c>
      <c r="T397" s="1" t="s">
        <v>3925</v>
      </c>
      <c r="U397" s="1" t="s">
        <v>3926</v>
      </c>
      <c r="W397" s="1" t="s">
        <v>2045</v>
      </c>
      <c r="X397" s="1" t="s">
        <v>1748</v>
      </c>
    </row>
    <row r="398" spans="1:24">
      <c r="A398" s="1">
        <v>2</v>
      </c>
      <c r="B398" s="1" t="s">
        <v>737</v>
      </c>
      <c r="C398" s="1" t="s">
        <v>903</v>
      </c>
      <c r="D398" s="1">
        <v>26</v>
      </c>
      <c r="E398" s="1" t="s">
        <v>761</v>
      </c>
      <c r="F398" s="1" t="s">
        <v>679</v>
      </c>
      <c r="G398" s="1">
        <v>50</v>
      </c>
      <c r="H398" s="1" t="s">
        <v>785</v>
      </c>
      <c r="I398" s="1" t="s">
        <v>885</v>
      </c>
      <c r="J398" s="1">
        <v>74</v>
      </c>
      <c r="K398" s="1" t="s">
        <v>234</v>
      </c>
      <c r="L398" s="1" t="s">
        <v>837</v>
      </c>
      <c r="N398" s="1" t="s">
        <v>924</v>
      </c>
      <c r="O398" s="1" t="s">
        <v>747</v>
      </c>
      <c r="P398" s="1" t="s">
        <v>3927</v>
      </c>
      <c r="Q398" s="1" t="s">
        <v>3928</v>
      </c>
      <c r="R398" s="1"/>
      <c r="S398" s="1" t="s">
        <v>3927</v>
      </c>
      <c r="T398" s="1" t="s">
        <v>3929</v>
      </c>
      <c r="U398" s="1" t="s">
        <v>3930</v>
      </c>
      <c r="W398" s="1" t="s">
        <v>2187</v>
      </c>
      <c r="X398" s="1" t="s">
        <v>1749</v>
      </c>
    </row>
    <row r="399" spans="1:24">
      <c r="A399" s="1">
        <v>3</v>
      </c>
      <c r="B399" s="1" t="s">
        <v>738</v>
      </c>
      <c r="C399" s="1" t="s">
        <v>829</v>
      </c>
      <c r="D399" s="1">
        <v>27</v>
      </c>
      <c r="E399" s="1" t="s">
        <v>762</v>
      </c>
      <c r="F399" s="1" t="s">
        <v>839</v>
      </c>
      <c r="G399" s="1">
        <v>51</v>
      </c>
      <c r="H399" s="1" t="s">
        <v>786</v>
      </c>
      <c r="I399" s="1" t="s">
        <v>833</v>
      </c>
      <c r="J399" s="1">
        <v>75</v>
      </c>
      <c r="K399" s="1" t="s">
        <v>235</v>
      </c>
      <c r="L399" s="1" t="s">
        <v>827</v>
      </c>
      <c r="N399" s="1" t="s">
        <v>924</v>
      </c>
      <c r="O399" s="1" t="s">
        <v>748</v>
      </c>
      <c r="P399" s="1" t="s">
        <v>3931</v>
      </c>
      <c r="Q399" s="1" t="s">
        <v>3932</v>
      </c>
      <c r="R399" s="1"/>
      <c r="S399" s="1" t="s">
        <v>3931</v>
      </c>
      <c r="T399" s="1" t="s">
        <v>3933</v>
      </c>
      <c r="U399" s="1" t="s">
        <v>3934</v>
      </c>
      <c r="W399" s="1" t="s">
        <v>2236</v>
      </c>
      <c r="X399" s="1" t="s">
        <v>1750</v>
      </c>
    </row>
    <row r="400" spans="1:24">
      <c r="A400" s="1">
        <v>4</v>
      </c>
      <c r="B400" s="1" t="s">
        <v>739</v>
      </c>
      <c r="C400" s="1" t="s">
        <v>641</v>
      </c>
      <c r="D400" s="1">
        <v>28</v>
      </c>
      <c r="E400" s="1" t="s">
        <v>763</v>
      </c>
      <c r="F400" s="1" t="s">
        <v>855</v>
      </c>
      <c r="G400" s="1">
        <v>52</v>
      </c>
      <c r="H400" s="1" t="s">
        <v>787</v>
      </c>
      <c r="I400" s="1" t="s">
        <v>701</v>
      </c>
      <c r="J400" s="1">
        <v>76</v>
      </c>
      <c r="K400" s="1" t="s">
        <v>236</v>
      </c>
      <c r="L400" s="1" t="s">
        <v>705</v>
      </c>
      <c r="N400" s="1" t="s">
        <v>924</v>
      </c>
      <c r="O400" s="1" t="s">
        <v>749</v>
      </c>
      <c r="P400" s="1" t="s">
        <v>3935</v>
      </c>
      <c r="Q400" s="1" t="s">
        <v>3936</v>
      </c>
      <c r="R400" s="1"/>
      <c r="S400" s="1" t="s">
        <v>3935</v>
      </c>
      <c r="T400" s="1" t="s">
        <v>3937</v>
      </c>
      <c r="U400" s="1" t="s">
        <v>3938</v>
      </c>
      <c r="W400" s="1" t="s">
        <v>1759</v>
      </c>
      <c r="X400" s="1" t="s">
        <v>1754</v>
      </c>
    </row>
    <row r="401" spans="1:24">
      <c r="A401" s="1">
        <v>5</v>
      </c>
      <c r="B401" s="1" t="s">
        <v>740</v>
      </c>
      <c r="C401" s="1" t="s">
        <v>657</v>
      </c>
      <c r="D401" s="1">
        <v>29</v>
      </c>
      <c r="E401" s="1" t="s">
        <v>764</v>
      </c>
      <c r="F401" s="1" t="s">
        <v>863</v>
      </c>
      <c r="G401" s="1">
        <v>53</v>
      </c>
      <c r="H401" s="1" t="s">
        <v>788</v>
      </c>
      <c r="I401" s="1" t="s">
        <v>691</v>
      </c>
      <c r="J401" s="1">
        <v>77</v>
      </c>
      <c r="K401" s="1" t="s">
        <v>237</v>
      </c>
      <c r="L401" s="1" t="s">
        <v>913</v>
      </c>
      <c r="N401" s="1" t="s">
        <v>924</v>
      </c>
      <c r="O401" s="1" t="s">
        <v>750</v>
      </c>
      <c r="P401" s="1" t="s">
        <v>3939</v>
      </c>
      <c r="Q401" s="1" t="s">
        <v>3940</v>
      </c>
      <c r="R401" s="1"/>
      <c r="S401" s="1" t="s">
        <v>3939</v>
      </c>
      <c r="T401" s="1" t="s">
        <v>3941</v>
      </c>
      <c r="U401" s="1" t="s">
        <v>3942</v>
      </c>
      <c r="W401" s="1" t="s">
        <v>2049</v>
      </c>
      <c r="X401" s="1" t="s">
        <v>1755</v>
      </c>
    </row>
    <row r="402" spans="1:24">
      <c r="A402" s="1">
        <v>6</v>
      </c>
      <c r="B402" s="1" t="s">
        <v>741</v>
      </c>
      <c r="C402" s="1" t="s">
        <v>725</v>
      </c>
      <c r="D402" s="1">
        <v>30</v>
      </c>
      <c r="E402" s="1" t="s">
        <v>765</v>
      </c>
      <c r="F402" s="1" t="s">
        <v>693</v>
      </c>
      <c r="G402" s="1">
        <v>54</v>
      </c>
      <c r="H402" s="1" t="s">
        <v>789</v>
      </c>
      <c r="I402" s="1" t="s">
        <v>731</v>
      </c>
      <c r="J402" s="1">
        <v>78</v>
      </c>
      <c r="K402" s="1" t="s">
        <v>238</v>
      </c>
      <c r="L402" s="1" t="s">
        <v>685</v>
      </c>
      <c r="N402" s="1" t="s">
        <v>924</v>
      </c>
      <c r="O402" s="1" t="s">
        <v>751</v>
      </c>
      <c r="P402" s="1" t="s">
        <v>3943</v>
      </c>
      <c r="Q402" s="1" t="s">
        <v>3944</v>
      </c>
      <c r="R402" s="1"/>
      <c r="S402" s="1" t="s">
        <v>3943</v>
      </c>
      <c r="T402" s="1" t="s">
        <v>3945</v>
      </c>
      <c r="U402" s="1" t="s">
        <v>3946</v>
      </c>
      <c r="W402" s="1" t="s">
        <v>2188</v>
      </c>
      <c r="X402" s="1" t="s">
        <v>1756</v>
      </c>
    </row>
    <row r="403" spans="1:24">
      <c r="A403" s="1">
        <v>7</v>
      </c>
      <c r="B403" s="1" t="s">
        <v>742</v>
      </c>
      <c r="C403" s="1" t="s">
        <v>671</v>
      </c>
      <c r="D403" s="1">
        <v>31</v>
      </c>
      <c r="E403" s="1" t="s">
        <v>766</v>
      </c>
      <c r="F403" s="1" t="s">
        <v>663</v>
      </c>
      <c r="G403" s="1">
        <v>55</v>
      </c>
      <c r="H403" s="1" t="s">
        <v>790</v>
      </c>
      <c r="I403" s="1" t="s">
        <v>849</v>
      </c>
      <c r="J403" s="1">
        <v>79</v>
      </c>
      <c r="K403" s="1" t="s">
        <v>239</v>
      </c>
      <c r="L403" s="1" t="s">
        <v>677</v>
      </c>
      <c r="N403" s="1" t="s">
        <v>924</v>
      </c>
      <c r="O403" s="1" t="s">
        <v>752</v>
      </c>
      <c r="P403" s="1" t="s">
        <v>3947</v>
      </c>
      <c r="Q403" s="1" t="s">
        <v>3948</v>
      </c>
      <c r="R403" s="1"/>
      <c r="S403" s="1" t="s">
        <v>3947</v>
      </c>
      <c r="T403" s="1" t="s">
        <v>3949</v>
      </c>
      <c r="U403" s="1" t="s">
        <v>3950</v>
      </c>
      <c r="W403" s="1" t="s">
        <v>2238</v>
      </c>
      <c r="X403" s="1" t="s">
        <v>1757</v>
      </c>
    </row>
    <row r="404" spans="1:24">
      <c r="A404" s="1">
        <v>8</v>
      </c>
      <c r="B404" s="1" t="s">
        <v>743</v>
      </c>
      <c r="C404" s="1" t="s">
        <v>717</v>
      </c>
      <c r="D404" s="1">
        <v>32</v>
      </c>
      <c r="E404" s="1" t="s">
        <v>767</v>
      </c>
      <c r="F404" s="1" t="s">
        <v>659</v>
      </c>
      <c r="G404" s="1">
        <v>56</v>
      </c>
      <c r="H404" s="1" t="s">
        <v>791</v>
      </c>
      <c r="I404" s="1" t="s">
        <v>893</v>
      </c>
      <c r="J404" s="1">
        <v>80</v>
      </c>
      <c r="K404" s="1" t="s">
        <v>240</v>
      </c>
      <c r="L404" s="1" t="s">
        <v>675</v>
      </c>
      <c r="N404" s="1" t="s">
        <v>924</v>
      </c>
      <c r="O404" s="1" t="s">
        <v>753</v>
      </c>
      <c r="P404" s="1" t="s">
        <v>3951</v>
      </c>
      <c r="Q404" s="1" t="s">
        <v>3952</v>
      </c>
      <c r="R404" s="1"/>
      <c r="S404" s="1" t="s">
        <v>3951</v>
      </c>
      <c r="T404" s="1" t="s">
        <v>3953</v>
      </c>
      <c r="U404" s="1" t="s">
        <v>3954</v>
      </c>
      <c r="W404" s="1" t="s">
        <v>1766</v>
      </c>
      <c r="X404" s="1" t="s">
        <v>1761</v>
      </c>
    </row>
    <row r="405" spans="1:24">
      <c r="A405" s="1">
        <v>9</v>
      </c>
      <c r="B405" s="1" t="s">
        <v>744</v>
      </c>
      <c r="C405" s="1" t="s">
        <v>847</v>
      </c>
      <c r="D405" s="1">
        <v>33</v>
      </c>
      <c r="E405" s="1" t="s">
        <v>768</v>
      </c>
      <c r="F405" s="1" t="s">
        <v>645</v>
      </c>
      <c r="G405" s="1">
        <v>57</v>
      </c>
      <c r="H405" s="1" t="s">
        <v>792</v>
      </c>
      <c r="I405" s="1" t="s">
        <v>823</v>
      </c>
      <c r="J405" s="1">
        <v>81</v>
      </c>
      <c r="K405" s="1" t="s">
        <v>241</v>
      </c>
      <c r="L405" s="1" t="s">
        <v>715</v>
      </c>
      <c r="N405" s="1" t="s">
        <v>924</v>
      </c>
      <c r="O405" s="1" t="s">
        <v>754</v>
      </c>
      <c r="P405" s="1" t="s">
        <v>3955</v>
      </c>
      <c r="Q405" s="1" t="s">
        <v>3954</v>
      </c>
      <c r="R405" s="1"/>
      <c r="S405" s="1" t="s">
        <v>3955</v>
      </c>
      <c r="T405" s="1" t="s">
        <v>3956</v>
      </c>
      <c r="U405" s="1" t="s">
        <v>3952</v>
      </c>
      <c r="W405" s="1" t="s">
        <v>2051</v>
      </c>
      <c r="X405" s="1" t="s">
        <v>1762</v>
      </c>
    </row>
    <row r="406" spans="1:24">
      <c r="A406" s="1">
        <v>10</v>
      </c>
      <c r="B406" s="1" t="s">
        <v>745</v>
      </c>
      <c r="C406" s="1" t="s">
        <v>871</v>
      </c>
      <c r="D406" s="1">
        <v>34</v>
      </c>
      <c r="E406" s="1" t="s">
        <v>769</v>
      </c>
      <c r="F406" s="1" t="s">
        <v>733</v>
      </c>
      <c r="G406" s="1">
        <v>58</v>
      </c>
      <c r="H406" s="1" t="s">
        <v>793</v>
      </c>
      <c r="I406" s="1" t="s">
        <v>835</v>
      </c>
      <c r="J406" s="1">
        <v>82</v>
      </c>
      <c r="K406" s="1" t="s">
        <v>242</v>
      </c>
      <c r="L406" s="1" t="s">
        <v>899</v>
      </c>
      <c r="N406" s="1" t="s">
        <v>924</v>
      </c>
      <c r="O406" s="1" t="s">
        <v>755</v>
      </c>
      <c r="P406" s="1" t="s">
        <v>3957</v>
      </c>
      <c r="Q406" s="1" t="s">
        <v>3958</v>
      </c>
      <c r="R406" s="1"/>
      <c r="S406" s="1" t="s">
        <v>3957</v>
      </c>
      <c r="T406" s="1" t="s">
        <v>3959</v>
      </c>
      <c r="U406" s="1" t="s">
        <v>3960</v>
      </c>
      <c r="W406" s="1" t="s">
        <v>2190</v>
      </c>
      <c r="X406" s="1" t="s">
        <v>1763</v>
      </c>
    </row>
    <row r="407" spans="1:24">
      <c r="A407" s="1">
        <v>11</v>
      </c>
      <c r="B407" s="1" t="s">
        <v>746</v>
      </c>
      <c r="C407" s="1" t="s">
        <v>883</v>
      </c>
      <c r="D407" s="1">
        <v>35</v>
      </c>
      <c r="E407" s="1" t="s">
        <v>770</v>
      </c>
      <c r="F407" s="1" t="s">
        <v>901</v>
      </c>
      <c r="G407" s="1">
        <v>59</v>
      </c>
      <c r="H407" s="1" t="s">
        <v>794</v>
      </c>
      <c r="I407" s="1" t="s">
        <v>843</v>
      </c>
      <c r="J407" s="1">
        <v>83</v>
      </c>
      <c r="K407" s="1" t="s">
        <v>243</v>
      </c>
      <c r="L407" s="1" t="s">
        <v>831</v>
      </c>
      <c r="N407" s="1" t="s">
        <v>924</v>
      </c>
      <c r="O407" s="1" t="s">
        <v>756</v>
      </c>
      <c r="P407" s="1" t="s">
        <v>3961</v>
      </c>
      <c r="Q407" s="1" t="s">
        <v>3962</v>
      </c>
      <c r="R407" s="1"/>
      <c r="S407" s="1" t="s">
        <v>3961</v>
      </c>
      <c r="T407" s="1" t="s">
        <v>3963</v>
      </c>
      <c r="U407" s="1" t="s">
        <v>3964</v>
      </c>
      <c r="W407" s="1" t="s">
        <v>2239</v>
      </c>
      <c r="X407" s="1" t="s">
        <v>1764</v>
      </c>
    </row>
    <row r="408" spans="1:24">
      <c r="A408" s="1">
        <v>12</v>
      </c>
      <c r="B408" s="1" t="s">
        <v>747</v>
      </c>
      <c r="C408" s="1" t="s">
        <v>891</v>
      </c>
      <c r="D408" s="1">
        <v>36</v>
      </c>
      <c r="E408" s="1" t="s">
        <v>771</v>
      </c>
      <c r="F408" s="1" t="s">
        <v>859</v>
      </c>
      <c r="G408" s="1">
        <v>60</v>
      </c>
      <c r="H408" s="1" t="s">
        <v>795</v>
      </c>
      <c r="I408" s="1" t="s">
        <v>851</v>
      </c>
      <c r="J408" s="1">
        <v>84</v>
      </c>
      <c r="K408" s="1" t="s">
        <v>244</v>
      </c>
      <c r="L408" s="1" t="s">
        <v>889</v>
      </c>
      <c r="N408" s="1" t="s">
        <v>924</v>
      </c>
      <c r="O408" s="1" t="s">
        <v>757</v>
      </c>
      <c r="P408" s="1" t="s">
        <v>3965</v>
      </c>
      <c r="Q408" s="1" t="s">
        <v>3966</v>
      </c>
      <c r="R408" s="1"/>
      <c r="S408" s="1" t="s">
        <v>3965</v>
      </c>
      <c r="T408" s="1" t="s">
        <v>3967</v>
      </c>
      <c r="U408" s="1" t="s">
        <v>3968</v>
      </c>
      <c r="W408" s="1" t="s">
        <v>1772</v>
      </c>
      <c r="X408" s="1" t="s">
        <v>1768</v>
      </c>
    </row>
    <row r="409" spans="1:24">
      <c r="A409" s="1">
        <v>13</v>
      </c>
      <c r="B409" s="1" t="s">
        <v>748</v>
      </c>
      <c r="C409" s="1" t="s">
        <v>907</v>
      </c>
      <c r="D409" s="1">
        <v>37</v>
      </c>
      <c r="E409" s="1" t="s">
        <v>772</v>
      </c>
      <c r="F409" s="1" t="s">
        <v>719</v>
      </c>
      <c r="G409" s="1">
        <v>61</v>
      </c>
      <c r="H409" s="1" t="s">
        <v>796</v>
      </c>
      <c r="I409" s="1" t="s">
        <v>867</v>
      </c>
      <c r="J409" s="1">
        <v>85</v>
      </c>
      <c r="K409" s="1" t="s">
        <v>245</v>
      </c>
      <c r="L409" s="1" t="s">
        <v>841</v>
      </c>
      <c r="N409" s="1" t="s">
        <v>924</v>
      </c>
      <c r="O409" s="1" t="s">
        <v>758</v>
      </c>
      <c r="P409" s="1" t="s">
        <v>3969</v>
      </c>
      <c r="Q409" s="1" t="s">
        <v>3970</v>
      </c>
      <c r="R409" s="1"/>
      <c r="S409" s="1" t="s">
        <v>3969</v>
      </c>
      <c r="T409" s="1" t="s">
        <v>3971</v>
      </c>
      <c r="U409" s="1" t="s">
        <v>3972</v>
      </c>
      <c r="W409" s="1" t="s">
        <v>2053</v>
      </c>
      <c r="X409" s="1" t="s">
        <v>1769</v>
      </c>
    </row>
    <row r="410" spans="1:24">
      <c r="A410" s="1">
        <v>14</v>
      </c>
      <c r="B410" s="1" t="s">
        <v>749</v>
      </c>
      <c r="C410" s="1" t="s">
        <v>821</v>
      </c>
      <c r="D410" s="1">
        <v>38</v>
      </c>
      <c r="E410" s="1" t="s">
        <v>773</v>
      </c>
      <c r="F410" s="1" t="s">
        <v>681</v>
      </c>
      <c r="G410" s="1">
        <v>62</v>
      </c>
      <c r="H410" s="1" t="s">
        <v>797</v>
      </c>
      <c r="I410" s="1" t="s">
        <v>895</v>
      </c>
      <c r="J410" s="1">
        <v>86</v>
      </c>
      <c r="K410" s="1" t="s">
        <v>246</v>
      </c>
      <c r="L410" s="1" t="s">
        <v>853</v>
      </c>
      <c r="N410" s="1" t="s">
        <v>924</v>
      </c>
      <c r="O410" s="1" t="s">
        <v>759</v>
      </c>
      <c r="P410" s="1" t="s">
        <v>3973</v>
      </c>
      <c r="Q410" s="1" t="s">
        <v>3974</v>
      </c>
      <c r="R410" s="1"/>
      <c r="S410" s="1" t="s">
        <v>3973</v>
      </c>
      <c r="T410" s="1" t="s">
        <v>3975</v>
      </c>
      <c r="U410" s="1" t="s">
        <v>3976</v>
      </c>
      <c r="W410" s="1" t="s">
        <v>2192</v>
      </c>
      <c r="X410" s="1" t="s">
        <v>1770</v>
      </c>
    </row>
    <row r="411" spans="1:24">
      <c r="A411" s="1">
        <v>15</v>
      </c>
      <c r="B411" s="1" t="s">
        <v>750</v>
      </c>
      <c r="C411" s="1" t="s">
        <v>643</v>
      </c>
      <c r="D411" s="1">
        <v>39</v>
      </c>
      <c r="E411" s="1" t="s">
        <v>774</v>
      </c>
      <c r="F411" s="1" t="s">
        <v>735</v>
      </c>
      <c r="G411" s="1">
        <v>63</v>
      </c>
      <c r="H411" s="1" t="s">
        <v>798</v>
      </c>
      <c r="I411" s="1" t="s">
        <v>665</v>
      </c>
      <c r="J411" s="1">
        <v>87</v>
      </c>
      <c r="K411" s="1" t="s">
        <v>247</v>
      </c>
      <c r="L411" s="1" t="s">
        <v>881</v>
      </c>
      <c r="N411" s="1" t="s">
        <v>924</v>
      </c>
      <c r="O411" s="1" t="s">
        <v>760</v>
      </c>
      <c r="P411" s="1" t="s">
        <v>3977</v>
      </c>
      <c r="Q411" s="1" t="s">
        <v>3978</v>
      </c>
      <c r="R411" s="1"/>
      <c r="S411" s="1" t="s">
        <v>3977</v>
      </c>
      <c r="T411" s="1" t="s">
        <v>3979</v>
      </c>
      <c r="U411" s="1" t="s">
        <v>3980</v>
      </c>
      <c r="W411" s="1" t="s">
        <v>2244</v>
      </c>
      <c r="X411" s="1" t="s">
        <v>1771</v>
      </c>
    </row>
    <row r="412" spans="1:24">
      <c r="A412" s="1">
        <v>16</v>
      </c>
      <c r="B412" s="1" t="s">
        <v>751</v>
      </c>
      <c r="C412" s="1" t="s">
        <v>909</v>
      </c>
      <c r="D412" s="1">
        <v>40</v>
      </c>
      <c r="E412" s="1" t="s">
        <v>775</v>
      </c>
      <c r="F412" s="1" t="s">
        <v>661</v>
      </c>
      <c r="G412" s="1">
        <v>64</v>
      </c>
      <c r="H412" s="1" t="s">
        <v>799</v>
      </c>
      <c r="I412" s="1" t="s">
        <v>689</v>
      </c>
      <c r="J412" s="1">
        <v>88</v>
      </c>
      <c r="K412" s="1" t="s">
        <v>248</v>
      </c>
      <c r="L412" s="1" t="s">
        <v>703</v>
      </c>
      <c r="N412" s="1" t="s">
        <v>924</v>
      </c>
      <c r="O412" s="1" t="s">
        <v>761</v>
      </c>
      <c r="P412" s="1" t="s">
        <v>3981</v>
      </c>
      <c r="Q412" s="1" t="s">
        <v>3982</v>
      </c>
      <c r="R412" s="1"/>
      <c r="S412" s="1" t="s">
        <v>3981</v>
      </c>
      <c r="T412" s="1" t="s">
        <v>3983</v>
      </c>
      <c r="U412" s="1" t="s">
        <v>3984</v>
      </c>
      <c r="W412" s="1" t="s">
        <v>1780</v>
      </c>
      <c r="X412" s="1" t="s">
        <v>1774</v>
      </c>
    </row>
    <row r="413" spans="1:24">
      <c r="A413" s="1">
        <v>17</v>
      </c>
      <c r="B413" s="1" t="s">
        <v>752</v>
      </c>
      <c r="C413" s="1" t="s">
        <v>655</v>
      </c>
      <c r="D413" s="1">
        <v>41</v>
      </c>
      <c r="E413" s="1" t="s">
        <v>776</v>
      </c>
      <c r="F413" s="1" t="s">
        <v>695</v>
      </c>
      <c r="G413" s="1">
        <v>65</v>
      </c>
      <c r="H413" s="1" t="s">
        <v>800</v>
      </c>
      <c r="I413" s="1" t="s">
        <v>877</v>
      </c>
      <c r="J413" s="1">
        <v>89</v>
      </c>
      <c r="K413" s="1" t="s">
        <v>249</v>
      </c>
      <c r="L413" s="1" t="s">
        <v>669</v>
      </c>
      <c r="N413" s="1" t="s">
        <v>924</v>
      </c>
      <c r="O413" s="1" t="s">
        <v>762</v>
      </c>
      <c r="P413" s="1" t="s">
        <v>3985</v>
      </c>
      <c r="Q413" s="1" t="s">
        <v>3986</v>
      </c>
      <c r="R413" s="1"/>
      <c r="S413" s="1" t="s">
        <v>3985</v>
      </c>
      <c r="T413" s="1" t="s">
        <v>3987</v>
      </c>
      <c r="U413" s="1" t="s">
        <v>3988</v>
      </c>
      <c r="W413" s="1" t="s">
        <v>2055</v>
      </c>
      <c r="X413" s="1" t="s">
        <v>1775</v>
      </c>
    </row>
    <row r="414" spans="1:24">
      <c r="A414" s="1">
        <v>18</v>
      </c>
      <c r="B414" s="1" t="s">
        <v>753</v>
      </c>
      <c r="C414" s="1" t="s">
        <v>873</v>
      </c>
      <c r="D414" s="1">
        <v>42</v>
      </c>
      <c r="E414" s="1" t="s">
        <v>777</v>
      </c>
      <c r="F414" s="1" t="s">
        <v>683</v>
      </c>
      <c r="G414" s="1">
        <v>66</v>
      </c>
      <c r="H414" s="1" t="s">
        <v>801</v>
      </c>
      <c r="I414" s="1" t="s">
        <v>723</v>
      </c>
      <c r="J414" s="1">
        <v>90</v>
      </c>
      <c r="K414" s="1" t="s">
        <v>250</v>
      </c>
      <c r="L414" s="1" t="s">
        <v>697</v>
      </c>
      <c r="N414" s="1" t="s">
        <v>924</v>
      </c>
      <c r="O414" s="1" t="s">
        <v>763</v>
      </c>
      <c r="P414" s="1" t="s">
        <v>3989</v>
      </c>
      <c r="Q414" s="1" t="s">
        <v>3990</v>
      </c>
      <c r="R414" s="1"/>
      <c r="S414" s="1" t="s">
        <v>3989</v>
      </c>
      <c r="T414" s="1" t="s">
        <v>3991</v>
      </c>
      <c r="U414" s="1" t="s">
        <v>3992</v>
      </c>
      <c r="W414" s="1" t="s">
        <v>2193</v>
      </c>
      <c r="X414" s="1" t="s">
        <v>1776</v>
      </c>
    </row>
    <row r="415" spans="1:24">
      <c r="A415" s="1">
        <v>19</v>
      </c>
      <c r="B415" s="1" t="s">
        <v>754</v>
      </c>
      <c r="C415" s="1" t="s">
        <v>911</v>
      </c>
      <c r="D415" s="1">
        <v>43</v>
      </c>
      <c r="E415" s="1" t="s">
        <v>778</v>
      </c>
      <c r="F415" s="1" t="s">
        <v>729</v>
      </c>
      <c r="G415" s="1">
        <v>67</v>
      </c>
      <c r="H415" s="1" t="s">
        <v>802</v>
      </c>
      <c r="I415" s="1" t="s">
        <v>897</v>
      </c>
      <c r="J415" s="1">
        <v>91</v>
      </c>
      <c r="K415" s="1" t="s">
        <v>251</v>
      </c>
      <c r="L415" s="1" t="s">
        <v>869</v>
      </c>
      <c r="N415" s="1" t="s">
        <v>924</v>
      </c>
      <c r="O415" s="1" t="s">
        <v>764</v>
      </c>
      <c r="P415" s="1" t="s">
        <v>3993</v>
      </c>
      <c r="Q415" s="1" t="s">
        <v>3994</v>
      </c>
      <c r="R415" s="1"/>
      <c r="S415" s="1" t="s">
        <v>3993</v>
      </c>
      <c r="T415" s="1" t="s">
        <v>3995</v>
      </c>
      <c r="U415" s="1" t="s">
        <v>3996</v>
      </c>
      <c r="W415" s="1" t="s">
        <v>2249</v>
      </c>
      <c r="X415" s="1" t="s">
        <v>1777</v>
      </c>
    </row>
    <row r="416" spans="1:24">
      <c r="A416" s="1">
        <v>20</v>
      </c>
      <c r="B416" s="1" t="s">
        <v>755</v>
      </c>
      <c r="C416" s="1" t="s">
        <v>673</v>
      </c>
      <c r="D416" s="1">
        <v>44</v>
      </c>
      <c r="E416" s="1" t="s">
        <v>779</v>
      </c>
      <c r="F416" s="1" t="s">
        <v>699</v>
      </c>
      <c r="G416" s="1">
        <v>68</v>
      </c>
      <c r="H416" s="1" t="s">
        <v>803</v>
      </c>
      <c r="I416" s="1" t="s">
        <v>687</v>
      </c>
      <c r="J416" s="1">
        <v>92</v>
      </c>
      <c r="K416" s="1" t="s">
        <v>252</v>
      </c>
      <c r="L416" s="1" t="s">
        <v>875</v>
      </c>
      <c r="N416" s="1" t="s">
        <v>924</v>
      </c>
      <c r="O416" s="1" t="s">
        <v>765</v>
      </c>
      <c r="P416" s="1" t="s">
        <v>3997</v>
      </c>
      <c r="Q416" s="1" t="s">
        <v>3898</v>
      </c>
      <c r="R416" s="1"/>
      <c r="S416" s="1" t="s">
        <v>3997</v>
      </c>
      <c r="T416" s="1" t="s">
        <v>3998</v>
      </c>
      <c r="U416" s="1" t="s">
        <v>3896</v>
      </c>
      <c r="W416" s="1" t="s">
        <v>1789</v>
      </c>
      <c r="X416" s="1" t="s">
        <v>1783</v>
      </c>
    </row>
    <row r="417" spans="1:24">
      <c r="A417" s="1">
        <v>21</v>
      </c>
      <c r="B417" s="1" t="s">
        <v>756</v>
      </c>
      <c r="C417" s="1" t="s">
        <v>707</v>
      </c>
      <c r="D417" s="1">
        <v>45</v>
      </c>
      <c r="E417" s="1" t="s">
        <v>780</v>
      </c>
      <c r="F417" s="1" t="s">
        <v>887</v>
      </c>
      <c r="G417" s="1">
        <v>69</v>
      </c>
      <c r="H417" s="1" t="s">
        <v>804</v>
      </c>
      <c r="I417" s="1" t="s">
        <v>825</v>
      </c>
      <c r="J417" s="1">
        <v>93</v>
      </c>
      <c r="K417" s="1" t="s">
        <v>253</v>
      </c>
      <c r="L417" s="1" t="s">
        <v>905</v>
      </c>
      <c r="N417" s="1" t="s">
        <v>924</v>
      </c>
      <c r="O417" s="1" t="s">
        <v>766</v>
      </c>
      <c r="P417" s="1" t="s">
        <v>3999</v>
      </c>
      <c r="Q417" s="1" t="s">
        <v>4000</v>
      </c>
      <c r="R417" s="1"/>
      <c r="S417" s="1" t="s">
        <v>3999</v>
      </c>
      <c r="T417" s="1" t="s">
        <v>4001</v>
      </c>
      <c r="U417" s="1" t="s">
        <v>4002</v>
      </c>
      <c r="W417" s="1" t="s">
        <v>2057</v>
      </c>
      <c r="X417" s="1" t="s">
        <v>1784</v>
      </c>
    </row>
    <row r="418" spans="1:24">
      <c r="A418" s="1">
        <v>22</v>
      </c>
      <c r="B418" s="1" t="s">
        <v>757</v>
      </c>
      <c r="C418" s="1" t="s">
        <v>653</v>
      </c>
      <c r="D418" s="1">
        <v>46</v>
      </c>
      <c r="E418" s="1" t="s">
        <v>781</v>
      </c>
      <c r="F418" s="1" t="s">
        <v>727</v>
      </c>
      <c r="G418" s="1">
        <v>70</v>
      </c>
      <c r="H418" s="1" t="s">
        <v>805</v>
      </c>
      <c r="I418" s="1" t="s">
        <v>819</v>
      </c>
      <c r="J418" s="1">
        <v>94</v>
      </c>
      <c r="K418" s="1" t="s">
        <v>254</v>
      </c>
      <c r="L418" s="1" t="s">
        <v>865</v>
      </c>
      <c r="N418" s="1" t="s">
        <v>924</v>
      </c>
      <c r="O418" s="1" t="s">
        <v>767</v>
      </c>
      <c r="P418" s="1" t="s">
        <v>4003</v>
      </c>
      <c r="Q418" s="1" t="s">
        <v>3926</v>
      </c>
      <c r="R418" s="1"/>
      <c r="S418" s="1" t="s">
        <v>4003</v>
      </c>
      <c r="T418" s="1" t="s">
        <v>4004</v>
      </c>
      <c r="U418" s="1" t="s">
        <v>3924</v>
      </c>
      <c r="W418" s="1" t="s">
        <v>2194</v>
      </c>
      <c r="X418" s="1" t="s">
        <v>1785</v>
      </c>
    </row>
    <row r="419" spans="1:24">
      <c r="A419" s="1">
        <v>23</v>
      </c>
      <c r="B419" s="1" t="s">
        <v>758</v>
      </c>
      <c r="C419" s="1" t="s">
        <v>651</v>
      </c>
      <c r="D419" s="1">
        <v>47</v>
      </c>
      <c r="E419" s="1" t="s">
        <v>782</v>
      </c>
      <c r="F419" s="1" t="s">
        <v>647</v>
      </c>
      <c r="G419" s="1">
        <v>71</v>
      </c>
      <c r="H419" s="1" t="s">
        <v>806</v>
      </c>
      <c r="I419" s="1" t="s">
        <v>709</v>
      </c>
      <c r="J419" s="1">
        <v>95</v>
      </c>
      <c r="K419" s="1" t="s">
        <v>255</v>
      </c>
      <c r="L419" s="1" t="s">
        <v>857</v>
      </c>
      <c r="N419" s="1" t="s">
        <v>924</v>
      </c>
      <c r="O419" s="1" t="s">
        <v>768</v>
      </c>
      <c r="P419" s="1" t="s">
        <v>4005</v>
      </c>
      <c r="Q419" s="1" t="s">
        <v>4006</v>
      </c>
      <c r="R419" s="1"/>
      <c r="S419" s="1" t="s">
        <v>4005</v>
      </c>
      <c r="T419" s="1" t="s">
        <v>4007</v>
      </c>
      <c r="U419" s="1" t="s">
        <v>4008</v>
      </c>
      <c r="W419" s="1" t="s">
        <v>2251</v>
      </c>
      <c r="X419" s="1" t="s">
        <v>1786</v>
      </c>
    </row>
    <row r="420" spans="1:24">
      <c r="A420" s="1">
        <v>24</v>
      </c>
      <c r="B420" s="1" t="s">
        <v>759</v>
      </c>
      <c r="C420" s="1" t="s">
        <v>667</v>
      </c>
      <c r="D420" s="1">
        <v>48</v>
      </c>
      <c r="E420" s="1" t="s">
        <v>783</v>
      </c>
      <c r="F420" s="1" t="s">
        <v>861</v>
      </c>
      <c r="G420" s="1">
        <v>72</v>
      </c>
      <c r="H420" s="1" t="s">
        <v>807</v>
      </c>
      <c r="I420" s="1" t="s">
        <v>713</v>
      </c>
      <c r="J420" s="1">
        <v>96</v>
      </c>
      <c r="K420" s="1" t="s">
        <v>256</v>
      </c>
      <c r="L420" s="1" t="s">
        <v>845</v>
      </c>
      <c r="N420" s="1" t="s">
        <v>924</v>
      </c>
      <c r="O420" s="1" t="s">
        <v>769</v>
      </c>
      <c r="P420" s="1" t="s">
        <v>4009</v>
      </c>
      <c r="Q420" s="1" t="s">
        <v>4010</v>
      </c>
      <c r="R420" s="1"/>
      <c r="S420" s="1" t="s">
        <v>4009</v>
      </c>
      <c r="T420" s="1" t="s">
        <v>4011</v>
      </c>
      <c r="U420" s="1" t="s">
        <v>4012</v>
      </c>
      <c r="W420" s="1" t="s">
        <v>1798</v>
      </c>
      <c r="X420" s="1" t="s">
        <v>1792</v>
      </c>
    </row>
    <row r="421" spans="1: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N421" s="1" t="s">
        <v>924</v>
      </c>
      <c r="O421" s="1" t="s">
        <v>770</v>
      </c>
      <c r="P421" s="1" t="s">
        <v>4013</v>
      </c>
      <c r="Q421" s="1" t="s">
        <v>4014</v>
      </c>
      <c r="R421" s="1"/>
      <c r="S421" s="1" t="s">
        <v>4013</v>
      </c>
      <c r="T421" s="1" t="s">
        <v>4015</v>
      </c>
      <c r="U421" s="1" t="s">
        <v>4016</v>
      </c>
      <c r="W421" s="1" t="s">
        <v>2060</v>
      </c>
      <c r="X421" s="1" t="s">
        <v>1793</v>
      </c>
    </row>
    <row r="422" spans="1:24">
      <c r="A422" s="825" t="s">
        <v>2752</v>
      </c>
      <c r="B422" s="825"/>
      <c r="C422" s="825"/>
      <c r="D422" s="825"/>
      <c r="E422" s="825"/>
      <c r="F422" s="825"/>
      <c r="G422" s="825"/>
      <c r="H422" s="825"/>
      <c r="I422" s="825"/>
      <c r="J422" s="825"/>
      <c r="K422" s="825"/>
      <c r="L422" s="825"/>
      <c r="N422" s="1" t="s">
        <v>924</v>
      </c>
      <c r="O422" s="1" t="s">
        <v>771</v>
      </c>
      <c r="P422" s="1" t="s">
        <v>4017</v>
      </c>
      <c r="Q422" s="1" t="s">
        <v>4018</v>
      </c>
      <c r="R422" s="1"/>
      <c r="S422" s="1" t="s">
        <v>4017</v>
      </c>
      <c r="T422" s="1" t="s">
        <v>4019</v>
      </c>
      <c r="U422" s="1" t="s">
        <v>4020</v>
      </c>
      <c r="W422" s="1" t="s">
        <v>2198</v>
      </c>
      <c r="X422" s="1" t="s">
        <v>1794</v>
      </c>
    </row>
    <row r="423" spans="1:24">
      <c r="A423" s="1" t="s">
        <v>213</v>
      </c>
      <c r="B423" s="1" t="s">
        <v>967</v>
      </c>
      <c r="C423" s="1" t="s">
        <v>214</v>
      </c>
      <c r="D423" s="1" t="s">
        <v>213</v>
      </c>
      <c r="E423" s="1" t="s">
        <v>967</v>
      </c>
      <c r="F423" s="1" t="s">
        <v>214</v>
      </c>
      <c r="G423" s="1" t="s">
        <v>213</v>
      </c>
      <c r="H423" s="1" t="s">
        <v>967</v>
      </c>
      <c r="I423" s="1" t="s">
        <v>214</v>
      </c>
      <c r="J423" s="1" t="s">
        <v>213</v>
      </c>
      <c r="K423" s="1" t="s">
        <v>967</v>
      </c>
      <c r="L423" s="1" t="s">
        <v>214</v>
      </c>
      <c r="N423" s="1" t="s">
        <v>924</v>
      </c>
      <c r="O423" s="1" t="s">
        <v>772</v>
      </c>
      <c r="P423" s="1" t="s">
        <v>4021</v>
      </c>
      <c r="Q423" s="1" t="s">
        <v>4008</v>
      </c>
      <c r="R423" s="1"/>
      <c r="S423" s="1" t="s">
        <v>4021</v>
      </c>
      <c r="T423" s="1" t="s">
        <v>4022</v>
      </c>
      <c r="U423" s="1" t="s">
        <v>4023</v>
      </c>
      <c r="W423" s="1" t="s">
        <v>2253</v>
      </c>
      <c r="X423" s="1" t="s">
        <v>1795</v>
      </c>
    </row>
    <row r="424" spans="1:24">
      <c r="A424" s="1">
        <v>97</v>
      </c>
      <c r="B424" s="1" t="s">
        <v>736</v>
      </c>
      <c r="C424" s="1" t="s">
        <v>2751</v>
      </c>
      <c r="D424" s="1">
        <v>121</v>
      </c>
      <c r="E424" s="1" t="s">
        <v>760</v>
      </c>
      <c r="F424" s="1" t="s">
        <v>2750</v>
      </c>
      <c r="G424" s="1">
        <v>145</v>
      </c>
      <c r="H424" s="1" t="s">
        <v>784</v>
      </c>
      <c r="I424" s="1" t="s">
        <v>2749</v>
      </c>
      <c r="J424" s="1">
        <v>169</v>
      </c>
      <c r="K424" s="1" t="s">
        <v>233</v>
      </c>
      <c r="L424" s="1" t="s">
        <v>2748</v>
      </c>
      <c r="N424" s="1" t="s">
        <v>924</v>
      </c>
      <c r="O424" s="1" t="s">
        <v>773</v>
      </c>
      <c r="P424" s="1" t="s">
        <v>4024</v>
      </c>
      <c r="Q424" s="1" t="s">
        <v>4025</v>
      </c>
      <c r="R424" s="1"/>
      <c r="S424" s="1" t="s">
        <v>4024</v>
      </c>
      <c r="T424" s="1" t="s">
        <v>4026</v>
      </c>
      <c r="U424" s="1" t="s">
        <v>4027</v>
      </c>
      <c r="W424" s="1" t="s">
        <v>1804</v>
      </c>
      <c r="X424" s="1" t="s">
        <v>1800</v>
      </c>
    </row>
    <row r="425" spans="1:24">
      <c r="A425" s="1">
        <v>98</v>
      </c>
      <c r="B425" s="1" t="s">
        <v>737</v>
      </c>
      <c r="C425" s="1" t="s">
        <v>2747</v>
      </c>
      <c r="D425" s="1">
        <v>122</v>
      </c>
      <c r="E425" s="1" t="s">
        <v>761</v>
      </c>
      <c r="F425" s="1" t="s">
        <v>2746</v>
      </c>
      <c r="G425" s="1">
        <v>146</v>
      </c>
      <c r="H425" s="1" t="s">
        <v>785</v>
      </c>
      <c r="I425" s="1" t="s">
        <v>2745</v>
      </c>
      <c r="J425" s="1">
        <v>170</v>
      </c>
      <c r="K425" s="1" t="s">
        <v>234</v>
      </c>
      <c r="L425" s="1" t="s">
        <v>2744</v>
      </c>
      <c r="N425" s="1" t="s">
        <v>924</v>
      </c>
      <c r="O425" s="1" t="s">
        <v>774</v>
      </c>
      <c r="P425" s="1" t="s">
        <v>4028</v>
      </c>
      <c r="Q425" s="1" t="s">
        <v>4029</v>
      </c>
      <c r="R425" s="1"/>
      <c r="S425" s="1" t="s">
        <v>4028</v>
      </c>
      <c r="T425" s="1" t="s">
        <v>4030</v>
      </c>
      <c r="U425" s="1" t="s">
        <v>4031</v>
      </c>
      <c r="W425" s="1" t="s">
        <v>2061</v>
      </c>
      <c r="X425" s="1" t="s">
        <v>1801</v>
      </c>
    </row>
    <row r="426" spans="1:24">
      <c r="A426" s="1">
        <v>99</v>
      </c>
      <c r="B426" s="1" t="s">
        <v>738</v>
      </c>
      <c r="C426" s="1" t="s">
        <v>2743</v>
      </c>
      <c r="D426" s="1">
        <v>123</v>
      </c>
      <c r="E426" s="1" t="s">
        <v>762</v>
      </c>
      <c r="F426" s="1" t="s">
        <v>2742</v>
      </c>
      <c r="G426" s="1">
        <v>147</v>
      </c>
      <c r="H426" s="1" t="s">
        <v>786</v>
      </c>
      <c r="I426" s="1" t="s">
        <v>2741</v>
      </c>
      <c r="J426" s="1">
        <v>171</v>
      </c>
      <c r="K426" s="1" t="s">
        <v>235</v>
      </c>
      <c r="L426" s="1" t="s">
        <v>2740</v>
      </c>
      <c r="N426" s="1" t="s">
        <v>924</v>
      </c>
      <c r="O426" s="1" t="s">
        <v>775</v>
      </c>
      <c r="P426" s="1" t="s">
        <v>4032</v>
      </c>
      <c r="Q426" s="1" t="s">
        <v>4033</v>
      </c>
      <c r="R426" s="1"/>
      <c r="S426" s="1" t="s">
        <v>4032</v>
      </c>
      <c r="T426" s="1" t="s">
        <v>4034</v>
      </c>
      <c r="U426" s="1" t="s">
        <v>4035</v>
      </c>
      <c r="W426" s="1" t="s">
        <v>2199</v>
      </c>
      <c r="X426" s="1" t="s">
        <v>1802</v>
      </c>
    </row>
    <row r="427" spans="1:24">
      <c r="A427" s="1">
        <v>100</v>
      </c>
      <c r="B427" s="1" t="s">
        <v>739</v>
      </c>
      <c r="C427" s="1" t="s">
        <v>2739</v>
      </c>
      <c r="D427" s="1">
        <v>124</v>
      </c>
      <c r="E427" s="1" t="s">
        <v>763</v>
      </c>
      <c r="F427" s="1" t="s">
        <v>2738</v>
      </c>
      <c r="G427" s="1">
        <v>148</v>
      </c>
      <c r="H427" s="1" t="s">
        <v>787</v>
      </c>
      <c r="I427" s="1" t="s">
        <v>2737</v>
      </c>
      <c r="J427" s="1">
        <v>172</v>
      </c>
      <c r="K427" s="1" t="s">
        <v>236</v>
      </c>
      <c r="L427" s="1" t="s">
        <v>2736</v>
      </c>
      <c r="N427" s="1" t="s">
        <v>924</v>
      </c>
      <c r="O427" s="1" t="s">
        <v>776</v>
      </c>
      <c r="P427" s="1" t="s">
        <v>4036</v>
      </c>
      <c r="Q427" s="1" t="s">
        <v>4037</v>
      </c>
      <c r="R427" s="1"/>
      <c r="S427" s="1" t="s">
        <v>4036</v>
      </c>
      <c r="T427" s="1" t="s">
        <v>4038</v>
      </c>
      <c r="U427" s="1" t="s">
        <v>4039</v>
      </c>
      <c r="W427" s="1" t="s">
        <v>2254</v>
      </c>
      <c r="X427" s="1" t="s">
        <v>1803</v>
      </c>
    </row>
    <row r="428" spans="1:24">
      <c r="A428" s="1">
        <v>101</v>
      </c>
      <c r="B428" s="1" t="s">
        <v>740</v>
      </c>
      <c r="C428" s="1" t="s">
        <v>2735</v>
      </c>
      <c r="D428" s="1">
        <v>125</v>
      </c>
      <c r="E428" s="1" t="s">
        <v>764</v>
      </c>
      <c r="F428" s="1" t="s">
        <v>2734</v>
      </c>
      <c r="G428" s="1">
        <v>149</v>
      </c>
      <c r="H428" s="1" t="s">
        <v>788</v>
      </c>
      <c r="I428" s="1" t="s">
        <v>2733</v>
      </c>
      <c r="J428" s="1">
        <v>173</v>
      </c>
      <c r="K428" s="1" t="s">
        <v>237</v>
      </c>
      <c r="L428" s="1" t="s">
        <v>2732</v>
      </c>
      <c r="N428" s="1" t="s">
        <v>924</v>
      </c>
      <c r="O428" s="1" t="s">
        <v>777</v>
      </c>
      <c r="P428" s="1" t="s">
        <v>4040</v>
      </c>
      <c r="Q428" s="1" t="s">
        <v>4041</v>
      </c>
      <c r="R428" s="1"/>
      <c r="S428" s="1" t="s">
        <v>4040</v>
      </c>
      <c r="T428" s="1" t="s">
        <v>4042</v>
      </c>
      <c r="U428" s="1" t="s">
        <v>4043</v>
      </c>
      <c r="W428" s="1" t="s">
        <v>1813</v>
      </c>
      <c r="X428" s="1" t="s">
        <v>1807</v>
      </c>
    </row>
    <row r="429" spans="1:24">
      <c r="A429" s="1">
        <v>102</v>
      </c>
      <c r="B429" s="1" t="s">
        <v>741</v>
      </c>
      <c r="C429" s="1" t="s">
        <v>2731</v>
      </c>
      <c r="D429" s="1">
        <v>126</v>
      </c>
      <c r="E429" s="1" t="s">
        <v>765</v>
      </c>
      <c r="F429" s="1" t="s">
        <v>2730</v>
      </c>
      <c r="G429" s="1">
        <v>150</v>
      </c>
      <c r="H429" s="1" t="s">
        <v>789</v>
      </c>
      <c r="I429" s="1" t="s">
        <v>2729</v>
      </c>
      <c r="J429" s="1">
        <v>174</v>
      </c>
      <c r="K429" s="1" t="s">
        <v>238</v>
      </c>
      <c r="L429" s="1" t="s">
        <v>2728</v>
      </c>
      <c r="N429" s="1" t="s">
        <v>924</v>
      </c>
      <c r="O429" s="1" t="s">
        <v>778</v>
      </c>
      <c r="P429" s="1" t="s">
        <v>4044</v>
      </c>
      <c r="Q429" s="1" t="s">
        <v>3980</v>
      </c>
      <c r="R429" s="1"/>
      <c r="S429" s="1" t="s">
        <v>4044</v>
      </c>
      <c r="T429" s="1" t="s">
        <v>4045</v>
      </c>
      <c r="U429" s="1" t="s">
        <v>3978</v>
      </c>
      <c r="W429" s="1" t="s">
        <v>2063</v>
      </c>
      <c r="X429" s="1" t="s">
        <v>1808</v>
      </c>
    </row>
    <row r="430" spans="1:24">
      <c r="A430" s="1">
        <v>103</v>
      </c>
      <c r="B430" s="1" t="s">
        <v>742</v>
      </c>
      <c r="C430" s="1" t="s">
        <v>2727</v>
      </c>
      <c r="D430" s="1">
        <v>127</v>
      </c>
      <c r="E430" s="1" t="s">
        <v>766</v>
      </c>
      <c r="F430" s="1" t="s">
        <v>2726</v>
      </c>
      <c r="G430" s="1">
        <v>151</v>
      </c>
      <c r="H430" s="1" t="s">
        <v>790</v>
      </c>
      <c r="I430" s="1" t="s">
        <v>2725</v>
      </c>
      <c r="J430" s="1">
        <v>175</v>
      </c>
      <c r="K430" s="1" t="s">
        <v>239</v>
      </c>
      <c r="L430" s="1" t="s">
        <v>2724</v>
      </c>
      <c r="N430" s="1" t="s">
        <v>924</v>
      </c>
      <c r="O430" s="1" t="s">
        <v>779</v>
      </c>
      <c r="P430" s="1" t="s">
        <v>4046</v>
      </c>
      <c r="Q430" s="1" t="s">
        <v>4047</v>
      </c>
      <c r="R430" s="1"/>
      <c r="S430" s="1" t="s">
        <v>4046</v>
      </c>
      <c r="T430" s="1" t="s">
        <v>4048</v>
      </c>
      <c r="U430" s="1" t="s">
        <v>4049</v>
      </c>
      <c r="W430" s="1" t="s">
        <v>2201</v>
      </c>
      <c r="X430" s="1" t="s">
        <v>1809</v>
      </c>
    </row>
    <row r="431" spans="1:24">
      <c r="A431" s="1">
        <v>104</v>
      </c>
      <c r="B431" s="1" t="s">
        <v>743</v>
      </c>
      <c r="C431" s="1" t="s">
        <v>2723</v>
      </c>
      <c r="D431" s="1">
        <v>128</v>
      </c>
      <c r="E431" s="1" t="s">
        <v>767</v>
      </c>
      <c r="F431" s="1" t="s">
        <v>2722</v>
      </c>
      <c r="G431" s="1">
        <v>152</v>
      </c>
      <c r="H431" s="1" t="s">
        <v>791</v>
      </c>
      <c r="I431" s="1" t="s">
        <v>2721</v>
      </c>
      <c r="J431" s="1">
        <v>176</v>
      </c>
      <c r="K431" s="1" t="s">
        <v>240</v>
      </c>
      <c r="L431" s="1" t="s">
        <v>2720</v>
      </c>
      <c r="N431" s="1" t="s">
        <v>924</v>
      </c>
      <c r="O431" s="1" t="s">
        <v>780</v>
      </c>
      <c r="P431" s="1" t="s">
        <v>4050</v>
      </c>
      <c r="Q431" s="1" t="s">
        <v>4051</v>
      </c>
      <c r="R431" s="1"/>
      <c r="S431" s="1" t="s">
        <v>4050</v>
      </c>
      <c r="T431" s="1" t="s">
        <v>4052</v>
      </c>
      <c r="U431" s="1" t="s">
        <v>4053</v>
      </c>
      <c r="W431" s="1" t="s">
        <v>2256</v>
      </c>
      <c r="X431" s="1" t="s">
        <v>1810</v>
      </c>
    </row>
    <row r="432" spans="1:24">
      <c r="A432" s="1">
        <v>105</v>
      </c>
      <c r="B432" s="1" t="s">
        <v>744</v>
      </c>
      <c r="C432" s="1" t="s">
        <v>2719</v>
      </c>
      <c r="D432" s="1">
        <v>129</v>
      </c>
      <c r="E432" s="1" t="s">
        <v>768</v>
      </c>
      <c r="F432" s="1" t="s">
        <v>2718</v>
      </c>
      <c r="G432" s="1">
        <v>153</v>
      </c>
      <c r="H432" s="1" t="s">
        <v>792</v>
      </c>
      <c r="I432" s="1" t="s">
        <v>2717</v>
      </c>
      <c r="J432" s="1">
        <v>177</v>
      </c>
      <c r="K432" s="1" t="s">
        <v>241</v>
      </c>
      <c r="L432" s="1" t="s">
        <v>2716</v>
      </c>
      <c r="N432" s="1" t="s">
        <v>924</v>
      </c>
      <c r="O432" s="1" t="s">
        <v>781</v>
      </c>
      <c r="P432" s="1" t="s">
        <v>4054</v>
      </c>
      <c r="Q432" s="1" t="s">
        <v>4055</v>
      </c>
      <c r="R432" s="1"/>
      <c r="S432" s="1" t="s">
        <v>4054</v>
      </c>
      <c r="T432" s="1" t="s">
        <v>4056</v>
      </c>
      <c r="U432" s="1" t="s">
        <v>4057</v>
      </c>
      <c r="W432" s="1" t="s">
        <v>1821</v>
      </c>
      <c r="X432" s="1" t="s">
        <v>1816</v>
      </c>
    </row>
    <row r="433" spans="1:24">
      <c r="A433" s="1">
        <v>106</v>
      </c>
      <c r="B433" s="1" t="s">
        <v>745</v>
      </c>
      <c r="C433" s="1" t="s">
        <v>2715</v>
      </c>
      <c r="D433" s="1">
        <v>130</v>
      </c>
      <c r="E433" s="1" t="s">
        <v>769</v>
      </c>
      <c r="F433" s="1" t="s">
        <v>2714</v>
      </c>
      <c r="G433" s="1">
        <v>154</v>
      </c>
      <c r="H433" s="1" t="s">
        <v>793</v>
      </c>
      <c r="I433" s="1" t="s">
        <v>2713</v>
      </c>
      <c r="J433" s="1">
        <v>178</v>
      </c>
      <c r="K433" s="1" t="s">
        <v>242</v>
      </c>
      <c r="L433" s="1" t="s">
        <v>2712</v>
      </c>
      <c r="N433" s="1" t="s">
        <v>924</v>
      </c>
      <c r="O433" s="1" t="s">
        <v>782</v>
      </c>
      <c r="P433" s="1" t="s">
        <v>4058</v>
      </c>
      <c r="Q433" s="1" t="s">
        <v>4059</v>
      </c>
      <c r="R433" s="1"/>
      <c r="S433" s="1" t="s">
        <v>4058</v>
      </c>
      <c r="T433" s="1" t="s">
        <v>4060</v>
      </c>
      <c r="U433" s="1" t="s">
        <v>4061</v>
      </c>
      <c r="W433" s="1" t="s">
        <v>2066</v>
      </c>
      <c r="X433" s="1" t="s">
        <v>1817</v>
      </c>
    </row>
    <row r="434" spans="1:24">
      <c r="A434" s="1">
        <v>107</v>
      </c>
      <c r="B434" s="1" t="s">
        <v>746</v>
      </c>
      <c r="C434" s="1" t="s">
        <v>2711</v>
      </c>
      <c r="D434" s="1">
        <v>131</v>
      </c>
      <c r="E434" s="1" t="s">
        <v>770</v>
      </c>
      <c r="F434" s="1" t="s">
        <v>2710</v>
      </c>
      <c r="G434" s="1">
        <v>155</v>
      </c>
      <c r="H434" s="1" t="s">
        <v>794</v>
      </c>
      <c r="I434" s="1" t="s">
        <v>2709</v>
      </c>
      <c r="J434" s="1">
        <v>179</v>
      </c>
      <c r="K434" s="1" t="s">
        <v>243</v>
      </c>
      <c r="L434" s="1" t="s">
        <v>2708</v>
      </c>
      <c r="N434" s="1" t="s">
        <v>924</v>
      </c>
      <c r="O434" s="1" t="s">
        <v>783</v>
      </c>
      <c r="P434" s="1" t="s">
        <v>4062</v>
      </c>
      <c r="Q434" s="1" t="s">
        <v>4063</v>
      </c>
      <c r="R434" s="1"/>
      <c r="S434" s="1" t="s">
        <v>4062</v>
      </c>
      <c r="T434" s="1" t="s">
        <v>4064</v>
      </c>
      <c r="U434" s="1" t="s">
        <v>4065</v>
      </c>
      <c r="W434" s="1" t="s">
        <v>2203</v>
      </c>
      <c r="X434" s="1" t="s">
        <v>1818</v>
      </c>
    </row>
    <row r="435" spans="1:24">
      <c r="A435" s="1">
        <v>108</v>
      </c>
      <c r="B435" s="1" t="s">
        <v>747</v>
      </c>
      <c r="C435" s="1" t="s">
        <v>2707</v>
      </c>
      <c r="D435" s="1">
        <v>132</v>
      </c>
      <c r="E435" s="1" t="s">
        <v>771</v>
      </c>
      <c r="F435" s="1" t="s">
        <v>2706</v>
      </c>
      <c r="G435" s="1">
        <v>156</v>
      </c>
      <c r="H435" s="1" t="s">
        <v>795</v>
      </c>
      <c r="I435" s="1" t="s">
        <v>2705</v>
      </c>
      <c r="J435" s="1">
        <v>180</v>
      </c>
      <c r="K435" s="1" t="s">
        <v>244</v>
      </c>
      <c r="L435" s="1" t="s">
        <v>2704</v>
      </c>
      <c r="N435" s="1" t="s">
        <v>924</v>
      </c>
      <c r="O435" s="1" t="s">
        <v>784</v>
      </c>
      <c r="P435" s="1" t="s">
        <v>4066</v>
      </c>
      <c r="Q435" s="1" t="s">
        <v>4067</v>
      </c>
      <c r="R435" s="1"/>
      <c r="S435" s="1" t="s">
        <v>4066</v>
      </c>
      <c r="T435" s="1" t="s">
        <v>4068</v>
      </c>
      <c r="U435" s="1" t="s">
        <v>4069</v>
      </c>
      <c r="W435" s="1" t="s">
        <v>2257</v>
      </c>
      <c r="X435" s="1" t="s">
        <v>1819</v>
      </c>
    </row>
    <row r="436" spans="1:24">
      <c r="A436" s="1">
        <v>109</v>
      </c>
      <c r="B436" s="1" t="s">
        <v>748</v>
      </c>
      <c r="C436" s="1" t="s">
        <v>2703</v>
      </c>
      <c r="D436" s="1">
        <v>133</v>
      </c>
      <c r="E436" s="1" t="s">
        <v>772</v>
      </c>
      <c r="F436" s="1" t="s">
        <v>2702</v>
      </c>
      <c r="G436" s="1">
        <v>157</v>
      </c>
      <c r="H436" s="1" t="s">
        <v>796</v>
      </c>
      <c r="I436" s="1" t="s">
        <v>2701</v>
      </c>
      <c r="J436" s="1">
        <v>181</v>
      </c>
      <c r="K436" s="1" t="s">
        <v>245</v>
      </c>
      <c r="L436" s="1" t="s">
        <v>2700</v>
      </c>
      <c r="N436" s="1" t="s">
        <v>924</v>
      </c>
      <c r="O436" s="1" t="s">
        <v>785</v>
      </c>
      <c r="P436" s="1" t="s">
        <v>4070</v>
      </c>
      <c r="Q436" s="1" t="s">
        <v>4071</v>
      </c>
      <c r="R436" s="1"/>
      <c r="S436" s="1" t="s">
        <v>4070</v>
      </c>
      <c r="T436" s="1" t="s">
        <v>4072</v>
      </c>
      <c r="U436" s="1" t="s">
        <v>4073</v>
      </c>
      <c r="W436" s="1" t="s">
        <v>1829</v>
      </c>
      <c r="X436" s="1" t="s">
        <v>1823</v>
      </c>
    </row>
    <row r="437" spans="1:24">
      <c r="A437" s="1">
        <v>110</v>
      </c>
      <c r="B437" s="1" t="s">
        <v>749</v>
      </c>
      <c r="C437" s="1" t="s">
        <v>2699</v>
      </c>
      <c r="D437" s="1">
        <v>134</v>
      </c>
      <c r="E437" s="1" t="s">
        <v>773</v>
      </c>
      <c r="F437" s="1" t="s">
        <v>2698</v>
      </c>
      <c r="G437" s="1">
        <v>158</v>
      </c>
      <c r="H437" s="1" t="s">
        <v>797</v>
      </c>
      <c r="I437" s="1" t="s">
        <v>2697</v>
      </c>
      <c r="J437" s="1">
        <v>182</v>
      </c>
      <c r="K437" s="1" t="s">
        <v>246</v>
      </c>
      <c r="L437" s="1" t="s">
        <v>1390</v>
      </c>
      <c r="N437" s="1" t="s">
        <v>924</v>
      </c>
      <c r="O437" s="1" t="s">
        <v>786</v>
      </c>
      <c r="P437" s="1" t="s">
        <v>4074</v>
      </c>
      <c r="Q437" s="1" t="s">
        <v>4075</v>
      </c>
      <c r="R437" s="1"/>
      <c r="S437" s="1" t="s">
        <v>4074</v>
      </c>
      <c r="T437" s="1" t="s">
        <v>4076</v>
      </c>
      <c r="U437" s="1" t="s">
        <v>4077</v>
      </c>
      <c r="W437" s="1" t="s">
        <v>2070</v>
      </c>
      <c r="X437" s="1" t="s">
        <v>1824</v>
      </c>
    </row>
    <row r="438" spans="1:24">
      <c r="A438" s="1">
        <v>111</v>
      </c>
      <c r="B438" s="1" t="s">
        <v>750</v>
      </c>
      <c r="C438" s="1" t="s">
        <v>2696</v>
      </c>
      <c r="D438" s="1">
        <v>135</v>
      </c>
      <c r="E438" s="1" t="s">
        <v>774</v>
      </c>
      <c r="F438" s="1" t="s">
        <v>2695</v>
      </c>
      <c r="G438" s="1">
        <v>159</v>
      </c>
      <c r="H438" s="1" t="s">
        <v>798</v>
      </c>
      <c r="I438" s="1" t="s">
        <v>2694</v>
      </c>
      <c r="J438" s="1">
        <v>183</v>
      </c>
      <c r="K438" s="1" t="s">
        <v>247</v>
      </c>
      <c r="L438" s="1" t="s">
        <v>2693</v>
      </c>
      <c r="N438" s="1" t="s">
        <v>924</v>
      </c>
      <c r="O438" s="1" t="s">
        <v>787</v>
      </c>
      <c r="P438" s="1" t="s">
        <v>4078</v>
      </c>
      <c r="Q438" s="1" t="s">
        <v>4079</v>
      </c>
      <c r="R438" s="1"/>
      <c r="S438" s="1" t="s">
        <v>4078</v>
      </c>
      <c r="T438" s="1" t="s">
        <v>4080</v>
      </c>
      <c r="U438" s="1" t="s">
        <v>4081</v>
      </c>
      <c r="W438" s="1" t="s">
        <v>2207</v>
      </c>
      <c r="X438" s="1" t="s">
        <v>1825</v>
      </c>
    </row>
    <row r="439" spans="1:24">
      <c r="A439" s="1">
        <v>112</v>
      </c>
      <c r="B439" s="1" t="s">
        <v>751</v>
      </c>
      <c r="C439" s="1" t="s">
        <v>2692</v>
      </c>
      <c r="D439" s="1">
        <v>136</v>
      </c>
      <c r="E439" s="1" t="s">
        <v>775</v>
      </c>
      <c r="F439" s="1" t="s">
        <v>2691</v>
      </c>
      <c r="G439" s="1">
        <v>160</v>
      </c>
      <c r="H439" s="1" t="s">
        <v>799</v>
      </c>
      <c r="I439" s="1" t="s">
        <v>2690</v>
      </c>
      <c r="J439" s="1">
        <v>184</v>
      </c>
      <c r="K439" s="1" t="s">
        <v>248</v>
      </c>
      <c r="L439" s="1" t="s">
        <v>2689</v>
      </c>
      <c r="N439" s="1" t="s">
        <v>924</v>
      </c>
      <c r="O439" s="1" t="s">
        <v>788</v>
      </c>
      <c r="P439" s="1" t="s">
        <v>4082</v>
      </c>
      <c r="Q439" s="1" t="s">
        <v>4083</v>
      </c>
      <c r="R439" s="1"/>
      <c r="S439" s="1" t="s">
        <v>4082</v>
      </c>
      <c r="T439" s="1" t="s">
        <v>4084</v>
      </c>
      <c r="U439" s="1" t="s">
        <v>4085</v>
      </c>
      <c r="W439" s="1" t="s">
        <v>2258</v>
      </c>
      <c r="X439" s="1" t="s">
        <v>1826</v>
      </c>
    </row>
    <row r="440" spans="1:24">
      <c r="A440" s="1">
        <v>113</v>
      </c>
      <c r="B440" s="1" t="s">
        <v>752</v>
      </c>
      <c r="C440" s="1" t="s">
        <v>2688</v>
      </c>
      <c r="D440" s="1">
        <v>137</v>
      </c>
      <c r="E440" s="1" t="s">
        <v>776</v>
      </c>
      <c r="F440" s="1" t="s">
        <v>2687</v>
      </c>
      <c r="G440" s="1">
        <v>161</v>
      </c>
      <c r="H440" s="1" t="s">
        <v>800</v>
      </c>
      <c r="I440" s="1" t="s">
        <v>2686</v>
      </c>
      <c r="J440" s="1">
        <v>185</v>
      </c>
      <c r="K440" s="1" t="s">
        <v>249</v>
      </c>
      <c r="L440" s="1" t="s">
        <v>2685</v>
      </c>
      <c r="N440" s="1" t="s">
        <v>924</v>
      </c>
      <c r="O440" s="1" t="s">
        <v>789</v>
      </c>
      <c r="P440" s="1" t="s">
        <v>4086</v>
      </c>
      <c r="Q440" s="1" t="s">
        <v>4087</v>
      </c>
      <c r="R440" s="1"/>
      <c r="S440" s="1" t="s">
        <v>4086</v>
      </c>
      <c r="T440" s="1" t="s">
        <v>4088</v>
      </c>
      <c r="U440" s="1" t="s">
        <v>4089</v>
      </c>
      <c r="W440" s="1" t="s">
        <v>1836</v>
      </c>
      <c r="X440" s="1" t="s">
        <v>1832</v>
      </c>
    </row>
    <row r="441" spans="1:24">
      <c r="A441" s="1">
        <v>114</v>
      </c>
      <c r="B441" s="1" t="s">
        <v>753</v>
      </c>
      <c r="C441" s="1" t="s">
        <v>126</v>
      </c>
      <c r="D441" s="1">
        <v>138</v>
      </c>
      <c r="E441" s="1" t="s">
        <v>777</v>
      </c>
      <c r="F441" s="1" t="s">
        <v>2684</v>
      </c>
      <c r="G441" s="1">
        <v>162</v>
      </c>
      <c r="H441" s="1" t="s">
        <v>801</v>
      </c>
      <c r="I441" s="1" t="s">
        <v>2683</v>
      </c>
      <c r="J441" s="1">
        <v>186</v>
      </c>
      <c r="K441" s="1" t="s">
        <v>250</v>
      </c>
      <c r="L441" s="1" t="s">
        <v>2682</v>
      </c>
      <c r="N441" s="1" t="s">
        <v>924</v>
      </c>
      <c r="O441" s="1" t="s">
        <v>790</v>
      </c>
      <c r="P441" s="1" t="s">
        <v>4090</v>
      </c>
      <c r="Q441" s="1" t="s">
        <v>4091</v>
      </c>
      <c r="R441" s="1"/>
      <c r="S441" s="1" t="s">
        <v>4090</v>
      </c>
      <c r="T441" s="1" t="s">
        <v>4092</v>
      </c>
      <c r="U441" s="1" t="s">
        <v>4093</v>
      </c>
      <c r="W441" s="1" t="s">
        <v>2072</v>
      </c>
      <c r="X441" s="1" t="s">
        <v>1833</v>
      </c>
    </row>
    <row r="442" spans="1:24">
      <c r="A442" s="1">
        <v>115</v>
      </c>
      <c r="B442" s="1" t="s">
        <v>754</v>
      </c>
      <c r="C442" s="1" t="s">
        <v>2681</v>
      </c>
      <c r="D442" s="1">
        <v>139</v>
      </c>
      <c r="E442" s="1" t="s">
        <v>778</v>
      </c>
      <c r="F442" s="1" t="s">
        <v>2680</v>
      </c>
      <c r="G442" s="1">
        <v>163</v>
      </c>
      <c r="H442" s="1" t="s">
        <v>802</v>
      </c>
      <c r="I442" s="1" t="s">
        <v>2578</v>
      </c>
      <c r="J442" s="1">
        <v>187</v>
      </c>
      <c r="K442" s="1" t="s">
        <v>251</v>
      </c>
      <c r="L442" s="1" t="s">
        <v>2679</v>
      </c>
      <c r="N442" s="1" t="s">
        <v>924</v>
      </c>
      <c r="O442" s="1" t="s">
        <v>791</v>
      </c>
      <c r="P442" s="1" t="s">
        <v>4094</v>
      </c>
      <c r="Q442" s="1" t="s">
        <v>4095</v>
      </c>
      <c r="R442" s="1"/>
      <c r="S442" s="1" t="s">
        <v>4094</v>
      </c>
      <c r="T442" s="1" t="s">
        <v>4096</v>
      </c>
      <c r="U442" s="1" t="s">
        <v>4097</v>
      </c>
      <c r="W442" s="1" t="s">
        <v>2208</v>
      </c>
      <c r="X442" s="1" t="s">
        <v>1834</v>
      </c>
    </row>
    <row r="443" spans="1:24">
      <c r="A443" s="1">
        <v>116</v>
      </c>
      <c r="B443" s="1" t="s">
        <v>755</v>
      </c>
      <c r="C443" s="1" t="s">
        <v>2678</v>
      </c>
      <c r="D443" s="1">
        <v>140</v>
      </c>
      <c r="E443" s="1" t="s">
        <v>779</v>
      </c>
      <c r="F443" s="1" t="s">
        <v>2677</v>
      </c>
      <c r="G443" s="1">
        <v>164</v>
      </c>
      <c r="H443" s="1" t="s">
        <v>803</v>
      </c>
      <c r="I443" s="1" t="s">
        <v>2676</v>
      </c>
      <c r="J443" s="1">
        <v>188</v>
      </c>
      <c r="K443" s="1" t="s">
        <v>252</v>
      </c>
      <c r="L443" s="1" t="s">
        <v>2675</v>
      </c>
      <c r="N443" s="1" t="s">
        <v>924</v>
      </c>
      <c r="O443" s="1" t="s">
        <v>792</v>
      </c>
      <c r="P443" s="1" t="s">
        <v>4098</v>
      </c>
      <c r="Q443" s="1" t="s">
        <v>4099</v>
      </c>
      <c r="R443" s="1"/>
      <c r="S443" s="1" t="s">
        <v>4098</v>
      </c>
      <c r="T443" s="1" t="s">
        <v>4100</v>
      </c>
      <c r="U443" s="1" t="s">
        <v>4101</v>
      </c>
      <c r="W443" s="1" t="s">
        <v>2264</v>
      </c>
      <c r="X443" s="1" t="s">
        <v>1835</v>
      </c>
    </row>
    <row r="444" spans="1:24">
      <c r="A444" s="1">
        <v>117</v>
      </c>
      <c r="B444" s="1" t="s">
        <v>756</v>
      </c>
      <c r="C444" s="1" t="s">
        <v>2674</v>
      </c>
      <c r="D444" s="1">
        <v>141</v>
      </c>
      <c r="E444" s="1" t="s">
        <v>780</v>
      </c>
      <c r="F444" s="1" t="s">
        <v>2673</v>
      </c>
      <c r="G444" s="1">
        <v>165</v>
      </c>
      <c r="H444" s="1" t="s">
        <v>804</v>
      </c>
      <c r="I444" s="1" t="s">
        <v>1742</v>
      </c>
      <c r="J444" s="1">
        <v>189</v>
      </c>
      <c r="K444" s="1" t="s">
        <v>253</v>
      </c>
      <c r="L444" s="1" t="s">
        <v>2672</v>
      </c>
      <c r="N444" s="1" t="s">
        <v>924</v>
      </c>
      <c r="O444" s="1" t="s">
        <v>793</v>
      </c>
      <c r="P444" s="1" t="s">
        <v>4102</v>
      </c>
      <c r="Q444" s="1" t="s">
        <v>4103</v>
      </c>
      <c r="R444" s="1"/>
      <c r="S444" s="1" t="s">
        <v>4102</v>
      </c>
      <c r="T444" s="1" t="s">
        <v>4104</v>
      </c>
      <c r="U444" s="1" t="s">
        <v>4105</v>
      </c>
      <c r="W444" s="1" t="s">
        <v>1844</v>
      </c>
      <c r="X444" s="1" t="s">
        <v>1838</v>
      </c>
    </row>
    <row r="445" spans="1:24">
      <c r="A445" s="1">
        <v>118</v>
      </c>
      <c r="B445" s="1" t="s">
        <v>757</v>
      </c>
      <c r="C445" s="1" t="s">
        <v>2671</v>
      </c>
      <c r="D445" s="1">
        <v>142</v>
      </c>
      <c r="E445" s="1" t="s">
        <v>781</v>
      </c>
      <c r="F445" s="1" t="s">
        <v>2670</v>
      </c>
      <c r="G445" s="1">
        <v>166</v>
      </c>
      <c r="H445" s="1" t="s">
        <v>805</v>
      </c>
      <c r="I445" s="1" t="s">
        <v>2669</v>
      </c>
      <c r="J445" s="1">
        <v>190</v>
      </c>
      <c r="K445" s="1" t="s">
        <v>254</v>
      </c>
      <c r="L445" s="1" t="s">
        <v>2668</v>
      </c>
      <c r="N445" s="1" t="s">
        <v>924</v>
      </c>
      <c r="O445" s="1" t="s">
        <v>794</v>
      </c>
      <c r="P445" s="1" t="s">
        <v>4106</v>
      </c>
      <c r="Q445" s="1" t="s">
        <v>4107</v>
      </c>
      <c r="R445" s="1"/>
      <c r="S445" s="1" t="s">
        <v>4106</v>
      </c>
      <c r="T445" s="1" t="s">
        <v>4108</v>
      </c>
      <c r="U445" s="1" t="s">
        <v>4109</v>
      </c>
      <c r="W445" s="1" t="s">
        <v>2074</v>
      </c>
      <c r="X445" s="1" t="s">
        <v>1839</v>
      </c>
    </row>
    <row r="446" spans="1:24">
      <c r="A446" s="1">
        <v>119</v>
      </c>
      <c r="B446" s="1" t="s">
        <v>758</v>
      </c>
      <c r="C446" s="1" t="s">
        <v>2667</v>
      </c>
      <c r="D446" s="1">
        <v>143</v>
      </c>
      <c r="E446" s="1" t="s">
        <v>782</v>
      </c>
      <c r="F446" s="1" t="s">
        <v>2666</v>
      </c>
      <c r="G446" s="1">
        <v>167</v>
      </c>
      <c r="H446" s="1" t="s">
        <v>806</v>
      </c>
      <c r="I446" s="1" t="s">
        <v>2665</v>
      </c>
      <c r="J446" s="1">
        <v>191</v>
      </c>
      <c r="K446" s="1" t="s">
        <v>255</v>
      </c>
      <c r="L446" s="1" t="s">
        <v>2664</v>
      </c>
      <c r="N446" s="1" t="s">
        <v>924</v>
      </c>
      <c r="O446" s="1" t="s">
        <v>795</v>
      </c>
      <c r="P446" s="1" t="s">
        <v>4110</v>
      </c>
      <c r="Q446" s="1" t="s">
        <v>4111</v>
      </c>
      <c r="R446" s="1"/>
      <c r="S446" s="1" t="s">
        <v>4110</v>
      </c>
      <c r="T446" s="1" t="s">
        <v>4112</v>
      </c>
      <c r="U446" s="1" t="s">
        <v>4113</v>
      </c>
      <c r="W446" s="1" t="s">
        <v>2209</v>
      </c>
      <c r="X446" s="1" t="s">
        <v>1840</v>
      </c>
    </row>
    <row r="447" spans="1:24">
      <c r="A447" s="1">
        <v>120</v>
      </c>
      <c r="B447" s="1" t="s">
        <v>759</v>
      </c>
      <c r="C447" s="1" t="s">
        <v>2663</v>
      </c>
      <c r="D447" s="1">
        <v>144</v>
      </c>
      <c r="E447" s="1" t="s">
        <v>783</v>
      </c>
      <c r="F447" s="1" t="s">
        <v>2662</v>
      </c>
      <c r="G447" s="1">
        <v>168</v>
      </c>
      <c r="H447" s="1" t="s">
        <v>807</v>
      </c>
      <c r="I447" s="1" t="s">
        <v>2661</v>
      </c>
      <c r="J447" s="1">
        <v>192</v>
      </c>
      <c r="K447" s="1" t="s">
        <v>256</v>
      </c>
      <c r="L447" s="1" t="s">
        <v>2660</v>
      </c>
      <c r="N447" s="1" t="s">
        <v>924</v>
      </c>
      <c r="O447" s="1" t="s">
        <v>796</v>
      </c>
      <c r="P447" s="1" t="s">
        <v>4114</v>
      </c>
      <c r="Q447" s="1" t="s">
        <v>4115</v>
      </c>
      <c r="R447" s="1"/>
      <c r="S447" s="1" t="s">
        <v>4114</v>
      </c>
      <c r="T447" s="1" t="s">
        <v>4116</v>
      </c>
      <c r="U447" s="1" t="s">
        <v>4117</v>
      </c>
      <c r="W447" s="1" t="s">
        <v>2269</v>
      </c>
      <c r="X447" s="1" t="s">
        <v>1841</v>
      </c>
    </row>
    <row r="448" spans="1:24">
      <c r="N448" s="1" t="s">
        <v>924</v>
      </c>
      <c r="O448" s="1" t="s">
        <v>797</v>
      </c>
      <c r="P448" s="1" t="s">
        <v>4118</v>
      </c>
      <c r="Q448" s="1" t="s">
        <v>4119</v>
      </c>
      <c r="R448" s="1"/>
      <c r="S448" s="1" t="s">
        <v>4118</v>
      </c>
      <c r="T448" s="1" t="s">
        <v>4120</v>
      </c>
      <c r="U448" s="1" t="s">
        <v>4121</v>
      </c>
      <c r="W448" s="1" t="s">
        <v>1852</v>
      </c>
      <c r="X448" s="1" t="s">
        <v>1846</v>
      </c>
    </row>
    <row r="449" spans="1:24">
      <c r="A449" s="803" t="s">
        <v>4122</v>
      </c>
      <c r="B449" s="803"/>
      <c r="C449" s="803"/>
      <c r="D449" s="803"/>
      <c r="E449" s="803"/>
      <c r="F449" s="803"/>
      <c r="H449" s="820" t="s">
        <v>4123</v>
      </c>
      <c r="I449" s="820"/>
      <c r="J449" s="820"/>
      <c r="K449" s="820"/>
      <c r="L449" s="820"/>
      <c r="N449" s="1" t="s">
        <v>924</v>
      </c>
      <c r="O449" s="1" t="s">
        <v>798</v>
      </c>
      <c r="P449" s="1" t="s">
        <v>4124</v>
      </c>
      <c r="Q449" s="1" t="s">
        <v>4125</v>
      </c>
      <c r="R449" s="1"/>
      <c r="S449" s="1" t="s">
        <v>4124</v>
      </c>
      <c r="T449" s="1" t="s">
        <v>4126</v>
      </c>
      <c r="U449" s="1" t="s">
        <v>4127</v>
      </c>
      <c r="W449" s="1" t="s">
        <v>2077</v>
      </c>
      <c r="X449" s="1" t="s">
        <v>1847</v>
      </c>
    </row>
    <row r="450" spans="1:24">
      <c r="A450" s="1"/>
      <c r="B450" s="1" t="s">
        <v>3150</v>
      </c>
      <c r="C450" s="1"/>
      <c r="D450" s="1" t="s">
        <v>3149</v>
      </c>
      <c r="E450" s="1" t="s">
        <v>3148</v>
      </c>
      <c r="F450" s="1" t="s">
        <v>3147</v>
      </c>
      <c r="H450" s="1"/>
      <c r="I450" s="1" t="s">
        <v>4128</v>
      </c>
      <c r="J450" s="1" t="s">
        <v>4129</v>
      </c>
      <c r="K450" s="1" t="s">
        <v>4130</v>
      </c>
      <c r="L450" s="1" t="s">
        <v>4131</v>
      </c>
      <c r="N450" s="1" t="s">
        <v>924</v>
      </c>
      <c r="O450" s="1" t="s">
        <v>799</v>
      </c>
      <c r="P450" s="1" t="s">
        <v>4132</v>
      </c>
      <c r="Q450" s="1" t="s">
        <v>4133</v>
      </c>
      <c r="R450" s="1"/>
      <c r="S450" s="1" t="s">
        <v>4132</v>
      </c>
      <c r="T450" s="1" t="s">
        <v>4134</v>
      </c>
      <c r="U450" s="1" t="s">
        <v>4135</v>
      </c>
      <c r="W450" s="1" t="s">
        <v>2210</v>
      </c>
      <c r="X450" s="1" t="s">
        <v>1848</v>
      </c>
    </row>
    <row r="451" spans="1:24">
      <c r="A451" s="1" t="s">
        <v>736</v>
      </c>
      <c r="B451" s="1" t="s">
        <v>879</v>
      </c>
      <c r="C451" s="1"/>
      <c r="D451" s="1" t="s">
        <v>736</v>
      </c>
      <c r="E451" s="1" t="s">
        <v>4136</v>
      </c>
      <c r="F451" s="1" t="s">
        <v>4137</v>
      </c>
      <c r="H451" s="1" t="s">
        <v>736</v>
      </c>
      <c r="I451" s="1" t="s">
        <v>3000</v>
      </c>
      <c r="J451" s="1" t="s">
        <v>4138</v>
      </c>
      <c r="K451" s="1" t="s">
        <v>4139</v>
      </c>
      <c r="L451" s="1" t="s">
        <v>4140</v>
      </c>
      <c r="N451" s="1" t="s">
        <v>924</v>
      </c>
      <c r="O451" s="1" t="s">
        <v>800</v>
      </c>
      <c r="P451" s="1" t="s">
        <v>4141</v>
      </c>
      <c r="Q451" s="1" t="s">
        <v>4142</v>
      </c>
      <c r="R451" s="1"/>
      <c r="S451" s="1" t="s">
        <v>4141</v>
      </c>
      <c r="T451" s="1" t="s">
        <v>4143</v>
      </c>
      <c r="U451" s="1" t="s">
        <v>4144</v>
      </c>
      <c r="W451" s="1" t="s">
        <v>2270</v>
      </c>
      <c r="X451" s="1" t="s">
        <v>1849</v>
      </c>
    </row>
    <row r="452" spans="1:24">
      <c r="A452" s="1" t="s">
        <v>737</v>
      </c>
      <c r="B452" s="1" t="s">
        <v>903</v>
      </c>
      <c r="C452" s="1"/>
      <c r="D452" s="1" t="s">
        <v>737</v>
      </c>
      <c r="E452" s="1" t="s">
        <v>4145</v>
      </c>
      <c r="F452" s="1" t="s">
        <v>4146</v>
      </c>
      <c r="H452" s="1" t="s">
        <v>737</v>
      </c>
      <c r="I452" s="1" t="s">
        <v>2997</v>
      </c>
      <c r="J452" s="1" t="s">
        <v>4147</v>
      </c>
      <c r="K452" s="1" t="s">
        <v>4148</v>
      </c>
      <c r="L452" s="1" t="s">
        <v>4149</v>
      </c>
      <c r="N452" s="1" t="s">
        <v>924</v>
      </c>
      <c r="O452" s="1" t="s">
        <v>801</v>
      </c>
      <c r="P452" s="1" t="s">
        <v>4150</v>
      </c>
      <c r="Q452" s="1" t="s">
        <v>4151</v>
      </c>
      <c r="R452" s="1"/>
      <c r="S452" s="1" t="s">
        <v>4150</v>
      </c>
      <c r="T452" s="1" t="s">
        <v>4152</v>
      </c>
      <c r="U452" s="1" t="s">
        <v>4153</v>
      </c>
      <c r="W452" s="1" t="s">
        <v>1860</v>
      </c>
      <c r="X452" s="1" t="s">
        <v>1854</v>
      </c>
    </row>
    <row r="453" spans="1:24">
      <c r="A453" s="1" t="s">
        <v>738</v>
      </c>
      <c r="B453" s="1" t="s">
        <v>829</v>
      </c>
      <c r="C453" s="1"/>
      <c r="D453" s="1" t="s">
        <v>738</v>
      </c>
      <c r="E453" s="1" t="s">
        <v>4154</v>
      </c>
      <c r="F453" s="1" t="s">
        <v>4155</v>
      </c>
      <c r="H453" s="1" t="s">
        <v>738</v>
      </c>
      <c r="I453" s="1" t="s">
        <v>2994</v>
      </c>
      <c r="J453" s="1" t="s">
        <v>4156</v>
      </c>
      <c r="K453" s="1" t="s">
        <v>4157</v>
      </c>
      <c r="L453" s="1" t="s">
        <v>4158</v>
      </c>
      <c r="N453" s="1" t="s">
        <v>924</v>
      </c>
      <c r="O453" s="1" t="s">
        <v>802</v>
      </c>
      <c r="P453" s="1" t="s">
        <v>4159</v>
      </c>
      <c r="Q453" s="1" t="s">
        <v>4085</v>
      </c>
      <c r="R453" s="1"/>
      <c r="S453" s="1" t="s">
        <v>4159</v>
      </c>
      <c r="T453" s="1" t="s">
        <v>4160</v>
      </c>
      <c r="U453" s="1" t="s">
        <v>4083</v>
      </c>
      <c r="W453" s="1" t="s">
        <v>2079</v>
      </c>
      <c r="X453" s="1" t="s">
        <v>1855</v>
      </c>
    </row>
    <row r="454" spans="1:24">
      <c r="A454" s="1" t="s">
        <v>739</v>
      </c>
      <c r="B454" s="1" t="s">
        <v>641</v>
      </c>
      <c r="C454" s="1"/>
      <c r="D454" s="1" t="s">
        <v>739</v>
      </c>
      <c r="E454" s="1" t="s">
        <v>4161</v>
      </c>
      <c r="F454" s="1" t="s">
        <v>4162</v>
      </c>
      <c r="H454" s="1" t="s">
        <v>739</v>
      </c>
      <c r="I454" s="1" t="s">
        <v>2992</v>
      </c>
      <c r="J454" s="1" t="s">
        <v>4163</v>
      </c>
      <c r="K454" s="1" t="s">
        <v>4164</v>
      </c>
      <c r="L454" s="1" t="s">
        <v>4165</v>
      </c>
      <c r="N454" s="1" t="s">
        <v>924</v>
      </c>
      <c r="O454" s="1" t="s">
        <v>803</v>
      </c>
      <c r="P454" s="1" t="s">
        <v>4166</v>
      </c>
      <c r="Q454" s="1" t="s">
        <v>4167</v>
      </c>
      <c r="R454" s="1"/>
      <c r="S454" s="1" t="s">
        <v>4166</v>
      </c>
      <c r="T454" s="1" t="s">
        <v>4168</v>
      </c>
      <c r="U454" s="1" t="s">
        <v>4169</v>
      </c>
      <c r="W454" s="1" t="s">
        <v>2213</v>
      </c>
      <c r="X454" s="1" t="s">
        <v>1856</v>
      </c>
    </row>
    <row r="455" spans="1:24">
      <c r="A455" s="1" t="s">
        <v>740</v>
      </c>
      <c r="B455" s="1" t="s">
        <v>657</v>
      </c>
      <c r="C455" s="1"/>
      <c r="D455" s="1" t="s">
        <v>740</v>
      </c>
      <c r="E455" s="1" t="s">
        <v>4170</v>
      </c>
      <c r="F455" s="1" t="s">
        <v>4171</v>
      </c>
      <c r="H455" s="1" t="s">
        <v>740</v>
      </c>
      <c r="I455" s="1" t="s">
        <v>2990</v>
      </c>
      <c r="J455" s="1" t="s">
        <v>4172</v>
      </c>
      <c r="K455" s="1" t="s">
        <v>4173</v>
      </c>
      <c r="L455" s="1" t="s">
        <v>4174</v>
      </c>
      <c r="N455" s="1" t="s">
        <v>924</v>
      </c>
      <c r="O455" s="1" t="s">
        <v>804</v>
      </c>
      <c r="P455" s="1" t="s">
        <v>4175</v>
      </c>
      <c r="Q455" s="1" t="s">
        <v>4176</v>
      </c>
      <c r="R455" s="1"/>
      <c r="S455" s="1" t="s">
        <v>4175</v>
      </c>
      <c r="T455" s="1" t="s">
        <v>4177</v>
      </c>
      <c r="U455" s="1" t="s">
        <v>4178</v>
      </c>
      <c r="W455" s="1" t="s">
        <v>2272</v>
      </c>
      <c r="X455" s="1" t="s">
        <v>1857</v>
      </c>
    </row>
    <row r="456" spans="1:24">
      <c r="A456" s="1" t="s">
        <v>741</v>
      </c>
      <c r="B456" s="1" t="s">
        <v>725</v>
      </c>
      <c r="C456" s="1"/>
      <c r="D456" s="1" t="s">
        <v>741</v>
      </c>
      <c r="E456" s="1" t="s">
        <v>4179</v>
      </c>
      <c r="F456" s="1" t="s">
        <v>4180</v>
      </c>
      <c r="H456" s="1" t="s">
        <v>741</v>
      </c>
      <c r="I456" s="1" t="s">
        <v>2988</v>
      </c>
      <c r="J456" s="1" t="s">
        <v>4181</v>
      </c>
      <c r="K456" s="1" t="s">
        <v>4182</v>
      </c>
      <c r="L456" s="1" t="s">
        <v>4183</v>
      </c>
      <c r="N456" s="1" t="s">
        <v>924</v>
      </c>
      <c r="O456" s="1" t="s">
        <v>805</v>
      </c>
      <c r="P456" s="1" t="s">
        <v>4184</v>
      </c>
      <c r="Q456" s="1" t="s">
        <v>4185</v>
      </c>
      <c r="R456" s="1"/>
      <c r="S456" s="1" t="s">
        <v>4184</v>
      </c>
      <c r="T456" s="1" t="s">
        <v>4186</v>
      </c>
      <c r="U456" s="1" t="s">
        <v>4187</v>
      </c>
      <c r="W456" s="1" t="s">
        <v>1867</v>
      </c>
      <c r="X456" s="1" t="s">
        <v>1863</v>
      </c>
    </row>
    <row r="457" spans="1:24">
      <c r="A457" s="1" t="s">
        <v>742</v>
      </c>
      <c r="B457" s="1" t="s">
        <v>671</v>
      </c>
      <c r="C457" s="1" t="s">
        <v>2657</v>
      </c>
      <c r="D457" s="1" t="s">
        <v>742</v>
      </c>
      <c r="E457" s="1" t="s">
        <v>4188</v>
      </c>
      <c r="F457" s="1" t="s">
        <v>4189</v>
      </c>
      <c r="H457" s="1" t="s">
        <v>742</v>
      </c>
      <c r="I457" s="1" t="s">
        <v>2986</v>
      </c>
      <c r="J457" s="1" t="s">
        <v>4190</v>
      </c>
      <c r="K457" s="1" t="s">
        <v>2670</v>
      </c>
      <c r="L457" s="1" t="s">
        <v>1468</v>
      </c>
      <c r="N457" s="1" t="s">
        <v>924</v>
      </c>
      <c r="O457" s="1" t="s">
        <v>806</v>
      </c>
      <c r="P457" s="1" t="s">
        <v>4191</v>
      </c>
      <c r="Q457" s="1" t="s">
        <v>4192</v>
      </c>
      <c r="R457" s="1"/>
      <c r="S457" s="1" t="s">
        <v>4191</v>
      </c>
      <c r="T457" s="1" t="s">
        <v>4193</v>
      </c>
      <c r="U457" s="1" t="s">
        <v>4193</v>
      </c>
      <c r="W457" s="1" t="s">
        <v>2081</v>
      </c>
      <c r="X457" s="1" t="s">
        <v>1864</v>
      </c>
    </row>
    <row r="458" spans="1:24">
      <c r="A458" s="1" t="s">
        <v>743</v>
      </c>
      <c r="B458" s="1" t="s">
        <v>717</v>
      </c>
      <c r="C458" s="1" t="s">
        <v>2656</v>
      </c>
      <c r="D458" s="1" t="s">
        <v>743</v>
      </c>
      <c r="E458" s="1" t="s">
        <v>4194</v>
      </c>
      <c r="F458" s="1" t="s">
        <v>4195</v>
      </c>
      <c r="H458" s="1" t="s">
        <v>743</v>
      </c>
      <c r="I458" s="1" t="s">
        <v>2983</v>
      </c>
      <c r="J458" s="1" t="s">
        <v>4196</v>
      </c>
      <c r="K458" s="1" t="s">
        <v>4197</v>
      </c>
      <c r="L458" s="1" t="s">
        <v>4198</v>
      </c>
      <c r="N458" s="1" t="s">
        <v>924</v>
      </c>
      <c r="O458" s="1" t="s">
        <v>807</v>
      </c>
      <c r="P458" s="1" t="s">
        <v>4199</v>
      </c>
      <c r="Q458" s="1" t="s">
        <v>4200</v>
      </c>
      <c r="R458" s="1"/>
      <c r="S458" s="1" t="s">
        <v>4199</v>
      </c>
      <c r="T458" s="1" t="s">
        <v>4201</v>
      </c>
      <c r="U458" s="1" t="s">
        <v>4202</v>
      </c>
      <c r="W458" s="1" t="s">
        <v>2214</v>
      </c>
      <c r="X458" s="1" t="s">
        <v>1865</v>
      </c>
    </row>
    <row r="459" spans="1:24">
      <c r="A459" s="1" t="s">
        <v>744</v>
      </c>
      <c r="B459" s="1" t="s">
        <v>847</v>
      </c>
      <c r="C459" s="1"/>
      <c r="D459" s="1" t="s">
        <v>744</v>
      </c>
      <c r="E459" s="1" t="s">
        <v>4203</v>
      </c>
      <c r="F459" s="1" t="s">
        <v>4204</v>
      </c>
      <c r="H459" s="1" t="s">
        <v>744</v>
      </c>
      <c r="I459" s="1" t="s">
        <v>2980</v>
      </c>
      <c r="J459" s="1" t="s">
        <v>4205</v>
      </c>
      <c r="K459" s="1" t="s">
        <v>4206</v>
      </c>
      <c r="L459" s="1" t="s">
        <v>1502</v>
      </c>
      <c r="N459" s="1" t="s">
        <v>924</v>
      </c>
      <c r="O459" s="1" t="s">
        <v>233</v>
      </c>
      <c r="P459" s="1" t="s">
        <v>4207</v>
      </c>
      <c r="Q459" s="1" t="s">
        <v>4208</v>
      </c>
      <c r="R459" s="1"/>
      <c r="S459" s="1" t="s">
        <v>4207</v>
      </c>
      <c r="T459" s="1" t="s">
        <v>4209</v>
      </c>
      <c r="U459" s="1" t="s">
        <v>4210</v>
      </c>
      <c r="W459" s="1" t="s">
        <v>2274</v>
      </c>
      <c r="X459" s="1" t="s">
        <v>1866</v>
      </c>
    </row>
    <row r="460" spans="1:24">
      <c r="A460" s="1" t="s">
        <v>745</v>
      </c>
      <c r="B460" s="1" t="s">
        <v>871</v>
      </c>
      <c r="C460" s="1"/>
      <c r="D460" s="1" t="s">
        <v>745</v>
      </c>
      <c r="E460" s="1" t="s">
        <v>4211</v>
      </c>
      <c r="F460" s="1" t="s">
        <v>4212</v>
      </c>
      <c r="H460" s="1" t="s">
        <v>745</v>
      </c>
      <c r="I460" s="1" t="s">
        <v>2977</v>
      </c>
      <c r="J460" s="1" t="s">
        <v>4213</v>
      </c>
      <c r="K460" s="1" t="s">
        <v>4214</v>
      </c>
      <c r="L460" s="1" t="s">
        <v>2535</v>
      </c>
      <c r="N460" s="1" t="s">
        <v>924</v>
      </c>
      <c r="O460" s="1" t="s">
        <v>234</v>
      </c>
      <c r="P460" s="1" t="s">
        <v>4215</v>
      </c>
      <c r="Q460" s="1" t="s">
        <v>4216</v>
      </c>
      <c r="R460" s="1"/>
      <c r="S460" s="1" t="s">
        <v>4215</v>
      </c>
      <c r="T460" s="1" t="s">
        <v>4217</v>
      </c>
      <c r="U460" s="1" t="s">
        <v>4218</v>
      </c>
      <c r="W460" s="1" t="s">
        <v>1875</v>
      </c>
      <c r="X460" s="1" t="s">
        <v>1870</v>
      </c>
    </row>
    <row r="461" spans="1:24">
      <c r="A461" s="1" t="s">
        <v>746</v>
      </c>
      <c r="B461" s="1" t="s">
        <v>883</v>
      </c>
      <c r="C461" s="1"/>
      <c r="D461" s="1" t="s">
        <v>746</v>
      </c>
      <c r="E461" s="1" t="s">
        <v>4219</v>
      </c>
      <c r="F461" s="1" t="s">
        <v>4220</v>
      </c>
      <c r="H461" s="1" t="s">
        <v>746</v>
      </c>
      <c r="I461" s="1" t="s">
        <v>2974</v>
      </c>
      <c r="J461" s="1" t="s">
        <v>4221</v>
      </c>
      <c r="K461" s="1" t="s">
        <v>4222</v>
      </c>
      <c r="L461" s="1" t="s">
        <v>4223</v>
      </c>
      <c r="N461" s="1" t="s">
        <v>924</v>
      </c>
      <c r="O461" s="1" t="s">
        <v>235</v>
      </c>
      <c r="P461" s="1" t="s">
        <v>4224</v>
      </c>
      <c r="Q461" s="1" t="s">
        <v>4225</v>
      </c>
      <c r="R461" s="1"/>
      <c r="S461" s="1" t="s">
        <v>4224</v>
      </c>
      <c r="T461" s="1" t="s">
        <v>4226</v>
      </c>
      <c r="U461" s="1" t="s">
        <v>4227</v>
      </c>
      <c r="W461" s="1" t="s">
        <v>2082</v>
      </c>
      <c r="X461" s="1" t="s">
        <v>1871</v>
      </c>
    </row>
    <row r="462" spans="1:24">
      <c r="A462" s="1" t="s">
        <v>747</v>
      </c>
      <c r="B462" s="1" t="s">
        <v>891</v>
      </c>
      <c r="C462" s="1"/>
      <c r="D462" s="1" t="s">
        <v>747</v>
      </c>
      <c r="E462" s="1" t="s">
        <v>4228</v>
      </c>
      <c r="F462" s="1" t="s">
        <v>4229</v>
      </c>
      <c r="H462" s="1" t="s">
        <v>747</v>
      </c>
      <c r="I462" s="1" t="s">
        <v>2971</v>
      </c>
      <c r="J462" s="1" t="s">
        <v>4230</v>
      </c>
      <c r="K462" s="1" t="s">
        <v>4231</v>
      </c>
      <c r="L462" s="1" t="s">
        <v>4232</v>
      </c>
      <c r="N462" s="1" t="s">
        <v>924</v>
      </c>
      <c r="O462" s="1" t="s">
        <v>236</v>
      </c>
      <c r="P462" s="1" t="s">
        <v>4233</v>
      </c>
      <c r="Q462" s="1" t="s">
        <v>4234</v>
      </c>
      <c r="R462" s="1"/>
      <c r="S462" s="1" t="s">
        <v>4233</v>
      </c>
      <c r="T462" s="1" t="s">
        <v>4235</v>
      </c>
      <c r="U462" s="1" t="s">
        <v>4236</v>
      </c>
      <c r="W462" s="1" t="s">
        <v>2216</v>
      </c>
      <c r="X462" s="1" t="s">
        <v>1872</v>
      </c>
    </row>
    <row r="463" spans="1:24">
      <c r="A463" s="1" t="s">
        <v>748</v>
      </c>
      <c r="B463" s="1" t="s">
        <v>907</v>
      </c>
      <c r="C463" s="1"/>
      <c r="D463" s="1" t="s">
        <v>748</v>
      </c>
      <c r="E463" s="1" t="s">
        <v>4237</v>
      </c>
      <c r="F463" s="1" t="s">
        <v>4238</v>
      </c>
      <c r="H463" s="1" t="s">
        <v>748</v>
      </c>
      <c r="I463" s="1" t="s">
        <v>2968</v>
      </c>
      <c r="J463" s="1" t="s">
        <v>4239</v>
      </c>
      <c r="K463" s="1" t="s">
        <v>4240</v>
      </c>
      <c r="L463" s="1" t="s">
        <v>4241</v>
      </c>
      <c r="N463" s="1" t="s">
        <v>924</v>
      </c>
      <c r="O463" s="1" t="s">
        <v>237</v>
      </c>
      <c r="P463" s="1" t="s">
        <v>4242</v>
      </c>
      <c r="Q463" s="1" t="s">
        <v>4243</v>
      </c>
      <c r="R463" s="1"/>
      <c r="S463" s="1" t="s">
        <v>4242</v>
      </c>
      <c r="T463" s="1" t="s">
        <v>4244</v>
      </c>
      <c r="U463" s="1" t="s">
        <v>4245</v>
      </c>
      <c r="W463" s="1" t="s">
        <v>2275</v>
      </c>
      <c r="X463" s="1" t="s">
        <v>1873</v>
      </c>
    </row>
    <row r="464" spans="1:24">
      <c r="A464" s="1" t="s">
        <v>749</v>
      </c>
      <c r="B464" s="1" t="s">
        <v>821</v>
      </c>
      <c r="C464" s="1"/>
      <c r="D464" s="1" t="s">
        <v>749</v>
      </c>
      <c r="E464" s="1" t="s">
        <v>4246</v>
      </c>
      <c r="F464" s="1" t="s">
        <v>4247</v>
      </c>
      <c r="H464" s="1" t="s">
        <v>749</v>
      </c>
      <c r="I464" s="1" t="s">
        <v>2965</v>
      </c>
      <c r="J464" s="1" t="s">
        <v>4248</v>
      </c>
      <c r="K464" s="1" t="s">
        <v>4249</v>
      </c>
      <c r="L464" s="1" t="s">
        <v>4250</v>
      </c>
      <c r="N464" s="1" t="s">
        <v>924</v>
      </c>
      <c r="O464" s="1" t="s">
        <v>238</v>
      </c>
      <c r="P464" s="1" t="s">
        <v>4251</v>
      </c>
      <c r="Q464" s="1" t="s">
        <v>4035</v>
      </c>
      <c r="R464" s="1"/>
      <c r="S464" s="1" t="s">
        <v>4251</v>
      </c>
      <c r="T464" s="1" t="s">
        <v>4252</v>
      </c>
      <c r="U464" s="1" t="s">
        <v>4033</v>
      </c>
      <c r="W464" s="1" t="s">
        <v>1884</v>
      </c>
      <c r="X464" s="1" t="s">
        <v>1878</v>
      </c>
    </row>
    <row r="465" spans="1:24">
      <c r="A465" s="1" t="s">
        <v>750</v>
      </c>
      <c r="B465" s="1" t="s">
        <v>643</v>
      </c>
      <c r="C465" s="1"/>
      <c r="D465" s="1" t="s">
        <v>750</v>
      </c>
      <c r="E465" s="1" t="s">
        <v>4253</v>
      </c>
      <c r="F465" s="1" t="s">
        <v>4254</v>
      </c>
      <c r="H465" s="1" t="s">
        <v>750</v>
      </c>
      <c r="I465" s="1" t="s">
        <v>2962</v>
      </c>
      <c r="J465" s="1" t="s">
        <v>4255</v>
      </c>
      <c r="K465" s="1" t="s">
        <v>4256</v>
      </c>
      <c r="L465" s="1" t="s">
        <v>4257</v>
      </c>
      <c r="N465" s="1" t="s">
        <v>924</v>
      </c>
      <c r="O465" s="1" t="s">
        <v>239</v>
      </c>
      <c r="P465" s="1" t="s">
        <v>4258</v>
      </c>
      <c r="Q465" s="1" t="s">
        <v>4259</v>
      </c>
      <c r="R465" s="1"/>
      <c r="S465" s="1" t="s">
        <v>4258</v>
      </c>
      <c r="T465" s="1" t="s">
        <v>4260</v>
      </c>
      <c r="U465" s="1" t="s">
        <v>4261</v>
      </c>
      <c r="W465" s="1" t="s">
        <v>2084</v>
      </c>
      <c r="X465" s="1" t="s">
        <v>1879</v>
      </c>
    </row>
    <row r="466" spans="1:24">
      <c r="A466" s="1" t="s">
        <v>751</v>
      </c>
      <c r="B466" s="1" t="s">
        <v>909</v>
      </c>
      <c r="C466" s="1" t="s">
        <v>209</v>
      </c>
      <c r="D466" s="1" t="s">
        <v>751</v>
      </c>
      <c r="E466" s="1" t="s">
        <v>4262</v>
      </c>
      <c r="F466" s="1" t="s">
        <v>4263</v>
      </c>
      <c r="H466" s="1" t="s">
        <v>751</v>
      </c>
      <c r="I466" s="1" t="s">
        <v>2959</v>
      </c>
      <c r="J466" s="1" t="s">
        <v>2367</v>
      </c>
      <c r="K466" s="1" t="s">
        <v>4264</v>
      </c>
      <c r="L466" s="1" t="s">
        <v>4265</v>
      </c>
      <c r="N466" s="1" t="s">
        <v>924</v>
      </c>
      <c r="O466" s="1" t="s">
        <v>240</v>
      </c>
      <c r="P466" s="1" t="s">
        <v>4266</v>
      </c>
      <c r="Q466" s="1" t="s">
        <v>4267</v>
      </c>
      <c r="R466" s="1"/>
      <c r="S466" s="1" t="s">
        <v>4266</v>
      </c>
      <c r="T466" s="1" t="s">
        <v>4268</v>
      </c>
      <c r="U466" s="1" t="s">
        <v>4269</v>
      </c>
      <c r="W466" s="1" t="s">
        <v>2217</v>
      </c>
      <c r="X466" s="1" t="s">
        <v>1880</v>
      </c>
    </row>
    <row r="467" spans="1:24">
      <c r="A467" s="1" t="s">
        <v>752</v>
      </c>
      <c r="B467" s="1" t="s">
        <v>655</v>
      </c>
      <c r="C467" s="1"/>
      <c r="D467" s="1" t="s">
        <v>752</v>
      </c>
      <c r="E467" s="1" t="s">
        <v>4270</v>
      </c>
      <c r="F467" s="1" t="s">
        <v>4271</v>
      </c>
      <c r="H467" s="1" t="s">
        <v>752</v>
      </c>
      <c r="I467" s="1" t="s">
        <v>2956</v>
      </c>
      <c r="J467" s="1" t="s">
        <v>4272</v>
      </c>
      <c r="K467" s="1" t="s">
        <v>4273</v>
      </c>
      <c r="L467" s="1" t="s">
        <v>4274</v>
      </c>
      <c r="N467" s="1" t="s">
        <v>924</v>
      </c>
      <c r="O467" s="1" t="s">
        <v>241</v>
      </c>
      <c r="P467" s="1" t="s">
        <v>4275</v>
      </c>
      <c r="Q467" s="1" t="s">
        <v>3922</v>
      </c>
      <c r="R467" s="1"/>
      <c r="S467" s="1" t="s">
        <v>4275</v>
      </c>
      <c r="T467" s="1" t="s">
        <v>4276</v>
      </c>
      <c r="U467" s="1" t="s">
        <v>3920</v>
      </c>
      <c r="W467" s="1" t="s">
        <v>2276</v>
      </c>
      <c r="X467" s="1" t="s">
        <v>1881</v>
      </c>
    </row>
    <row r="468" spans="1:24">
      <c r="A468" s="1" t="s">
        <v>753</v>
      </c>
      <c r="B468" s="1" t="s">
        <v>873</v>
      </c>
      <c r="C468" s="1"/>
      <c r="D468" s="1" t="s">
        <v>753</v>
      </c>
      <c r="E468" s="1" t="s">
        <v>4277</v>
      </c>
      <c r="F468" s="1" t="s">
        <v>4278</v>
      </c>
      <c r="H468" s="1" t="s">
        <v>753</v>
      </c>
      <c r="I468" s="1" t="s">
        <v>2953</v>
      </c>
      <c r="J468" s="1" t="s">
        <v>4279</v>
      </c>
      <c r="K468" s="1" t="s">
        <v>4280</v>
      </c>
      <c r="L468" s="1" t="s">
        <v>4281</v>
      </c>
      <c r="N468" s="1" t="s">
        <v>924</v>
      </c>
      <c r="O468" s="1" t="s">
        <v>242</v>
      </c>
      <c r="P468" s="1" t="s">
        <v>4282</v>
      </c>
      <c r="Q468" s="1" t="s">
        <v>4283</v>
      </c>
      <c r="R468" s="1"/>
      <c r="S468" s="1" t="s">
        <v>4282</v>
      </c>
      <c r="T468" s="1" t="s">
        <v>4284</v>
      </c>
      <c r="U468" s="1" t="s">
        <v>4285</v>
      </c>
      <c r="W468" s="1" t="s">
        <v>1892</v>
      </c>
      <c r="X468" s="1" t="s">
        <v>1887</v>
      </c>
    </row>
    <row r="469" spans="1:24">
      <c r="A469" s="1" t="s">
        <v>754</v>
      </c>
      <c r="B469" s="1" t="s">
        <v>911</v>
      </c>
      <c r="C469" s="1"/>
      <c r="D469" s="1" t="s">
        <v>754</v>
      </c>
      <c r="E469" s="1" t="s">
        <v>4286</v>
      </c>
      <c r="F469" s="1" t="s">
        <v>4287</v>
      </c>
      <c r="H469" s="1" t="s">
        <v>754</v>
      </c>
      <c r="I469" s="1" t="s">
        <v>2950</v>
      </c>
      <c r="J469" s="1" t="s">
        <v>4288</v>
      </c>
      <c r="K469" s="1" t="s">
        <v>4289</v>
      </c>
      <c r="L469" s="1" t="s">
        <v>4290</v>
      </c>
      <c r="N469" s="1" t="s">
        <v>924</v>
      </c>
      <c r="O469" s="1" t="s">
        <v>243</v>
      </c>
      <c r="P469" s="1" t="s">
        <v>4291</v>
      </c>
      <c r="Q469" s="1" t="s">
        <v>4144</v>
      </c>
      <c r="R469" s="1"/>
      <c r="S469" s="1" t="s">
        <v>4291</v>
      </c>
      <c r="T469" s="1" t="s">
        <v>4292</v>
      </c>
      <c r="U469" s="1" t="s">
        <v>4142</v>
      </c>
      <c r="W469" s="1" t="s">
        <v>2088</v>
      </c>
      <c r="X469" s="1" t="s">
        <v>1888</v>
      </c>
    </row>
    <row r="470" spans="1:24">
      <c r="A470" s="1" t="s">
        <v>755</v>
      </c>
      <c r="B470" s="1" t="s">
        <v>673</v>
      </c>
      <c r="C470" s="1"/>
      <c r="D470" s="1" t="s">
        <v>755</v>
      </c>
      <c r="E470" s="1" t="s">
        <v>4293</v>
      </c>
      <c r="F470" s="1" t="s">
        <v>4294</v>
      </c>
      <c r="H470" s="1" t="s">
        <v>755</v>
      </c>
      <c r="I470" s="1" t="s">
        <v>2947</v>
      </c>
      <c r="J470" s="1" t="s">
        <v>4295</v>
      </c>
      <c r="K470" s="1" t="s">
        <v>4296</v>
      </c>
      <c r="L470" s="1" t="s">
        <v>4297</v>
      </c>
      <c r="N470" s="1" t="s">
        <v>924</v>
      </c>
      <c r="O470" s="1" t="s">
        <v>244</v>
      </c>
      <c r="P470" s="1" t="s">
        <v>4298</v>
      </c>
      <c r="Q470" s="1" t="s">
        <v>3906</v>
      </c>
      <c r="R470" s="1"/>
      <c r="S470" s="1" t="s">
        <v>4298</v>
      </c>
      <c r="T470" s="1" t="s">
        <v>4299</v>
      </c>
      <c r="U470" s="1" t="s">
        <v>3904</v>
      </c>
      <c r="W470" s="1" t="s">
        <v>2221</v>
      </c>
      <c r="X470" s="1" t="s">
        <v>1889</v>
      </c>
    </row>
    <row r="471" spans="1:24">
      <c r="A471" s="1" t="s">
        <v>756</v>
      </c>
      <c r="B471" s="1" t="s">
        <v>707</v>
      </c>
      <c r="C471" s="1"/>
      <c r="D471" s="1" t="s">
        <v>756</v>
      </c>
      <c r="E471" s="1" t="s">
        <v>4300</v>
      </c>
      <c r="F471" s="1" t="s">
        <v>4301</v>
      </c>
      <c r="H471" s="1" t="s">
        <v>756</v>
      </c>
      <c r="I471" s="1" t="s">
        <v>2944</v>
      </c>
      <c r="J471" s="1" t="s">
        <v>4302</v>
      </c>
      <c r="K471" s="1" t="s">
        <v>4303</v>
      </c>
      <c r="L471" s="1" t="s">
        <v>4304</v>
      </c>
      <c r="N471" s="1" t="s">
        <v>924</v>
      </c>
      <c r="O471" s="1" t="s">
        <v>245</v>
      </c>
      <c r="P471" s="1" t="s">
        <v>4305</v>
      </c>
      <c r="Q471" s="1" t="s">
        <v>4306</v>
      </c>
      <c r="R471" s="1"/>
      <c r="S471" s="1" t="s">
        <v>4305</v>
      </c>
      <c r="T471" s="1" t="s">
        <v>4307</v>
      </c>
      <c r="U471" s="1" t="s">
        <v>4308</v>
      </c>
      <c r="W471" s="1" t="s">
        <v>2278</v>
      </c>
      <c r="X471" s="1" t="s">
        <v>1890</v>
      </c>
    </row>
    <row r="472" spans="1:24">
      <c r="A472" s="1" t="s">
        <v>757</v>
      </c>
      <c r="B472" s="1" t="s">
        <v>653</v>
      </c>
      <c r="C472" s="1"/>
      <c r="D472" s="1" t="s">
        <v>757</v>
      </c>
      <c r="E472" s="1" t="s">
        <v>4309</v>
      </c>
      <c r="F472" s="1" t="s">
        <v>4310</v>
      </c>
      <c r="H472" s="1" t="s">
        <v>757</v>
      </c>
      <c r="I472" s="1" t="s">
        <v>2941</v>
      </c>
      <c r="J472" s="1" t="s">
        <v>4311</v>
      </c>
      <c r="K472" s="1" t="s">
        <v>4312</v>
      </c>
      <c r="L472" s="1" t="s">
        <v>4313</v>
      </c>
      <c r="N472" s="1" t="s">
        <v>924</v>
      </c>
      <c r="O472" s="1" t="s">
        <v>246</v>
      </c>
      <c r="P472" s="1" t="s">
        <v>4314</v>
      </c>
      <c r="Q472" s="1" t="s">
        <v>4187</v>
      </c>
      <c r="R472" s="1"/>
      <c r="S472" s="1" t="s">
        <v>4314</v>
      </c>
      <c r="T472" s="1" t="s">
        <v>4315</v>
      </c>
      <c r="U472" s="1" t="s">
        <v>4185</v>
      </c>
    </row>
    <row r="473" spans="1:24">
      <c r="A473" s="1" t="s">
        <v>758</v>
      </c>
      <c r="B473" s="1" t="s">
        <v>651</v>
      </c>
      <c r="C473" s="1"/>
      <c r="D473" s="1" t="s">
        <v>758</v>
      </c>
      <c r="E473" s="1" t="s">
        <v>4316</v>
      </c>
      <c r="F473" s="1" t="s">
        <v>4317</v>
      </c>
      <c r="H473" s="1" t="s">
        <v>758</v>
      </c>
      <c r="I473" s="1" t="s">
        <v>2938</v>
      </c>
      <c r="J473" s="1" t="s">
        <v>4318</v>
      </c>
      <c r="K473" s="1" t="s">
        <v>4319</v>
      </c>
      <c r="L473" s="1" t="s">
        <v>4320</v>
      </c>
      <c r="N473" s="1" t="s">
        <v>924</v>
      </c>
      <c r="O473" s="1" t="s">
        <v>247</v>
      </c>
      <c r="P473" s="1" t="s">
        <v>4321</v>
      </c>
      <c r="Q473" s="1" t="s">
        <v>4322</v>
      </c>
      <c r="R473" s="1"/>
      <c r="S473" s="1" t="s">
        <v>4321</v>
      </c>
      <c r="T473" s="1" t="s">
        <v>4323</v>
      </c>
      <c r="U473" s="1" t="s">
        <v>4324</v>
      </c>
    </row>
    <row r="474" spans="1:24">
      <c r="A474" s="1" t="s">
        <v>759</v>
      </c>
      <c r="B474" s="1" t="s">
        <v>667</v>
      </c>
      <c r="C474" s="1"/>
      <c r="D474" s="1" t="s">
        <v>759</v>
      </c>
      <c r="E474" s="1" t="s">
        <v>4325</v>
      </c>
      <c r="F474" s="1" t="s">
        <v>4326</v>
      </c>
      <c r="H474" s="1" t="s">
        <v>759</v>
      </c>
      <c r="I474" s="1" t="s">
        <v>2935</v>
      </c>
      <c r="J474" s="1" t="s">
        <v>4327</v>
      </c>
      <c r="K474" s="1" t="s">
        <v>4328</v>
      </c>
      <c r="L474" s="1" t="s">
        <v>4329</v>
      </c>
      <c r="N474" s="1" t="s">
        <v>924</v>
      </c>
      <c r="O474" s="1" t="s">
        <v>248</v>
      </c>
      <c r="P474" s="1" t="s">
        <v>4330</v>
      </c>
      <c r="Q474" s="1" t="s">
        <v>4331</v>
      </c>
      <c r="R474" s="1"/>
      <c r="S474" s="1" t="s">
        <v>4330</v>
      </c>
      <c r="T474" s="1" t="s">
        <v>4332</v>
      </c>
      <c r="U474" s="1" t="s">
        <v>4333</v>
      </c>
    </row>
    <row r="475" spans="1:24">
      <c r="A475" s="1" t="s">
        <v>760</v>
      </c>
      <c r="B475" s="1" t="s">
        <v>711</v>
      </c>
      <c r="C475" s="1"/>
      <c r="D475" s="1" t="s">
        <v>760</v>
      </c>
      <c r="E475" s="1" t="s">
        <v>4334</v>
      </c>
      <c r="F475" s="1" t="s">
        <v>4335</v>
      </c>
      <c r="H475" s="1" t="s">
        <v>760</v>
      </c>
      <c r="I475" s="1" t="s">
        <v>2932</v>
      </c>
      <c r="J475" s="1" t="s">
        <v>4336</v>
      </c>
      <c r="K475" s="1" t="s">
        <v>4337</v>
      </c>
      <c r="L475" s="1" t="s">
        <v>4138</v>
      </c>
      <c r="N475" s="1" t="s">
        <v>924</v>
      </c>
      <c r="O475" s="1" t="s">
        <v>249</v>
      </c>
      <c r="P475" s="1" t="s">
        <v>4338</v>
      </c>
      <c r="Q475" s="1" t="s">
        <v>4002</v>
      </c>
      <c r="R475" s="1"/>
      <c r="S475" s="1" t="s">
        <v>4338</v>
      </c>
      <c r="T475" s="1" t="s">
        <v>4339</v>
      </c>
      <c r="U475" s="1" t="s">
        <v>4340</v>
      </c>
    </row>
    <row r="476" spans="1:24">
      <c r="A476" s="1" t="s">
        <v>761</v>
      </c>
      <c r="B476" s="1" t="s">
        <v>679</v>
      </c>
      <c r="C476" s="1" t="s">
        <v>203</v>
      </c>
      <c r="D476" s="1" t="s">
        <v>761</v>
      </c>
      <c r="E476" s="1" t="s">
        <v>4341</v>
      </c>
      <c r="F476" s="1" t="s">
        <v>4342</v>
      </c>
      <c r="H476" s="1" t="s">
        <v>761</v>
      </c>
      <c r="I476" s="1" t="s">
        <v>2924</v>
      </c>
      <c r="J476" s="1" t="s">
        <v>4343</v>
      </c>
      <c r="K476" s="1" t="s">
        <v>4344</v>
      </c>
      <c r="L476" s="1" t="s">
        <v>4147</v>
      </c>
      <c r="N476" s="1" t="s">
        <v>924</v>
      </c>
      <c r="O476" s="1" t="s">
        <v>250</v>
      </c>
      <c r="P476" s="1" t="s">
        <v>4345</v>
      </c>
      <c r="Q476" s="1" t="s">
        <v>4346</v>
      </c>
      <c r="R476" s="1"/>
      <c r="S476" s="1" t="s">
        <v>4345</v>
      </c>
      <c r="T476" s="1" t="s">
        <v>4347</v>
      </c>
      <c r="U476" s="1" t="s">
        <v>4348</v>
      </c>
    </row>
    <row r="477" spans="1:24">
      <c r="A477" s="1" t="s">
        <v>762</v>
      </c>
      <c r="B477" s="1" t="s">
        <v>839</v>
      </c>
      <c r="C477" s="1"/>
      <c r="D477" s="1" t="s">
        <v>762</v>
      </c>
      <c r="E477" s="1" t="s">
        <v>4349</v>
      </c>
      <c r="F477" s="1" t="s">
        <v>4350</v>
      </c>
      <c r="H477" s="1" t="s">
        <v>762</v>
      </c>
      <c r="I477" s="1" t="s">
        <v>2916</v>
      </c>
      <c r="J477" s="1" t="s">
        <v>4351</v>
      </c>
      <c r="K477" s="1" t="s">
        <v>4352</v>
      </c>
      <c r="L477" s="1" t="s">
        <v>4156</v>
      </c>
      <c r="N477" s="1" t="s">
        <v>924</v>
      </c>
      <c r="O477" s="1" t="s">
        <v>251</v>
      </c>
      <c r="P477" s="1" t="s">
        <v>4353</v>
      </c>
      <c r="Q477" s="1" t="s">
        <v>4354</v>
      </c>
      <c r="R477" s="1"/>
      <c r="S477" s="1" t="s">
        <v>4353</v>
      </c>
      <c r="T477" s="1" t="s">
        <v>4355</v>
      </c>
      <c r="U477" s="1" t="s">
        <v>4356</v>
      </c>
    </row>
    <row r="478" spans="1:24">
      <c r="A478" s="1" t="s">
        <v>763</v>
      </c>
      <c r="B478" s="1" t="s">
        <v>855</v>
      </c>
      <c r="C478" s="1" t="s">
        <v>201</v>
      </c>
      <c r="D478" s="1" t="s">
        <v>763</v>
      </c>
      <c r="E478" s="1" t="s">
        <v>4357</v>
      </c>
      <c r="F478" s="1" t="s">
        <v>4358</v>
      </c>
      <c r="H478" s="1" t="s">
        <v>763</v>
      </c>
      <c r="I478" s="1" t="s">
        <v>2909</v>
      </c>
      <c r="J478" s="1" t="s">
        <v>4359</v>
      </c>
      <c r="K478" s="1" t="s">
        <v>4360</v>
      </c>
      <c r="L478" s="1" t="s">
        <v>4163</v>
      </c>
      <c r="N478" s="1" t="s">
        <v>924</v>
      </c>
      <c r="O478" s="1" t="s">
        <v>252</v>
      </c>
      <c r="P478" s="1" t="s">
        <v>4361</v>
      </c>
      <c r="Q478" s="1" t="s">
        <v>4362</v>
      </c>
      <c r="R478" s="1"/>
      <c r="S478" s="1" t="s">
        <v>4361</v>
      </c>
      <c r="T478" s="1" t="s">
        <v>4363</v>
      </c>
      <c r="U478" s="1" t="s">
        <v>4364</v>
      </c>
    </row>
    <row r="479" spans="1:24">
      <c r="A479" s="1" t="s">
        <v>764</v>
      </c>
      <c r="B479" s="1" t="s">
        <v>863</v>
      </c>
      <c r="C479" s="1"/>
      <c r="D479" s="1" t="s">
        <v>764</v>
      </c>
      <c r="E479" s="1" t="s">
        <v>4365</v>
      </c>
      <c r="F479" s="1" t="s">
        <v>4366</v>
      </c>
      <c r="H479" s="1" t="s">
        <v>764</v>
      </c>
      <c r="I479" s="1" t="s">
        <v>2901</v>
      </c>
      <c r="J479" s="1" t="s">
        <v>4367</v>
      </c>
      <c r="K479" s="1" t="s">
        <v>4368</v>
      </c>
      <c r="L479" s="1" t="s">
        <v>4172</v>
      </c>
      <c r="N479" s="1" t="s">
        <v>924</v>
      </c>
      <c r="O479" s="1" t="s">
        <v>253</v>
      </c>
      <c r="P479" s="1" t="s">
        <v>4369</v>
      </c>
      <c r="Q479" s="1" t="s">
        <v>4370</v>
      </c>
      <c r="R479" s="1"/>
      <c r="S479" s="1" t="s">
        <v>4369</v>
      </c>
      <c r="T479" s="1" t="s">
        <v>4371</v>
      </c>
      <c r="U479" s="1" t="s">
        <v>4372</v>
      </c>
    </row>
    <row r="480" spans="1:24">
      <c r="A480" s="1" t="s">
        <v>765</v>
      </c>
      <c r="B480" s="1" t="s">
        <v>693</v>
      </c>
      <c r="C480" s="1"/>
      <c r="D480" s="1" t="s">
        <v>765</v>
      </c>
      <c r="E480" s="1" t="s">
        <v>4373</v>
      </c>
      <c r="F480" s="1" t="s">
        <v>4374</v>
      </c>
      <c r="H480" s="1" t="s">
        <v>765</v>
      </c>
      <c r="I480" s="1" t="s">
        <v>2894</v>
      </c>
      <c r="J480" s="1" t="s">
        <v>4375</v>
      </c>
      <c r="K480" s="1" t="s">
        <v>4376</v>
      </c>
      <c r="L480" s="1" t="s">
        <v>4181</v>
      </c>
      <c r="N480" s="1" t="s">
        <v>924</v>
      </c>
      <c r="O480" s="1" t="s">
        <v>254</v>
      </c>
      <c r="P480" s="1" t="s">
        <v>4377</v>
      </c>
      <c r="Q480" s="1" t="s">
        <v>4378</v>
      </c>
      <c r="R480" s="1"/>
      <c r="S480" s="1" t="s">
        <v>4377</v>
      </c>
      <c r="T480" s="1" t="s">
        <v>4379</v>
      </c>
      <c r="U480" s="1" t="s">
        <v>4380</v>
      </c>
    </row>
    <row r="481" spans="1:21">
      <c r="A481" s="1" t="s">
        <v>766</v>
      </c>
      <c r="B481" s="1" t="s">
        <v>663</v>
      </c>
      <c r="C481" s="1"/>
      <c r="D481" s="1" t="s">
        <v>766</v>
      </c>
      <c r="E481" s="1" t="s">
        <v>4381</v>
      </c>
      <c r="F481" s="1" t="s">
        <v>4382</v>
      </c>
      <c r="H481" s="1" t="s">
        <v>766</v>
      </c>
      <c r="I481" s="1" t="s">
        <v>2887</v>
      </c>
      <c r="J481" s="1" t="s">
        <v>4383</v>
      </c>
      <c r="K481" s="1" t="s">
        <v>4384</v>
      </c>
      <c r="L481" s="1" t="s">
        <v>4190</v>
      </c>
      <c r="N481" s="1" t="s">
        <v>924</v>
      </c>
      <c r="O481" s="1" t="s">
        <v>255</v>
      </c>
      <c r="P481" s="1" t="s">
        <v>4385</v>
      </c>
      <c r="Q481" s="1" t="s">
        <v>4386</v>
      </c>
      <c r="R481" s="1"/>
      <c r="S481" s="1" t="s">
        <v>4385</v>
      </c>
      <c r="T481" s="1" t="s">
        <v>4387</v>
      </c>
      <c r="U481" s="1" t="s">
        <v>4388</v>
      </c>
    </row>
    <row r="482" spans="1:21">
      <c r="A482" s="1" t="s">
        <v>767</v>
      </c>
      <c r="B482" s="1" t="s">
        <v>659</v>
      </c>
      <c r="C482" s="1" t="s">
        <v>201</v>
      </c>
      <c r="D482" s="1" t="s">
        <v>767</v>
      </c>
      <c r="E482" s="1" t="s">
        <v>4389</v>
      </c>
      <c r="F482" s="1" t="s">
        <v>4390</v>
      </c>
      <c r="H482" s="1" t="s">
        <v>767</v>
      </c>
      <c r="I482" s="1" t="s">
        <v>2879</v>
      </c>
      <c r="J482" s="1" t="s">
        <v>4391</v>
      </c>
      <c r="K482" s="1" t="s">
        <v>4392</v>
      </c>
      <c r="L482" s="1" t="s">
        <v>4196</v>
      </c>
      <c r="N482" s="1" t="s">
        <v>924</v>
      </c>
      <c r="O482" s="1" t="s">
        <v>256</v>
      </c>
      <c r="P482" s="1" t="s">
        <v>4393</v>
      </c>
      <c r="Q482" s="1" t="s">
        <v>4394</v>
      </c>
      <c r="R482" s="1"/>
      <c r="S482" s="1" t="s">
        <v>4393</v>
      </c>
      <c r="T482" s="1" t="s">
        <v>4395</v>
      </c>
      <c r="U482" s="1" t="s">
        <v>4396</v>
      </c>
    </row>
    <row r="483" spans="1:21">
      <c r="A483" s="1" t="s">
        <v>768</v>
      </c>
      <c r="B483" s="1" t="s">
        <v>645</v>
      </c>
      <c r="C483" s="1"/>
      <c r="D483" s="1" t="s">
        <v>768</v>
      </c>
      <c r="E483" s="1" t="s">
        <v>4397</v>
      </c>
      <c r="F483" s="1" t="s">
        <v>4398</v>
      </c>
      <c r="H483" s="1" t="s">
        <v>768</v>
      </c>
      <c r="I483" s="1" t="s">
        <v>2871</v>
      </c>
      <c r="J483" s="1" t="s">
        <v>4399</v>
      </c>
      <c r="K483" s="1" t="s">
        <v>4400</v>
      </c>
      <c r="L483" s="1" t="s">
        <v>4205</v>
      </c>
      <c r="N483" s="1" t="s">
        <v>937</v>
      </c>
      <c r="O483" s="1" t="s">
        <v>736</v>
      </c>
      <c r="P483" s="1" t="s">
        <v>4401</v>
      </c>
      <c r="Q483" s="1" t="s">
        <v>4402</v>
      </c>
      <c r="R483" s="1"/>
      <c r="S483" s="1" t="s">
        <v>4401</v>
      </c>
      <c r="T483" s="51" t="s">
        <v>4403</v>
      </c>
      <c r="U483" s="1" t="s">
        <v>4404</v>
      </c>
    </row>
    <row r="484" spans="1:21">
      <c r="A484" s="1" t="s">
        <v>769</v>
      </c>
      <c r="B484" s="1" t="s">
        <v>733</v>
      </c>
      <c r="C484" s="1"/>
      <c r="D484" s="1" t="s">
        <v>769</v>
      </c>
      <c r="E484" s="1" t="s">
        <v>4405</v>
      </c>
      <c r="F484" s="1" t="s">
        <v>4406</v>
      </c>
      <c r="H484" s="1" t="s">
        <v>769</v>
      </c>
      <c r="I484" s="1" t="s">
        <v>2863</v>
      </c>
      <c r="J484" s="1" t="s">
        <v>4407</v>
      </c>
      <c r="K484" s="1" t="s">
        <v>4408</v>
      </c>
      <c r="L484" s="1" t="s">
        <v>4213</v>
      </c>
      <c r="N484" s="1" t="s">
        <v>937</v>
      </c>
      <c r="O484" s="1" t="s">
        <v>737</v>
      </c>
      <c r="P484" s="1" t="s">
        <v>4409</v>
      </c>
      <c r="Q484" s="1" t="s">
        <v>4410</v>
      </c>
      <c r="R484" s="1"/>
      <c r="S484" s="1" t="s">
        <v>4409</v>
      </c>
      <c r="T484" s="51" t="s">
        <v>4411</v>
      </c>
      <c r="U484" s="1" t="s">
        <v>4412</v>
      </c>
    </row>
    <row r="485" spans="1:21">
      <c r="A485" s="1" t="s">
        <v>770</v>
      </c>
      <c r="B485" s="1" t="s">
        <v>901</v>
      </c>
      <c r="C485" s="1"/>
      <c r="D485" s="1" t="s">
        <v>770</v>
      </c>
      <c r="E485" s="1" t="s">
        <v>4413</v>
      </c>
      <c r="F485" s="1" t="s">
        <v>4414</v>
      </c>
      <c r="H485" s="1" t="s">
        <v>770</v>
      </c>
      <c r="I485" s="1" t="s">
        <v>2856</v>
      </c>
      <c r="J485" s="1" t="s">
        <v>4415</v>
      </c>
      <c r="K485" s="1" t="s">
        <v>4416</v>
      </c>
      <c r="L485" s="1" t="s">
        <v>4221</v>
      </c>
      <c r="N485" s="1" t="s">
        <v>937</v>
      </c>
      <c r="O485" s="1" t="s">
        <v>738</v>
      </c>
      <c r="P485" s="1" t="s">
        <v>4417</v>
      </c>
      <c r="Q485" s="1" t="s">
        <v>4418</v>
      </c>
      <c r="R485" s="1"/>
      <c r="S485" s="1" t="s">
        <v>4417</v>
      </c>
      <c r="T485" s="51" t="s">
        <v>4419</v>
      </c>
      <c r="U485" s="1" t="s">
        <v>4420</v>
      </c>
    </row>
    <row r="486" spans="1:21">
      <c r="A486" s="1" t="s">
        <v>771</v>
      </c>
      <c r="B486" s="1" t="s">
        <v>859</v>
      </c>
      <c r="C486" s="1"/>
      <c r="D486" s="1" t="s">
        <v>771</v>
      </c>
      <c r="E486" s="1" t="s">
        <v>4421</v>
      </c>
      <c r="F486" s="1" t="s">
        <v>2617</v>
      </c>
      <c r="H486" s="1" t="s">
        <v>771</v>
      </c>
      <c r="I486" s="1" t="s">
        <v>2848</v>
      </c>
      <c r="J486" s="1" t="s">
        <v>4422</v>
      </c>
      <c r="K486" s="1" t="s">
        <v>4423</v>
      </c>
      <c r="L486" s="1" t="s">
        <v>4230</v>
      </c>
      <c r="N486" s="1" t="s">
        <v>937</v>
      </c>
      <c r="O486" s="1" t="s">
        <v>739</v>
      </c>
      <c r="P486" s="1" t="s">
        <v>4424</v>
      </c>
      <c r="Q486" s="1" t="s">
        <v>4425</v>
      </c>
      <c r="R486" s="1"/>
      <c r="S486" s="1" t="s">
        <v>4424</v>
      </c>
      <c r="T486" s="51" t="s">
        <v>4426</v>
      </c>
      <c r="U486" s="1" t="s">
        <v>4427</v>
      </c>
    </row>
    <row r="487" spans="1:21">
      <c r="A487" s="1" t="s">
        <v>772</v>
      </c>
      <c r="B487" s="1" t="s">
        <v>719</v>
      </c>
      <c r="C487" s="1"/>
      <c r="D487" s="1" t="s">
        <v>772</v>
      </c>
      <c r="E487" s="1" t="s">
        <v>4428</v>
      </c>
      <c r="F487" s="1" t="s">
        <v>4429</v>
      </c>
      <c r="H487" s="1" t="s">
        <v>772</v>
      </c>
      <c r="I487" s="1" t="s">
        <v>2841</v>
      </c>
      <c r="J487" s="1" t="s">
        <v>4430</v>
      </c>
      <c r="K487" s="1" t="s">
        <v>4431</v>
      </c>
      <c r="L487" s="1" t="s">
        <v>4239</v>
      </c>
      <c r="N487" s="1" t="s">
        <v>937</v>
      </c>
      <c r="O487" s="1" t="s">
        <v>740</v>
      </c>
      <c r="P487" s="1" t="s">
        <v>4432</v>
      </c>
      <c r="Q487" s="1" t="s">
        <v>4433</v>
      </c>
      <c r="R487" s="1"/>
      <c r="S487" s="1" t="s">
        <v>4432</v>
      </c>
      <c r="T487" s="51" t="s">
        <v>4434</v>
      </c>
      <c r="U487" s="1" t="s">
        <v>4435</v>
      </c>
    </row>
    <row r="488" spans="1:21">
      <c r="A488" s="1" t="s">
        <v>773</v>
      </c>
      <c r="B488" s="1" t="s">
        <v>681</v>
      </c>
      <c r="C488" s="1" t="s">
        <v>201</v>
      </c>
      <c r="D488" s="1" t="s">
        <v>773</v>
      </c>
      <c r="E488" s="1" t="s">
        <v>4436</v>
      </c>
      <c r="F488" s="1" t="s">
        <v>4437</v>
      </c>
      <c r="H488" s="1" t="s">
        <v>773</v>
      </c>
      <c r="I488" s="1" t="s">
        <v>2833</v>
      </c>
      <c r="J488" s="1" t="s">
        <v>4438</v>
      </c>
      <c r="K488" s="1" t="s">
        <v>4439</v>
      </c>
      <c r="L488" s="1" t="s">
        <v>4248</v>
      </c>
      <c r="N488" s="1" t="s">
        <v>937</v>
      </c>
      <c r="O488" s="1" t="s">
        <v>741</v>
      </c>
      <c r="P488" s="1" t="s">
        <v>4440</v>
      </c>
      <c r="Q488" s="1" t="s">
        <v>4441</v>
      </c>
      <c r="R488" s="1"/>
      <c r="S488" s="1" t="s">
        <v>4440</v>
      </c>
      <c r="T488" s="51" t="s">
        <v>4442</v>
      </c>
      <c r="U488" s="1" t="s">
        <v>4443</v>
      </c>
    </row>
    <row r="489" spans="1:21">
      <c r="A489" s="1" t="s">
        <v>774</v>
      </c>
      <c r="B489" s="1" t="s">
        <v>735</v>
      </c>
      <c r="C489" s="1" t="s">
        <v>204</v>
      </c>
      <c r="D489" s="1" t="s">
        <v>774</v>
      </c>
      <c r="E489" s="1" t="s">
        <v>4444</v>
      </c>
      <c r="F489" s="1" t="s">
        <v>4445</v>
      </c>
      <c r="H489" s="1" t="s">
        <v>774</v>
      </c>
      <c r="I489" s="1" t="s">
        <v>2825</v>
      </c>
      <c r="J489" s="1" t="s">
        <v>4446</v>
      </c>
      <c r="K489" s="1" t="s">
        <v>4447</v>
      </c>
      <c r="L489" s="1" t="s">
        <v>4255</v>
      </c>
      <c r="N489" s="1" t="s">
        <v>937</v>
      </c>
      <c r="O489" s="1" t="s">
        <v>742</v>
      </c>
      <c r="P489" s="1" t="s">
        <v>4448</v>
      </c>
      <c r="Q489" s="1" t="s">
        <v>4449</v>
      </c>
      <c r="R489" s="1"/>
      <c r="S489" s="1" t="s">
        <v>4448</v>
      </c>
      <c r="T489" s="51" t="s">
        <v>4450</v>
      </c>
      <c r="U489" s="1" t="s">
        <v>4451</v>
      </c>
    </row>
    <row r="490" spans="1:21">
      <c r="A490" s="1" t="s">
        <v>775</v>
      </c>
      <c r="B490" s="1" t="s">
        <v>661</v>
      </c>
      <c r="C490" s="1"/>
      <c r="D490" s="1" t="s">
        <v>775</v>
      </c>
      <c r="E490" s="1" t="s">
        <v>4452</v>
      </c>
      <c r="F490" s="1" t="s">
        <v>4453</v>
      </c>
      <c r="H490" s="1" t="s">
        <v>775</v>
      </c>
      <c r="I490" s="1" t="s">
        <v>2818</v>
      </c>
      <c r="J490" s="1" t="s">
        <v>4454</v>
      </c>
      <c r="K490" s="1" t="s">
        <v>4455</v>
      </c>
      <c r="L490" s="1" t="s">
        <v>2367</v>
      </c>
      <c r="N490" s="1" t="s">
        <v>937</v>
      </c>
      <c r="O490" s="1" t="s">
        <v>743</v>
      </c>
      <c r="P490" s="1" t="s">
        <v>4456</v>
      </c>
      <c r="Q490" s="1" t="s">
        <v>4457</v>
      </c>
      <c r="R490" s="1"/>
      <c r="S490" s="1" t="s">
        <v>4456</v>
      </c>
      <c r="T490" s="51" t="s">
        <v>4458</v>
      </c>
      <c r="U490" s="1" t="s">
        <v>4459</v>
      </c>
    </row>
    <row r="491" spans="1:21">
      <c r="A491" s="1" t="s">
        <v>776</v>
      </c>
      <c r="B491" s="1" t="s">
        <v>695</v>
      </c>
      <c r="C491" s="1"/>
      <c r="D491" s="1" t="s">
        <v>776</v>
      </c>
      <c r="E491" s="1" t="s">
        <v>4460</v>
      </c>
      <c r="F491" s="1" t="s">
        <v>4461</v>
      </c>
      <c r="H491" s="1" t="s">
        <v>776</v>
      </c>
      <c r="I491" s="1" t="s">
        <v>2810</v>
      </c>
      <c r="J491" s="1" t="s">
        <v>4462</v>
      </c>
      <c r="K491" s="1" t="s">
        <v>4463</v>
      </c>
      <c r="L491" s="1" t="s">
        <v>4272</v>
      </c>
      <c r="N491" s="1" t="s">
        <v>937</v>
      </c>
      <c r="O491" s="1" t="s">
        <v>744</v>
      </c>
      <c r="P491" s="1" t="s">
        <v>4464</v>
      </c>
      <c r="Q491" s="1" t="s">
        <v>4465</v>
      </c>
      <c r="R491" s="1"/>
      <c r="S491" s="1" t="s">
        <v>4464</v>
      </c>
      <c r="T491" s="51" t="s">
        <v>4466</v>
      </c>
      <c r="U491" s="1" t="s">
        <v>4467</v>
      </c>
    </row>
    <row r="492" spans="1:21">
      <c r="A492" s="1" t="s">
        <v>777</v>
      </c>
      <c r="B492" s="1" t="s">
        <v>683</v>
      </c>
      <c r="C492" s="1"/>
      <c r="D492" s="1" t="s">
        <v>777</v>
      </c>
      <c r="E492" s="1" t="s">
        <v>4468</v>
      </c>
      <c r="F492" s="1" t="s">
        <v>4469</v>
      </c>
      <c r="H492" s="1" t="s">
        <v>777</v>
      </c>
      <c r="I492" s="1" t="s">
        <v>2802</v>
      </c>
      <c r="J492" s="1" t="s">
        <v>4470</v>
      </c>
      <c r="K492" s="1" t="s">
        <v>4471</v>
      </c>
      <c r="L492" s="1" t="s">
        <v>4279</v>
      </c>
      <c r="N492" s="1" t="s">
        <v>937</v>
      </c>
      <c r="O492" s="1" t="s">
        <v>745</v>
      </c>
      <c r="P492" s="1" t="s">
        <v>4472</v>
      </c>
      <c r="Q492" s="1" t="s">
        <v>4473</v>
      </c>
      <c r="R492" s="1"/>
      <c r="S492" s="1" t="s">
        <v>4472</v>
      </c>
      <c r="T492" s="51" t="s">
        <v>4474</v>
      </c>
      <c r="U492" s="1" t="s">
        <v>3966</v>
      </c>
    </row>
    <row r="493" spans="1:21">
      <c r="A493" s="1" t="s">
        <v>778</v>
      </c>
      <c r="B493" s="1" t="s">
        <v>729</v>
      </c>
      <c r="C493" s="1"/>
      <c r="D493" s="1" t="s">
        <v>778</v>
      </c>
      <c r="E493" s="1" t="s">
        <v>4475</v>
      </c>
      <c r="F493" s="1" t="s">
        <v>4476</v>
      </c>
      <c r="H493" s="1" t="s">
        <v>778</v>
      </c>
      <c r="I493" s="1" t="s">
        <v>2794</v>
      </c>
      <c r="J493" s="1" t="s">
        <v>4477</v>
      </c>
      <c r="K493" s="1" t="s">
        <v>4478</v>
      </c>
      <c r="L493" s="1" t="s">
        <v>4288</v>
      </c>
      <c r="N493" s="1" t="s">
        <v>937</v>
      </c>
      <c r="O493" s="1" t="s">
        <v>746</v>
      </c>
      <c r="P493" s="1" t="s">
        <v>4479</v>
      </c>
      <c r="Q493" s="1" t="s">
        <v>4480</v>
      </c>
      <c r="R493" s="1"/>
      <c r="S493" s="1" t="s">
        <v>4479</v>
      </c>
      <c r="T493" s="51" t="s">
        <v>4481</v>
      </c>
      <c r="U493" s="1" t="s">
        <v>4482</v>
      </c>
    </row>
    <row r="494" spans="1:21">
      <c r="A494" s="1" t="s">
        <v>779</v>
      </c>
      <c r="B494" s="1" t="s">
        <v>699</v>
      </c>
      <c r="C494" s="1"/>
      <c r="D494" s="1" t="s">
        <v>779</v>
      </c>
      <c r="E494" s="1" t="s">
        <v>4483</v>
      </c>
      <c r="F494" s="1" t="s">
        <v>4484</v>
      </c>
      <c r="H494" s="1" t="s">
        <v>779</v>
      </c>
      <c r="I494" s="1" t="s">
        <v>2787</v>
      </c>
      <c r="J494" s="1" t="s">
        <v>4485</v>
      </c>
      <c r="K494" s="1" t="s">
        <v>4486</v>
      </c>
      <c r="L494" s="1" t="s">
        <v>4295</v>
      </c>
      <c r="N494" s="1" t="s">
        <v>937</v>
      </c>
      <c r="O494" s="1" t="s">
        <v>747</v>
      </c>
      <c r="P494" s="1" t="s">
        <v>4487</v>
      </c>
      <c r="Q494" s="1" t="s">
        <v>4308</v>
      </c>
      <c r="R494" s="1"/>
      <c r="S494" s="1" t="s">
        <v>4487</v>
      </c>
      <c r="T494" s="51" t="s">
        <v>4488</v>
      </c>
      <c r="U494" s="1" t="s">
        <v>3990</v>
      </c>
    </row>
    <row r="495" spans="1:21">
      <c r="A495" s="1" t="s">
        <v>780</v>
      </c>
      <c r="B495" s="1" t="s">
        <v>887</v>
      </c>
      <c r="C495" s="1"/>
      <c r="D495" s="1" t="s">
        <v>780</v>
      </c>
      <c r="E495" s="1" t="s">
        <v>4489</v>
      </c>
      <c r="F495" s="1" t="s">
        <v>4490</v>
      </c>
      <c r="H495" s="1" t="s">
        <v>780</v>
      </c>
      <c r="I495" s="1" t="s">
        <v>2780</v>
      </c>
      <c r="J495" s="1" t="s">
        <v>4491</v>
      </c>
      <c r="K495" s="1" t="s">
        <v>4492</v>
      </c>
      <c r="L495" s="1" t="s">
        <v>4302</v>
      </c>
      <c r="N495" s="1" t="s">
        <v>937</v>
      </c>
      <c r="O495" s="1" t="s">
        <v>748</v>
      </c>
      <c r="P495" s="1" t="s">
        <v>4493</v>
      </c>
      <c r="Q495" s="1" t="s">
        <v>4494</v>
      </c>
      <c r="R495" s="1"/>
      <c r="S495" s="1" t="s">
        <v>4493</v>
      </c>
      <c r="T495" s="51" t="s">
        <v>4495</v>
      </c>
      <c r="U495" s="1" t="s">
        <v>4496</v>
      </c>
    </row>
    <row r="496" spans="1:21">
      <c r="A496" s="1" t="s">
        <v>781</v>
      </c>
      <c r="B496" s="1" t="s">
        <v>727</v>
      </c>
      <c r="C496" s="1"/>
      <c r="D496" s="1" t="s">
        <v>781</v>
      </c>
      <c r="E496" s="1" t="s">
        <v>4497</v>
      </c>
      <c r="F496" s="1" t="s">
        <v>4498</v>
      </c>
      <c r="H496" s="1" t="s">
        <v>781</v>
      </c>
      <c r="I496" s="1" t="s">
        <v>2773</v>
      </c>
      <c r="J496" s="1" t="s">
        <v>4499</v>
      </c>
      <c r="K496" s="1" t="s">
        <v>4500</v>
      </c>
      <c r="L496" s="1" t="s">
        <v>4311</v>
      </c>
      <c r="N496" s="1" t="s">
        <v>937</v>
      </c>
      <c r="O496" s="1" t="s">
        <v>749</v>
      </c>
      <c r="P496" s="1" t="s">
        <v>4501</v>
      </c>
      <c r="Q496" s="1" t="s">
        <v>4502</v>
      </c>
      <c r="R496" s="1"/>
      <c r="S496" s="1" t="s">
        <v>4501</v>
      </c>
      <c r="T496" s="51" t="s">
        <v>4503</v>
      </c>
      <c r="U496" s="1" t="s">
        <v>4504</v>
      </c>
    </row>
    <row r="497" spans="1:21">
      <c r="A497" s="1" t="s">
        <v>782</v>
      </c>
      <c r="B497" s="1" t="s">
        <v>647</v>
      </c>
      <c r="C497" s="1"/>
      <c r="D497" s="1" t="s">
        <v>782</v>
      </c>
      <c r="E497" s="1" t="s">
        <v>4505</v>
      </c>
      <c r="F497" s="1" t="s">
        <v>4506</v>
      </c>
      <c r="H497" s="1" t="s">
        <v>782</v>
      </c>
      <c r="I497" s="1" t="s">
        <v>2766</v>
      </c>
      <c r="J497" s="1" t="s">
        <v>4507</v>
      </c>
      <c r="K497" s="1" t="s">
        <v>4508</v>
      </c>
      <c r="L497" s="1" t="s">
        <v>4318</v>
      </c>
      <c r="N497" s="1" t="s">
        <v>937</v>
      </c>
      <c r="O497" s="1" t="s">
        <v>750</v>
      </c>
      <c r="P497" s="1" t="s">
        <v>4509</v>
      </c>
      <c r="Q497" s="1" t="s">
        <v>3914</v>
      </c>
      <c r="R497" s="1"/>
      <c r="S497" s="1" t="s">
        <v>4509</v>
      </c>
      <c r="T497" s="51" t="s">
        <v>4510</v>
      </c>
      <c r="U497" s="1" t="s">
        <v>4511</v>
      </c>
    </row>
    <row r="498" spans="1:21">
      <c r="A498" s="1" t="s">
        <v>783</v>
      </c>
      <c r="B498" s="1" t="s">
        <v>861</v>
      </c>
      <c r="C498" s="1"/>
      <c r="D498" s="1" t="s">
        <v>783</v>
      </c>
      <c r="E498" s="1" t="s">
        <v>4512</v>
      </c>
      <c r="F498" s="1" t="s">
        <v>4513</v>
      </c>
      <c r="H498" s="1" t="s">
        <v>783</v>
      </c>
      <c r="I498" s="1" t="s">
        <v>2759</v>
      </c>
      <c r="J498" s="1" t="s">
        <v>4514</v>
      </c>
      <c r="K498" s="1" t="s">
        <v>4515</v>
      </c>
      <c r="L498" s="1" t="s">
        <v>4327</v>
      </c>
      <c r="N498" s="1" t="s">
        <v>937</v>
      </c>
      <c r="O498" s="1" t="s">
        <v>751</v>
      </c>
      <c r="P498" s="1" t="s">
        <v>4516</v>
      </c>
      <c r="Q498" s="1" t="s">
        <v>4496</v>
      </c>
      <c r="R498" s="1"/>
      <c r="S498" s="1" t="s">
        <v>4516</v>
      </c>
      <c r="T498" s="51" t="s">
        <v>4517</v>
      </c>
      <c r="U498" s="1" t="s">
        <v>4518</v>
      </c>
    </row>
    <row r="499" spans="1:21">
      <c r="A499" s="1" t="s">
        <v>784</v>
      </c>
      <c r="B499" s="1" t="s">
        <v>649</v>
      </c>
      <c r="C499" s="1"/>
      <c r="D499" s="1" t="s">
        <v>784</v>
      </c>
      <c r="E499" s="1" t="s">
        <v>4519</v>
      </c>
      <c r="F499" s="1" t="s">
        <v>4520</v>
      </c>
      <c r="H499" s="1" t="s">
        <v>784</v>
      </c>
      <c r="I499" s="1" t="s">
        <v>2998</v>
      </c>
      <c r="J499" s="1" t="s">
        <v>4521</v>
      </c>
      <c r="K499" s="1" t="s">
        <v>4522</v>
      </c>
      <c r="L499" s="1" t="s">
        <v>4336</v>
      </c>
      <c r="N499" s="1" t="s">
        <v>937</v>
      </c>
      <c r="O499" s="1" t="s">
        <v>752</v>
      </c>
      <c r="P499" s="1" t="s">
        <v>4523</v>
      </c>
      <c r="Q499" s="1" t="s">
        <v>4524</v>
      </c>
      <c r="R499" s="1"/>
      <c r="S499" s="1" t="s">
        <v>4523</v>
      </c>
      <c r="T499" s="51" t="s">
        <v>4525</v>
      </c>
      <c r="U499" s="1" t="s">
        <v>4526</v>
      </c>
    </row>
    <row r="500" spans="1:21">
      <c r="A500" s="1" t="s">
        <v>785</v>
      </c>
      <c r="B500" s="1" t="s">
        <v>885</v>
      </c>
      <c r="C500" s="1"/>
      <c r="D500" s="1" t="s">
        <v>785</v>
      </c>
      <c r="E500" s="1" t="s">
        <v>4527</v>
      </c>
      <c r="F500" s="1" t="s">
        <v>4528</v>
      </c>
      <c r="H500" s="1" t="s">
        <v>785</v>
      </c>
      <c r="I500" s="1" t="s">
        <v>2995</v>
      </c>
      <c r="J500" s="1" t="s">
        <v>4529</v>
      </c>
      <c r="K500" s="1" t="s">
        <v>4530</v>
      </c>
      <c r="L500" s="1" t="s">
        <v>4343</v>
      </c>
      <c r="N500" s="1" t="s">
        <v>937</v>
      </c>
      <c r="O500" s="1" t="s">
        <v>753</v>
      </c>
      <c r="P500" s="1" t="s">
        <v>4531</v>
      </c>
      <c r="Q500" s="1" t="s">
        <v>4532</v>
      </c>
      <c r="R500" s="1"/>
      <c r="S500" s="1" t="s">
        <v>4531</v>
      </c>
      <c r="T500" s="51" t="s">
        <v>4533</v>
      </c>
      <c r="U500" s="1" t="s">
        <v>4534</v>
      </c>
    </row>
    <row r="501" spans="1:21">
      <c r="A501" s="1" t="s">
        <v>786</v>
      </c>
      <c r="B501" s="1" t="s">
        <v>833</v>
      </c>
      <c r="C501" s="1"/>
      <c r="D501" s="1" t="s">
        <v>786</v>
      </c>
      <c r="E501" s="1" t="s">
        <v>4535</v>
      </c>
      <c r="F501" s="1" t="s">
        <v>4536</v>
      </c>
      <c r="H501" s="1" t="s">
        <v>786</v>
      </c>
      <c r="I501" s="1" t="s">
        <v>2993</v>
      </c>
      <c r="J501" s="1" t="s">
        <v>4537</v>
      </c>
      <c r="K501" s="1" t="s">
        <v>4538</v>
      </c>
      <c r="L501" s="1" t="s">
        <v>4351</v>
      </c>
      <c r="N501" s="1" t="s">
        <v>937</v>
      </c>
      <c r="O501" s="1" t="s">
        <v>754</v>
      </c>
      <c r="P501" s="1" t="s">
        <v>4539</v>
      </c>
      <c r="Q501" s="1" t="s">
        <v>4540</v>
      </c>
      <c r="R501" s="1"/>
      <c r="S501" s="1" t="s">
        <v>4539</v>
      </c>
      <c r="T501" s="51" t="s">
        <v>4541</v>
      </c>
      <c r="U501" s="1" t="s">
        <v>4542</v>
      </c>
    </row>
    <row r="502" spans="1:21">
      <c r="A502" s="1" t="s">
        <v>787</v>
      </c>
      <c r="B502" s="1" t="s">
        <v>701</v>
      </c>
      <c r="C502" s="1"/>
      <c r="D502" s="1" t="s">
        <v>787</v>
      </c>
      <c r="E502" s="1" t="s">
        <v>4543</v>
      </c>
      <c r="F502" s="1" t="s">
        <v>4544</v>
      </c>
      <c r="H502" s="1" t="s">
        <v>787</v>
      </c>
      <c r="I502" s="1" t="s">
        <v>2991</v>
      </c>
      <c r="J502" s="1" t="s">
        <v>4545</v>
      </c>
      <c r="K502" s="1" t="s">
        <v>4546</v>
      </c>
      <c r="L502" s="1" t="s">
        <v>4359</v>
      </c>
      <c r="N502" s="1" t="s">
        <v>937</v>
      </c>
      <c r="O502" s="1" t="s">
        <v>755</v>
      </c>
      <c r="P502" s="1" t="s">
        <v>4547</v>
      </c>
      <c r="Q502" s="1" t="s">
        <v>4548</v>
      </c>
      <c r="R502" s="1"/>
      <c r="S502" s="1" t="s">
        <v>4547</v>
      </c>
      <c r="T502" s="51" t="s">
        <v>4549</v>
      </c>
      <c r="U502" s="1" t="s">
        <v>4550</v>
      </c>
    </row>
    <row r="503" spans="1:21">
      <c r="A503" s="1" t="s">
        <v>788</v>
      </c>
      <c r="B503" s="1" t="s">
        <v>691</v>
      </c>
      <c r="C503" s="1"/>
      <c r="D503" s="1" t="s">
        <v>788</v>
      </c>
      <c r="E503" s="1" t="s">
        <v>4551</v>
      </c>
      <c r="F503" s="1" t="s">
        <v>4552</v>
      </c>
      <c r="H503" s="1" t="s">
        <v>788</v>
      </c>
      <c r="I503" s="1" t="s">
        <v>2989</v>
      </c>
      <c r="J503" s="1" t="s">
        <v>4553</v>
      </c>
      <c r="K503" s="1" t="s">
        <v>4554</v>
      </c>
      <c r="L503" s="1" t="s">
        <v>4367</v>
      </c>
      <c r="N503" s="1" t="s">
        <v>937</v>
      </c>
      <c r="O503" s="1" t="s">
        <v>756</v>
      </c>
      <c r="P503" s="1" t="s">
        <v>4555</v>
      </c>
      <c r="Q503" s="1" t="s">
        <v>4556</v>
      </c>
      <c r="R503" s="1"/>
      <c r="S503" s="1" t="s">
        <v>4555</v>
      </c>
      <c r="T503" s="51" t="s">
        <v>4557</v>
      </c>
      <c r="U503" s="1" t="s">
        <v>4558</v>
      </c>
    </row>
    <row r="504" spans="1:21">
      <c r="A504" s="1" t="s">
        <v>789</v>
      </c>
      <c r="B504" s="1" t="s">
        <v>731</v>
      </c>
      <c r="C504" s="1"/>
      <c r="D504" s="1" t="s">
        <v>789</v>
      </c>
      <c r="E504" s="1" t="s">
        <v>4559</v>
      </c>
      <c r="F504" s="1" t="s">
        <v>4560</v>
      </c>
      <c r="H504" s="1" t="s">
        <v>789</v>
      </c>
      <c r="I504" s="1" t="s">
        <v>2987</v>
      </c>
      <c r="J504" s="1" t="s">
        <v>4561</v>
      </c>
      <c r="K504" s="1" t="s">
        <v>4562</v>
      </c>
      <c r="L504" s="1" t="s">
        <v>4375</v>
      </c>
      <c r="N504" s="1" t="s">
        <v>937</v>
      </c>
      <c r="O504" s="1" t="s">
        <v>757</v>
      </c>
      <c r="P504" s="1" t="s">
        <v>4563</v>
      </c>
      <c r="Q504" s="1" t="s">
        <v>4564</v>
      </c>
      <c r="R504" s="1"/>
      <c r="S504" s="1" t="s">
        <v>4563</v>
      </c>
      <c r="T504" s="51" t="s">
        <v>4565</v>
      </c>
      <c r="U504" s="1" t="s">
        <v>4566</v>
      </c>
    </row>
    <row r="505" spans="1:21">
      <c r="A505" s="1" t="s">
        <v>790</v>
      </c>
      <c r="B505" s="1" t="s">
        <v>849</v>
      </c>
      <c r="C505" s="1"/>
      <c r="D505" s="1" t="s">
        <v>790</v>
      </c>
      <c r="E505" s="1" t="s">
        <v>4567</v>
      </c>
      <c r="F505" s="1" t="s">
        <v>4568</v>
      </c>
      <c r="H505" s="1" t="s">
        <v>790</v>
      </c>
      <c r="I505" s="1" t="s">
        <v>2984</v>
      </c>
      <c r="J505" s="1" t="s">
        <v>4569</v>
      </c>
      <c r="K505" s="1" t="s">
        <v>4570</v>
      </c>
      <c r="L505" s="1" t="s">
        <v>4383</v>
      </c>
      <c r="N505" s="1" t="s">
        <v>937</v>
      </c>
      <c r="O505" s="1" t="s">
        <v>758</v>
      </c>
      <c r="P505" s="1" t="s">
        <v>4571</v>
      </c>
      <c r="Q505" s="1" t="s">
        <v>4572</v>
      </c>
      <c r="R505" s="1"/>
      <c r="S505" s="1" t="s">
        <v>4571</v>
      </c>
      <c r="T505" s="51" t="s">
        <v>4573</v>
      </c>
      <c r="U505" s="1" t="s">
        <v>4574</v>
      </c>
    </row>
    <row r="506" spans="1:21">
      <c r="A506" s="1" t="s">
        <v>791</v>
      </c>
      <c r="B506" s="1" t="s">
        <v>893</v>
      </c>
      <c r="C506" s="1"/>
      <c r="D506" s="1" t="s">
        <v>791</v>
      </c>
      <c r="E506" s="1" t="s">
        <v>4575</v>
      </c>
      <c r="F506" s="1" t="s">
        <v>4576</v>
      </c>
      <c r="H506" s="1" t="s">
        <v>791</v>
      </c>
      <c r="I506" s="1" t="s">
        <v>2981</v>
      </c>
      <c r="J506" s="1" t="s">
        <v>4577</v>
      </c>
      <c r="K506" s="1" t="s">
        <v>4578</v>
      </c>
      <c r="L506" s="1" t="s">
        <v>4391</v>
      </c>
      <c r="N506" s="1" t="s">
        <v>937</v>
      </c>
      <c r="O506" s="1" t="s">
        <v>759</v>
      </c>
      <c r="P506" s="1" t="s">
        <v>4579</v>
      </c>
      <c r="Q506" s="1" t="s">
        <v>3964</v>
      </c>
      <c r="R506" s="1"/>
      <c r="S506" s="1" t="s">
        <v>4579</v>
      </c>
      <c r="T506" s="51" t="s">
        <v>4580</v>
      </c>
      <c r="U506" s="1" t="s">
        <v>4581</v>
      </c>
    </row>
    <row r="507" spans="1:21">
      <c r="A507" s="1" t="s">
        <v>792</v>
      </c>
      <c r="B507" s="1" t="s">
        <v>823</v>
      </c>
      <c r="C507" s="1"/>
      <c r="D507" s="1" t="s">
        <v>792</v>
      </c>
      <c r="E507" s="1" t="s">
        <v>4582</v>
      </c>
      <c r="F507" s="1" t="s">
        <v>4583</v>
      </c>
      <c r="H507" s="1" t="s">
        <v>792</v>
      </c>
      <c r="I507" s="1" t="s">
        <v>2978</v>
      </c>
      <c r="J507" s="1" t="s">
        <v>4584</v>
      </c>
      <c r="K507" s="1" t="s">
        <v>4585</v>
      </c>
      <c r="L507" s="1" t="s">
        <v>4399</v>
      </c>
      <c r="N507" s="1" t="s">
        <v>937</v>
      </c>
      <c r="O507" s="1" t="s">
        <v>760</v>
      </c>
      <c r="P507" s="1" t="s">
        <v>4586</v>
      </c>
      <c r="Q507" s="1" t="s">
        <v>4587</v>
      </c>
      <c r="R507" s="1"/>
      <c r="S507" s="1" t="s">
        <v>4586</v>
      </c>
      <c r="T507" s="51" t="s">
        <v>4588</v>
      </c>
      <c r="U507" s="1" t="s">
        <v>4589</v>
      </c>
    </row>
    <row r="508" spans="1:21">
      <c r="A508" s="1" t="s">
        <v>793</v>
      </c>
      <c r="B508" s="1" t="s">
        <v>835</v>
      </c>
      <c r="C508" s="1"/>
      <c r="D508" s="1" t="s">
        <v>793</v>
      </c>
      <c r="E508" s="1" t="s">
        <v>4590</v>
      </c>
      <c r="F508" s="1" t="s">
        <v>4591</v>
      </c>
      <c r="H508" s="1" t="s">
        <v>793</v>
      </c>
      <c r="I508" s="1" t="s">
        <v>2975</v>
      </c>
      <c r="J508" s="1" t="s">
        <v>4592</v>
      </c>
      <c r="K508" s="1" t="s">
        <v>4593</v>
      </c>
      <c r="L508" s="1" t="s">
        <v>4407</v>
      </c>
      <c r="N508" s="1" t="s">
        <v>937</v>
      </c>
      <c r="O508" s="1" t="s">
        <v>761</v>
      </c>
      <c r="P508" s="1" t="s">
        <v>4594</v>
      </c>
      <c r="Q508" s="1" t="s">
        <v>4595</v>
      </c>
      <c r="R508" s="1"/>
      <c r="S508" s="1" t="s">
        <v>4594</v>
      </c>
      <c r="T508" s="51" t="s">
        <v>4596</v>
      </c>
      <c r="U508" s="1" t="s">
        <v>4597</v>
      </c>
    </row>
    <row r="509" spans="1:21">
      <c r="A509" s="1" t="s">
        <v>794</v>
      </c>
      <c r="B509" s="1" t="s">
        <v>843</v>
      </c>
      <c r="C509" s="1"/>
      <c r="D509" s="1" t="s">
        <v>794</v>
      </c>
      <c r="E509" s="1" t="s">
        <v>4598</v>
      </c>
      <c r="F509" s="1" t="s">
        <v>4599</v>
      </c>
      <c r="H509" s="1" t="s">
        <v>794</v>
      </c>
      <c r="I509" s="1" t="s">
        <v>2972</v>
      </c>
      <c r="J509" s="1" t="s">
        <v>4600</v>
      </c>
      <c r="K509" s="1" t="s">
        <v>4601</v>
      </c>
      <c r="L509" s="1" t="s">
        <v>4415</v>
      </c>
      <c r="N509" s="1" t="s">
        <v>937</v>
      </c>
      <c r="O509" s="1" t="s">
        <v>762</v>
      </c>
      <c r="P509" s="1" t="s">
        <v>4602</v>
      </c>
      <c r="Q509" s="1" t="s">
        <v>4603</v>
      </c>
      <c r="R509" s="1"/>
      <c r="S509" s="1" t="s">
        <v>4602</v>
      </c>
      <c r="T509" s="51" t="s">
        <v>4604</v>
      </c>
      <c r="U509" s="1" t="s">
        <v>4587</v>
      </c>
    </row>
    <row r="510" spans="1:21">
      <c r="A510" s="1" t="s">
        <v>795</v>
      </c>
      <c r="B510" s="1" t="s">
        <v>851</v>
      </c>
      <c r="C510" s="1" t="s">
        <v>171</v>
      </c>
      <c r="D510" s="1" t="s">
        <v>795</v>
      </c>
      <c r="E510" s="1" t="s">
        <v>4605</v>
      </c>
      <c r="F510" s="1" t="s">
        <v>4606</v>
      </c>
      <c r="H510" s="1" t="s">
        <v>795</v>
      </c>
      <c r="I510" s="1" t="s">
        <v>2969</v>
      </c>
      <c r="J510" s="1" t="s">
        <v>4607</v>
      </c>
      <c r="K510" s="1" t="s">
        <v>4608</v>
      </c>
      <c r="L510" s="1" t="s">
        <v>4422</v>
      </c>
      <c r="N510" s="1" t="s">
        <v>937</v>
      </c>
      <c r="O510" s="1" t="s">
        <v>763</v>
      </c>
      <c r="P510" s="1" t="s">
        <v>4609</v>
      </c>
      <c r="Q510" s="1" t="s">
        <v>4610</v>
      </c>
      <c r="R510" s="1"/>
      <c r="S510" s="1" t="s">
        <v>4609</v>
      </c>
      <c r="T510" s="51" t="s">
        <v>4611</v>
      </c>
      <c r="U510" s="1" t="s">
        <v>4612</v>
      </c>
    </row>
    <row r="511" spans="1:21">
      <c r="A511" s="1" t="s">
        <v>796</v>
      </c>
      <c r="B511" s="1" t="s">
        <v>867</v>
      </c>
      <c r="C511" s="1"/>
      <c r="D511" s="1" t="s">
        <v>796</v>
      </c>
      <c r="E511" s="1" t="s">
        <v>4613</v>
      </c>
      <c r="F511" s="1" t="s">
        <v>4614</v>
      </c>
      <c r="H511" s="1" t="s">
        <v>796</v>
      </c>
      <c r="I511" s="1" t="s">
        <v>2966</v>
      </c>
      <c r="J511" s="1" t="s">
        <v>4615</v>
      </c>
      <c r="K511" s="1" t="s">
        <v>2347</v>
      </c>
      <c r="L511" s="1" t="s">
        <v>4430</v>
      </c>
      <c r="N511" s="1" t="s">
        <v>937</v>
      </c>
      <c r="O511" s="1" t="s">
        <v>764</v>
      </c>
      <c r="P511" s="1" t="s">
        <v>4616</v>
      </c>
      <c r="Q511" s="1" t="s">
        <v>4443</v>
      </c>
      <c r="R511" s="1"/>
      <c r="S511" s="1" t="s">
        <v>4616</v>
      </c>
      <c r="T511" s="51" t="s">
        <v>4617</v>
      </c>
      <c r="U511" s="1" t="s">
        <v>4095</v>
      </c>
    </row>
    <row r="512" spans="1:21">
      <c r="A512" s="1" t="s">
        <v>797</v>
      </c>
      <c r="B512" s="1" t="s">
        <v>895</v>
      </c>
      <c r="C512" s="1"/>
      <c r="D512" s="1" t="s">
        <v>797</v>
      </c>
      <c r="E512" s="1" t="s">
        <v>4618</v>
      </c>
      <c r="F512" s="1" t="s">
        <v>4619</v>
      </c>
      <c r="H512" s="1" t="s">
        <v>797</v>
      </c>
      <c r="I512" s="1" t="s">
        <v>2963</v>
      </c>
      <c r="J512" s="1" t="s">
        <v>4620</v>
      </c>
      <c r="K512" s="1" t="s">
        <v>4621</v>
      </c>
      <c r="L512" s="1" t="s">
        <v>4438</v>
      </c>
      <c r="N512" s="1" t="s">
        <v>937</v>
      </c>
      <c r="O512" s="1" t="s">
        <v>765</v>
      </c>
      <c r="P512" s="1" t="s">
        <v>4622</v>
      </c>
      <c r="Q512" s="1" t="s">
        <v>4324</v>
      </c>
      <c r="R512" s="1"/>
      <c r="S512" s="1" t="s">
        <v>4622</v>
      </c>
      <c r="T512" s="51" t="s">
        <v>4623</v>
      </c>
      <c r="U512" s="1" t="s">
        <v>4624</v>
      </c>
    </row>
    <row r="513" spans="1:21">
      <c r="A513" s="1" t="s">
        <v>798</v>
      </c>
      <c r="B513" s="1" t="s">
        <v>665</v>
      </c>
      <c r="C513" s="1"/>
      <c r="D513" s="1" t="s">
        <v>798</v>
      </c>
      <c r="E513" s="1" t="s">
        <v>4625</v>
      </c>
      <c r="F513" s="1" t="s">
        <v>4626</v>
      </c>
      <c r="H513" s="1" t="s">
        <v>798</v>
      </c>
      <c r="I513" s="1" t="s">
        <v>2960</v>
      </c>
      <c r="J513" s="1" t="s">
        <v>4627</v>
      </c>
      <c r="K513" s="1" t="s">
        <v>4628</v>
      </c>
      <c r="L513" s="1" t="s">
        <v>4446</v>
      </c>
      <c r="N513" s="1" t="s">
        <v>937</v>
      </c>
      <c r="O513" s="1" t="s">
        <v>766</v>
      </c>
      <c r="P513" s="1" t="s">
        <v>4629</v>
      </c>
      <c r="Q513" s="1" t="s">
        <v>4630</v>
      </c>
      <c r="R513" s="1"/>
      <c r="S513" s="1" t="s">
        <v>4629</v>
      </c>
      <c r="T513" s="51" t="s">
        <v>4631</v>
      </c>
      <c r="U513" s="1" t="s">
        <v>4632</v>
      </c>
    </row>
    <row r="514" spans="1:21">
      <c r="A514" s="1" t="s">
        <v>799</v>
      </c>
      <c r="B514" s="1" t="s">
        <v>689</v>
      </c>
      <c r="C514" s="1" t="s">
        <v>164</v>
      </c>
      <c r="D514" s="1" t="s">
        <v>799</v>
      </c>
      <c r="E514" s="1" t="s">
        <v>4633</v>
      </c>
      <c r="F514" s="1" t="s">
        <v>4634</v>
      </c>
      <c r="H514" s="1" t="s">
        <v>799</v>
      </c>
      <c r="I514" s="1" t="s">
        <v>2957</v>
      </c>
      <c r="J514" s="1" t="s">
        <v>4635</v>
      </c>
      <c r="K514" s="1" t="s">
        <v>4636</v>
      </c>
      <c r="L514" s="1" t="s">
        <v>4454</v>
      </c>
      <c r="N514" s="1" t="s">
        <v>937</v>
      </c>
      <c r="O514" s="1" t="s">
        <v>767</v>
      </c>
      <c r="P514" s="1" t="s">
        <v>4637</v>
      </c>
      <c r="Q514" s="1" t="s">
        <v>4638</v>
      </c>
      <c r="R514" s="1"/>
      <c r="S514" s="1" t="s">
        <v>4637</v>
      </c>
      <c r="T514" s="51" t="s">
        <v>4639</v>
      </c>
      <c r="U514" s="1" t="s">
        <v>4640</v>
      </c>
    </row>
    <row r="515" spans="1:21">
      <c r="A515" s="1" t="s">
        <v>800</v>
      </c>
      <c r="B515" s="1" t="s">
        <v>877</v>
      </c>
      <c r="C515" s="1"/>
      <c r="D515" s="1" t="s">
        <v>800</v>
      </c>
      <c r="E515" s="1" t="s">
        <v>4641</v>
      </c>
      <c r="F515" s="1" t="s">
        <v>4642</v>
      </c>
      <c r="H515" s="1" t="s">
        <v>800</v>
      </c>
      <c r="I515" s="1" t="s">
        <v>2954</v>
      </c>
      <c r="J515" s="1" t="s">
        <v>4643</v>
      </c>
      <c r="K515" s="1" t="s">
        <v>4644</v>
      </c>
      <c r="L515" s="1" t="s">
        <v>4462</v>
      </c>
      <c r="N515" s="1" t="s">
        <v>937</v>
      </c>
      <c r="O515" s="1" t="s">
        <v>768</v>
      </c>
      <c r="P515" s="1" t="s">
        <v>4645</v>
      </c>
      <c r="Q515" s="1" t="s">
        <v>4646</v>
      </c>
      <c r="R515" s="1"/>
      <c r="S515" s="1" t="s">
        <v>4645</v>
      </c>
      <c r="T515" s="51" t="s">
        <v>4647</v>
      </c>
      <c r="U515" s="1" t="s">
        <v>4648</v>
      </c>
    </row>
    <row r="516" spans="1:21">
      <c r="A516" s="1" t="s">
        <v>801</v>
      </c>
      <c r="B516" s="1" t="s">
        <v>723</v>
      </c>
      <c r="C516" s="1"/>
      <c r="D516" s="1" t="s">
        <v>801</v>
      </c>
      <c r="E516" s="1" t="s">
        <v>4649</v>
      </c>
      <c r="F516" s="1" t="s">
        <v>4650</v>
      </c>
      <c r="H516" s="1" t="s">
        <v>801</v>
      </c>
      <c r="I516" s="1" t="s">
        <v>2951</v>
      </c>
      <c r="J516" s="1" t="s">
        <v>4651</v>
      </c>
      <c r="K516" s="1" t="s">
        <v>4652</v>
      </c>
      <c r="L516" s="1" t="s">
        <v>4470</v>
      </c>
      <c r="N516" s="1" t="s">
        <v>937</v>
      </c>
      <c r="O516" s="1" t="s">
        <v>769</v>
      </c>
      <c r="P516" s="1" t="s">
        <v>4653</v>
      </c>
      <c r="Q516" s="1" t="s">
        <v>4654</v>
      </c>
      <c r="R516" s="1"/>
      <c r="S516" s="1" t="s">
        <v>4653</v>
      </c>
      <c r="T516" s="51" t="s">
        <v>4655</v>
      </c>
      <c r="U516" s="1" t="s">
        <v>4063</v>
      </c>
    </row>
    <row r="517" spans="1:21">
      <c r="A517" s="1" t="s">
        <v>802</v>
      </c>
      <c r="B517" s="1" t="s">
        <v>897</v>
      </c>
      <c r="C517" s="1"/>
      <c r="D517" s="1" t="s">
        <v>802</v>
      </c>
      <c r="E517" s="1" t="s">
        <v>4656</v>
      </c>
      <c r="F517" s="1" t="s">
        <v>4657</v>
      </c>
      <c r="H517" s="1" t="s">
        <v>802</v>
      </c>
      <c r="I517" s="1" t="s">
        <v>2948</v>
      </c>
      <c r="J517" s="1" t="s">
        <v>4658</v>
      </c>
      <c r="K517" s="1" t="s">
        <v>4659</v>
      </c>
      <c r="L517" s="1" t="s">
        <v>4477</v>
      </c>
      <c r="N517" s="1" t="s">
        <v>937</v>
      </c>
      <c r="O517" s="1" t="s">
        <v>770</v>
      </c>
      <c r="P517" s="1" t="s">
        <v>4660</v>
      </c>
      <c r="Q517" s="1" t="s">
        <v>4661</v>
      </c>
      <c r="R517" s="1"/>
      <c r="S517" s="1" t="s">
        <v>4660</v>
      </c>
      <c r="T517" s="51" t="s">
        <v>4662</v>
      </c>
      <c r="U517" s="1" t="s">
        <v>4564</v>
      </c>
    </row>
    <row r="518" spans="1:21">
      <c r="A518" s="1" t="s">
        <v>803</v>
      </c>
      <c r="B518" s="1" t="s">
        <v>687</v>
      </c>
      <c r="C518" s="1"/>
      <c r="D518" s="1" t="s">
        <v>803</v>
      </c>
      <c r="E518" s="1" t="s">
        <v>4663</v>
      </c>
      <c r="F518" s="1" t="s">
        <v>4664</v>
      </c>
      <c r="H518" s="1" t="s">
        <v>803</v>
      </c>
      <c r="I518" s="1" t="s">
        <v>2945</v>
      </c>
      <c r="J518" s="1" t="s">
        <v>4665</v>
      </c>
      <c r="K518" s="1" t="s">
        <v>4666</v>
      </c>
      <c r="L518" s="1" t="s">
        <v>4485</v>
      </c>
      <c r="N518" s="1" t="s">
        <v>937</v>
      </c>
      <c r="O518" s="1" t="s">
        <v>771</v>
      </c>
      <c r="P518" s="1" t="s">
        <v>4667</v>
      </c>
      <c r="Q518" s="1" t="s">
        <v>4668</v>
      </c>
      <c r="R518" s="1"/>
      <c r="S518" s="1" t="s">
        <v>4667</v>
      </c>
      <c r="T518" s="51" t="s">
        <v>4669</v>
      </c>
      <c r="U518" s="1" t="s">
        <v>4465</v>
      </c>
    </row>
    <row r="519" spans="1:21">
      <c r="A519" s="1" t="s">
        <v>804</v>
      </c>
      <c r="B519" s="1" t="s">
        <v>825</v>
      </c>
      <c r="C519" s="1"/>
      <c r="D519" s="1" t="s">
        <v>804</v>
      </c>
      <c r="E519" s="1" t="s">
        <v>4670</v>
      </c>
      <c r="F519" s="1" t="s">
        <v>4671</v>
      </c>
      <c r="H519" s="1" t="s">
        <v>804</v>
      </c>
      <c r="I519" s="1" t="s">
        <v>2942</v>
      </c>
      <c r="J519" s="1" t="s">
        <v>4672</v>
      </c>
      <c r="K519" s="1" t="s">
        <v>4673</v>
      </c>
      <c r="L519" s="1" t="s">
        <v>4491</v>
      </c>
      <c r="N519" s="1" t="s">
        <v>937</v>
      </c>
      <c r="O519" s="1" t="s">
        <v>772</v>
      </c>
      <c r="P519" s="1" t="s">
        <v>4674</v>
      </c>
      <c r="Q519" s="1" t="s">
        <v>4261</v>
      </c>
      <c r="R519" s="1"/>
      <c r="S519" s="1" t="s">
        <v>4674</v>
      </c>
      <c r="T519" s="51" t="s">
        <v>4675</v>
      </c>
      <c r="U519" s="1" t="s">
        <v>4676</v>
      </c>
    </row>
    <row r="520" spans="1:21">
      <c r="A520" s="1" t="s">
        <v>805</v>
      </c>
      <c r="B520" s="1" t="s">
        <v>819</v>
      </c>
      <c r="C520" s="1"/>
      <c r="D520" s="1" t="s">
        <v>805</v>
      </c>
      <c r="E520" s="1" t="s">
        <v>4677</v>
      </c>
      <c r="F520" s="1" t="s">
        <v>4678</v>
      </c>
      <c r="H520" s="1" t="s">
        <v>805</v>
      </c>
      <c r="I520" s="1" t="s">
        <v>2939</v>
      </c>
      <c r="J520" s="1" t="s">
        <v>4679</v>
      </c>
      <c r="K520" s="1" t="s">
        <v>4680</v>
      </c>
      <c r="L520" s="1" t="s">
        <v>4499</v>
      </c>
      <c r="N520" s="1" t="s">
        <v>937</v>
      </c>
      <c r="O520" s="1" t="s">
        <v>773</v>
      </c>
      <c r="P520" s="1" t="s">
        <v>4681</v>
      </c>
      <c r="Q520" s="1" t="s">
        <v>4682</v>
      </c>
      <c r="R520" s="1"/>
      <c r="S520" s="1" t="s">
        <v>4681</v>
      </c>
      <c r="T520" s="51" t="s">
        <v>4683</v>
      </c>
      <c r="U520" s="1" t="s">
        <v>4532</v>
      </c>
    </row>
    <row r="521" spans="1:21">
      <c r="A521" s="1" t="s">
        <v>806</v>
      </c>
      <c r="B521" s="1" t="s">
        <v>709</v>
      </c>
      <c r="C521" s="1"/>
      <c r="D521" s="1" t="s">
        <v>806</v>
      </c>
      <c r="E521" s="1" t="s">
        <v>4684</v>
      </c>
      <c r="F521" s="1" t="s">
        <v>4685</v>
      </c>
      <c r="H521" s="1" t="s">
        <v>806</v>
      </c>
      <c r="I521" s="1" t="s">
        <v>2936</v>
      </c>
      <c r="J521" s="1" t="s">
        <v>4686</v>
      </c>
      <c r="K521" s="1" t="s">
        <v>4687</v>
      </c>
      <c r="L521" s="1" t="s">
        <v>4507</v>
      </c>
      <c r="N521" s="1" t="s">
        <v>937</v>
      </c>
      <c r="O521" s="1" t="s">
        <v>774</v>
      </c>
      <c r="P521" s="1" t="s">
        <v>4688</v>
      </c>
      <c r="Q521" s="1" t="s">
        <v>4689</v>
      </c>
      <c r="R521" s="1"/>
      <c r="S521" s="1" t="s">
        <v>4688</v>
      </c>
      <c r="T521" s="51" t="s">
        <v>4690</v>
      </c>
      <c r="U521" s="1" t="s">
        <v>4691</v>
      </c>
    </row>
    <row r="522" spans="1:21">
      <c r="A522" s="1" t="s">
        <v>807</v>
      </c>
      <c r="B522" s="1" t="s">
        <v>713</v>
      </c>
      <c r="C522" s="1"/>
      <c r="D522" s="1" t="s">
        <v>807</v>
      </c>
      <c r="E522" s="1" t="s">
        <v>4446</v>
      </c>
      <c r="F522" s="1" t="s">
        <v>4628</v>
      </c>
      <c r="H522" s="1" t="s">
        <v>807</v>
      </c>
      <c r="I522" s="1" t="s">
        <v>2934</v>
      </c>
      <c r="J522" s="1" t="s">
        <v>4692</v>
      </c>
      <c r="K522" s="1" t="s">
        <v>4693</v>
      </c>
      <c r="L522" s="1" t="s">
        <v>4514</v>
      </c>
      <c r="N522" s="1" t="s">
        <v>937</v>
      </c>
      <c r="O522" s="1" t="s">
        <v>775</v>
      </c>
      <c r="P522" s="1" t="s">
        <v>4694</v>
      </c>
      <c r="Q522" s="1" t="s">
        <v>4435</v>
      </c>
      <c r="R522" s="1"/>
      <c r="S522" s="1" t="s">
        <v>4694</v>
      </c>
      <c r="T522" s="51" t="s">
        <v>4695</v>
      </c>
      <c r="U522" s="1" t="s">
        <v>4502</v>
      </c>
    </row>
    <row r="523" spans="1:21">
      <c r="A523" s="1" t="s">
        <v>233</v>
      </c>
      <c r="B523" s="1" t="s">
        <v>721</v>
      </c>
      <c r="C523" s="1"/>
      <c r="D523" s="1" t="s">
        <v>233</v>
      </c>
      <c r="E523" s="1" t="s">
        <v>4696</v>
      </c>
      <c r="F523" s="1" t="s">
        <v>4697</v>
      </c>
      <c r="H523" s="1" t="s">
        <v>233</v>
      </c>
      <c r="I523" s="1" t="s">
        <v>2928</v>
      </c>
      <c r="J523" s="1" t="s">
        <v>4329</v>
      </c>
      <c r="K523" s="1" t="s">
        <v>4698</v>
      </c>
      <c r="L523" s="1" t="s">
        <v>4521</v>
      </c>
      <c r="N523" s="1" t="s">
        <v>937</v>
      </c>
      <c r="O523" s="1" t="s">
        <v>776</v>
      </c>
      <c r="P523" s="1" t="s">
        <v>4699</v>
      </c>
      <c r="Q523" s="1" t="s">
        <v>4700</v>
      </c>
      <c r="R523" s="1"/>
      <c r="S523" s="1" t="s">
        <v>4699</v>
      </c>
      <c r="T523" s="51" t="s">
        <v>4701</v>
      </c>
      <c r="U523" s="1" t="s">
        <v>4702</v>
      </c>
    </row>
    <row r="524" spans="1:21">
      <c r="A524" s="1" t="s">
        <v>234</v>
      </c>
      <c r="B524" s="1" t="s">
        <v>837</v>
      </c>
      <c r="C524" s="1"/>
      <c r="D524" s="1" t="s">
        <v>234</v>
      </c>
      <c r="E524" s="1" t="s">
        <v>4703</v>
      </c>
      <c r="F524" s="1" t="s">
        <v>4704</v>
      </c>
      <c r="H524" s="1" t="s">
        <v>234</v>
      </c>
      <c r="I524" s="1" t="s">
        <v>2920</v>
      </c>
      <c r="J524" s="1" t="s">
        <v>4320</v>
      </c>
      <c r="K524" s="1" t="s">
        <v>4705</v>
      </c>
      <c r="L524" s="1" t="s">
        <v>4529</v>
      </c>
      <c r="N524" s="1" t="s">
        <v>937</v>
      </c>
      <c r="O524" s="1" t="s">
        <v>777</v>
      </c>
      <c r="P524" s="1" t="s">
        <v>4706</v>
      </c>
      <c r="Q524" s="1" t="s">
        <v>4707</v>
      </c>
      <c r="R524" s="1"/>
      <c r="S524" s="1" t="s">
        <v>4706</v>
      </c>
      <c r="T524" s="51" t="s">
        <v>4708</v>
      </c>
      <c r="U524" s="1" t="s">
        <v>4709</v>
      </c>
    </row>
    <row r="525" spans="1:21">
      <c r="A525" s="1" t="s">
        <v>235</v>
      </c>
      <c r="B525" s="1" t="s">
        <v>827</v>
      </c>
      <c r="C525" s="1"/>
      <c r="D525" s="1" t="s">
        <v>235</v>
      </c>
      <c r="E525" s="1" t="s">
        <v>4710</v>
      </c>
      <c r="F525" s="1" t="s">
        <v>4711</v>
      </c>
      <c r="H525" s="1" t="s">
        <v>235</v>
      </c>
      <c r="I525" s="1" t="s">
        <v>2913</v>
      </c>
      <c r="J525" s="1" t="s">
        <v>4313</v>
      </c>
      <c r="K525" s="1" t="s">
        <v>4712</v>
      </c>
      <c r="L525" s="1" t="s">
        <v>4537</v>
      </c>
      <c r="N525" s="1" t="s">
        <v>937</v>
      </c>
      <c r="O525" s="1" t="s">
        <v>778</v>
      </c>
      <c r="P525" s="1" t="s">
        <v>4713</v>
      </c>
      <c r="Q525" s="1" t="s">
        <v>4714</v>
      </c>
      <c r="R525" s="1"/>
      <c r="S525" s="1" t="s">
        <v>4713</v>
      </c>
      <c r="T525" s="51" t="s">
        <v>4715</v>
      </c>
      <c r="U525" s="1" t="s">
        <v>4716</v>
      </c>
    </row>
    <row r="526" spans="1:21">
      <c r="A526" s="1" t="s">
        <v>236</v>
      </c>
      <c r="B526" s="1" t="s">
        <v>705</v>
      </c>
      <c r="C526" s="1" t="s">
        <v>169</v>
      </c>
      <c r="D526" s="1" t="s">
        <v>236</v>
      </c>
      <c r="E526" s="1" t="s">
        <v>4717</v>
      </c>
      <c r="F526" s="1" t="s">
        <v>4718</v>
      </c>
      <c r="H526" s="1" t="s">
        <v>236</v>
      </c>
      <c r="I526" s="1" t="s">
        <v>2905</v>
      </c>
      <c r="J526" s="1" t="s">
        <v>4304</v>
      </c>
      <c r="K526" s="1" t="s">
        <v>4719</v>
      </c>
      <c r="L526" s="1" t="s">
        <v>4545</v>
      </c>
      <c r="N526" s="1" t="s">
        <v>937</v>
      </c>
      <c r="O526" s="1" t="s">
        <v>779</v>
      </c>
      <c r="P526" s="1" t="s">
        <v>4720</v>
      </c>
      <c r="Q526" s="1" t="s">
        <v>4721</v>
      </c>
      <c r="R526" s="1"/>
      <c r="S526" s="1" t="s">
        <v>4720</v>
      </c>
      <c r="T526" s="51" t="s">
        <v>4722</v>
      </c>
      <c r="U526" s="1" t="s">
        <v>4638</v>
      </c>
    </row>
    <row r="527" spans="1:21">
      <c r="A527" s="1" t="s">
        <v>237</v>
      </c>
      <c r="B527" s="1" t="s">
        <v>913</v>
      </c>
      <c r="C527" s="1" t="s">
        <v>209</v>
      </c>
      <c r="D527" s="1" t="s">
        <v>237</v>
      </c>
      <c r="E527" s="1" t="s">
        <v>4723</v>
      </c>
      <c r="F527" s="1" t="s">
        <v>4724</v>
      </c>
      <c r="H527" s="1" t="s">
        <v>237</v>
      </c>
      <c r="I527" s="1" t="s">
        <v>2897</v>
      </c>
      <c r="J527" s="1" t="s">
        <v>4297</v>
      </c>
      <c r="K527" s="1" t="s">
        <v>4725</v>
      </c>
      <c r="L527" s="1" t="s">
        <v>4553</v>
      </c>
      <c r="N527" s="1" t="s">
        <v>937</v>
      </c>
      <c r="O527" s="1" t="s">
        <v>780</v>
      </c>
      <c r="P527" s="1" t="s">
        <v>4726</v>
      </c>
      <c r="Q527" s="1" t="s">
        <v>4727</v>
      </c>
      <c r="R527" s="1"/>
      <c r="S527" s="1" t="s">
        <v>4726</v>
      </c>
      <c r="T527" s="51" t="s">
        <v>4728</v>
      </c>
      <c r="U527" s="1" t="s">
        <v>4729</v>
      </c>
    </row>
    <row r="528" spans="1:21">
      <c r="A528" s="1" t="s">
        <v>238</v>
      </c>
      <c r="B528" s="1" t="s">
        <v>685</v>
      </c>
      <c r="C528" s="1" t="s">
        <v>26</v>
      </c>
      <c r="D528" s="1" t="s">
        <v>238</v>
      </c>
      <c r="E528" s="1" t="s">
        <v>4730</v>
      </c>
      <c r="F528" s="1" t="s">
        <v>4731</v>
      </c>
      <c r="H528" s="1" t="s">
        <v>238</v>
      </c>
      <c r="I528" s="1" t="s">
        <v>2891</v>
      </c>
      <c r="J528" s="1" t="s">
        <v>4290</v>
      </c>
      <c r="K528" s="1" t="s">
        <v>4732</v>
      </c>
      <c r="L528" s="1" t="s">
        <v>4561</v>
      </c>
      <c r="N528" s="1" t="s">
        <v>937</v>
      </c>
      <c r="O528" s="1" t="s">
        <v>781</v>
      </c>
      <c r="P528" s="1" t="s">
        <v>4733</v>
      </c>
      <c r="Q528" s="1" t="s">
        <v>4734</v>
      </c>
      <c r="R528" s="1"/>
      <c r="S528" s="1" t="s">
        <v>4733</v>
      </c>
      <c r="T528" s="51" t="s">
        <v>4735</v>
      </c>
      <c r="U528" s="1" t="s">
        <v>4736</v>
      </c>
    </row>
    <row r="529" spans="1:21">
      <c r="A529" s="1" t="s">
        <v>239</v>
      </c>
      <c r="B529" s="1" t="s">
        <v>677</v>
      </c>
      <c r="C529" s="1" t="s">
        <v>20</v>
      </c>
      <c r="D529" s="1" t="s">
        <v>239</v>
      </c>
      <c r="E529" s="1" t="s">
        <v>4737</v>
      </c>
      <c r="F529" s="1" t="s">
        <v>4738</v>
      </c>
      <c r="H529" s="1" t="s">
        <v>239</v>
      </c>
      <c r="I529" s="1" t="s">
        <v>2883</v>
      </c>
      <c r="J529" s="1" t="s">
        <v>4281</v>
      </c>
      <c r="K529" s="1" t="s">
        <v>4739</v>
      </c>
      <c r="L529" s="1" t="s">
        <v>4569</v>
      </c>
      <c r="N529" s="1" t="s">
        <v>937</v>
      </c>
      <c r="O529" s="1" t="s">
        <v>782</v>
      </c>
      <c r="P529" s="1" t="s">
        <v>4740</v>
      </c>
      <c r="Q529" s="1" t="s">
        <v>4741</v>
      </c>
      <c r="R529" s="1"/>
      <c r="S529" s="1" t="s">
        <v>4740</v>
      </c>
      <c r="T529" s="51" t="s">
        <v>4742</v>
      </c>
      <c r="U529" s="1" t="s">
        <v>4111</v>
      </c>
    </row>
    <row r="530" spans="1:21">
      <c r="A530" s="1" t="s">
        <v>240</v>
      </c>
      <c r="B530" s="1" t="s">
        <v>675</v>
      </c>
      <c r="C530" s="1"/>
      <c r="D530" s="1" t="s">
        <v>240</v>
      </c>
      <c r="E530" s="1" t="s">
        <v>4743</v>
      </c>
      <c r="F530" s="1" t="s">
        <v>4744</v>
      </c>
      <c r="H530" s="1" t="s">
        <v>240</v>
      </c>
      <c r="I530" s="1" t="s">
        <v>2875</v>
      </c>
      <c r="J530" s="1" t="s">
        <v>4274</v>
      </c>
      <c r="K530" s="1" t="s">
        <v>4745</v>
      </c>
      <c r="L530" s="1" t="s">
        <v>4577</v>
      </c>
      <c r="N530" s="1" t="s">
        <v>937</v>
      </c>
      <c r="O530" s="1" t="s">
        <v>783</v>
      </c>
      <c r="P530" s="1" t="s">
        <v>4746</v>
      </c>
      <c r="Q530" s="1" t="s">
        <v>4747</v>
      </c>
      <c r="R530" s="1"/>
      <c r="S530" s="1" t="s">
        <v>4746</v>
      </c>
      <c r="T530" s="51" t="s">
        <v>4748</v>
      </c>
      <c r="U530" s="1" t="s">
        <v>4322</v>
      </c>
    </row>
    <row r="531" spans="1:21">
      <c r="A531" s="1" t="s">
        <v>241</v>
      </c>
      <c r="B531" s="1" t="s">
        <v>715</v>
      </c>
      <c r="C531" s="1" t="s">
        <v>171</v>
      </c>
      <c r="D531" s="1" t="s">
        <v>241</v>
      </c>
      <c r="E531" s="1" t="s">
        <v>4749</v>
      </c>
      <c r="F531" s="1" t="s">
        <v>4750</v>
      </c>
      <c r="H531" s="1" t="s">
        <v>241</v>
      </c>
      <c r="I531" s="1" t="s">
        <v>2867</v>
      </c>
      <c r="J531" s="1" t="s">
        <v>4265</v>
      </c>
      <c r="K531" s="1" t="s">
        <v>4751</v>
      </c>
      <c r="L531" s="1" t="s">
        <v>4584</v>
      </c>
      <c r="N531" s="1" t="s">
        <v>937</v>
      </c>
      <c r="O531" s="1" t="s">
        <v>784</v>
      </c>
      <c r="P531" s="1" t="s">
        <v>4752</v>
      </c>
      <c r="Q531" s="1" t="s">
        <v>4356</v>
      </c>
      <c r="R531" s="1"/>
      <c r="S531" s="1" t="s">
        <v>4752</v>
      </c>
      <c r="T531" s="51" t="s">
        <v>4753</v>
      </c>
      <c r="U531" s="1" t="s">
        <v>4754</v>
      </c>
    </row>
    <row r="532" spans="1:21">
      <c r="A532" s="1" t="s">
        <v>242</v>
      </c>
      <c r="B532" s="1" t="s">
        <v>899</v>
      </c>
      <c r="C532" s="1"/>
      <c r="D532" s="1" t="s">
        <v>242</v>
      </c>
      <c r="E532" s="1" t="s">
        <v>4755</v>
      </c>
      <c r="F532" s="1" t="s">
        <v>4756</v>
      </c>
      <c r="H532" s="1" t="s">
        <v>242</v>
      </c>
      <c r="I532" s="1" t="s">
        <v>2859</v>
      </c>
      <c r="J532" s="1" t="s">
        <v>4257</v>
      </c>
      <c r="K532" s="1" t="s">
        <v>4757</v>
      </c>
      <c r="L532" s="1" t="s">
        <v>4592</v>
      </c>
      <c r="N532" s="1" t="s">
        <v>937</v>
      </c>
      <c r="O532" s="1" t="s">
        <v>785</v>
      </c>
      <c r="P532" s="1" t="s">
        <v>4758</v>
      </c>
      <c r="Q532" s="1" t="s">
        <v>4153</v>
      </c>
      <c r="R532" s="1"/>
      <c r="S532" s="1" t="s">
        <v>4758</v>
      </c>
      <c r="T532" s="51" t="s">
        <v>4759</v>
      </c>
      <c r="U532" s="1" t="s">
        <v>4760</v>
      </c>
    </row>
    <row r="533" spans="1:21">
      <c r="A533" s="1" t="s">
        <v>243</v>
      </c>
      <c r="B533" s="1" t="s">
        <v>831</v>
      </c>
      <c r="C533" s="1"/>
      <c r="D533" s="1" t="s">
        <v>243</v>
      </c>
      <c r="E533" s="1" t="s">
        <v>4761</v>
      </c>
      <c r="F533" s="1" t="s">
        <v>4762</v>
      </c>
      <c r="H533" s="1" t="s">
        <v>243</v>
      </c>
      <c r="I533" s="1" t="s">
        <v>2852</v>
      </c>
      <c r="J533" s="1" t="s">
        <v>4250</v>
      </c>
      <c r="K533" s="1" t="s">
        <v>4763</v>
      </c>
      <c r="L533" s="1" t="s">
        <v>4600</v>
      </c>
      <c r="N533" s="1" t="s">
        <v>937</v>
      </c>
      <c r="O533" s="1" t="s">
        <v>786</v>
      </c>
      <c r="P533" s="1" t="s">
        <v>4764</v>
      </c>
      <c r="Q533" s="1" t="s">
        <v>3972</v>
      </c>
      <c r="R533" s="1"/>
      <c r="S533" s="1" t="s">
        <v>4764</v>
      </c>
      <c r="T533" s="51" t="s">
        <v>4765</v>
      </c>
      <c r="U533" s="1" t="s">
        <v>4766</v>
      </c>
    </row>
    <row r="534" spans="1:21">
      <c r="A534" s="1" t="s">
        <v>244</v>
      </c>
      <c r="B534" s="1" t="s">
        <v>889</v>
      </c>
      <c r="C534" s="1"/>
      <c r="D534" s="1" t="s">
        <v>244</v>
      </c>
      <c r="E534" s="1" t="s">
        <v>4767</v>
      </c>
      <c r="F534" s="1" t="s">
        <v>4768</v>
      </c>
      <c r="H534" s="1" t="s">
        <v>244</v>
      </c>
      <c r="I534" s="1" t="s">
        <v>2844</v>
      </c>
      <c r="J534" s="1" t="s">
        <v>4241</v>
      </c>
      <c r="K534" s="1" t="s">
        <v>4769</v>
      </c>
      <c r="L534" s="1" t="s">
        <v>4607</v>
      </c>
      <c r="N534" s="1" t="s">
        <v>937</v>
      </c>
      <c r="O534" s="1" t="s">
        <v>787</v>
      </c>
      <c r="P534" s="1" t="s">
        <v>4770</v>
      </c>
      <c r="Q534" s="1" t="s">
        <v>4771</v>
      </c>
      <c r="R534" s="1"/>
      <c r="S534" s="1" t="s">
        <v>4770</v>
      </c>
      <c r="T534" s="51" t="s">
        <v>4772</v>
      </c>
      <c r="U534" s="1" t="s">
        <v>4700</v>
      </c>
    </row>
    <row r="535" spans="1:21">
      <c r="A535" s="1" t="s">
        <v>245</v>
      </c>
      <c r="B535" s="1" t="s">
        <v>841</v>
      </c>
      <c r="C535" s="1"/>
      <c r="D535" s="1" t="s">
        <v>245</v>
      </c>
      <c r="E535" s="1" t="s">
        <v>4773</v>
      </c>
      <c r="F535" s="1" t="s">
        <v>4774</v>
      </c>
      <c r="H535" s="1" t="s">
        <v>245</v>
      </c>
      <c r="I535" s="1" t="s">
        <v>2837</v>
      </c>
      <c r="J535" s="1" t="s">
        <v>4232</v>
      </c>
      <c r="K535" s="1" t="s">
        <v>4775</v>
      </c>
      <c r="L535" s="1" t="s">
        <v>4615</v>
      </c>
      <c r="N535" s="1" t="s">
        <v>937</v>
      </c>
      <c r="O535" s="1" t="s">
        <v>788</v>
      </c>
      <c r="P535" s="1" t="s">
        <v>4776</v>
      </c>
      <c r="Q535" s="1" t="s">
        <v>4777</v>
      </c>
      <c r="R535" s="1"/>
      <c r="S535" s="1" t="s">
        <v>4776</v>
      </c>
      <c r="T535" s="51" t="s">
        <v>4778</v>
      </c>
      <c r="U535" s="1" t="s">
        <v>4779</v>
      </c>
    </row>
    <row r="536" spans="1:21">
      <c r="A536" s="1" t="s">
        <v>246</v>
      </c>
      <c r="B536" s="1" t="s">
        <v>853</v>
      </c>
      <c r="C536" s="1"/>
      <c r="D536" s="1" t="s">
        <v>246</v>
      </c>
      <c r="E536" s="1" t="s">
        <v>4780</v>
      </c>
      <c r="F536" s="1" t="s">
        <v>4781</v>
      </c>
      <c r="H536" s="1" t="s">
        <v>246</v>
      </c>
      <c r="I536" s="1" t="s">
        <v>2829</v>
      </c>
      <c r="J536" s="1" t="s">
        <v>4223</v>
      </c>
      <c r="K536" s="1" t="s">
        <v>4782</v>
      </c>
      <c r="L536" s="1" t="s">
        <v>4620</v>
      </c>
      <c r="N536" s="1" t="s">
        <v>937</v>
      </c>
      <c r="O536" s="1" t="s">
        <v>789</v>
      </c>
      <c r="P536" s="1" t="s">
        <v>4783</v>
      </c>
      <c r="Q536" s="1" t="s">
        <v>4784</v>
      </c>
      <c r="R536" s="1"/>
      <c r="S536" s="1" t="s">
        <v>4783</v>
      </c>
      <c r="T536" s="51" t="s">
        <v>4785</v>
      </c>
      <c r="U536" s="1" t="s">
        <v>4786</v>
      </c>
    </row>
    <row r="537" spans="1:21">
      <c r="A537" s="1" t="s">
        <v>247</v>
      </c>
      <c r="B537" s="1" t="s">
        <v>881</v>
      </c>
      <c r="C537" s="1"/>
      <c r="D537" s="1" t="s">
        <v>247</v>
      </c>
      <c r="E537" s="1" t="s">
        <v>4787</v>
      </c>
      <c r="F537" s="1" t="s">
        <v>4788</v>
      </c>
      <c r="H537" s="1" t="s">
        <v>247</v>
      </c>
      <c r="I537" s="1" t="s">
        <v>2822</v>
      </c>
      <c r="J537" s="1" t="s">
        <v>2535</v>
      </c>
      <c r="K537" s="1" t="s">
        <v>4789</v>
      </c>
      <c r="L537" s="1" t="s">
        <v>4627</v>
      </c>
      <c r="N537" s="1" t="s">
        <v>937</v>
      </c>
      <c r="O537" s="1" t="s">
        <v>790</v>
      </c>
      <c r="P537" s="1" t="s">
        <v>4790</v>
      </c>
      <c r="Q537" s="1" t="s">
        <v>4404</v>
      </c>
      <c r="R537" s="1"/>
      <c r="S537" s="1" t="s">
        <v>4790</v>
      </c>
      <c r="T537" s="51" t="s">
        <v>4791</v>
      </c>
      <c r="U537" s="1" t="s">
        <v>4689</v>
      </c>
    </row>
    <row r="538" spans="1:21">
      <c r="A538" s="1" t="s">
        <v>248</v>
      </c>
      <c r="B538" s="1" t="s">
        <v>703</v>
      </c>
      <c r="C538" s="1" t="s">
        <v>203</v>
      </c>
      <c r="D538" s="1" t="s">
        <v>248</v>
      </c>
      <c r="E538" s="1" t="s">
        <v>4792</v>
      </c>
      <c r="F538" s="1" t="s">
        <v>4793</v>
      </c>
      <c r="H538" s="1" t="s">
        <v>248</v>
      </c>
      <c r="I538" s="1" t="s">
        <v>2814</v>
      </c>
      <c r="J538" s="1" t="s">
        <v>1502</v>
      </c>
      <c r="K538" s="1" t="s">
        <v>4794</v>
      </c>
      <c r="L538" s="1" t="s">
        <v>4635</v>
      </c>
      <c r="N538" s="1" t="s">
        <v>937</v>
      </c>
      <c r="O538" s="1" t="s">
        <v>791</v>
      </c>
      <c r="P538" s="1" t="s">
        <v>4795</v>
      </c>
      <c r="Q538" s="1" t="s">
        <v>4766</v>
      </c>
      <c r="R538" s="1"/>
      <c r="S538" s="1" t="s">
        <v>4795</v>
      </c>
      <c r="T538" s="51" t="s">
        <v>4796</v>
      </c>
      <c r="U538" s="1" t="s">
        <v>4797</v>
      </c>
    </row>
    <row r="539" spans="1:21">
      <c r="A539" s="1" t="s">
        <v>249</v>
      </c>
      <c r="B539" s="1" t="s">
        <v>669</v>
      </c>
      <c r="C539" s="1"/>
      <c r="D539" s="1" t="s">
        <v>249</v>
      </c>
      <c r="E539" s="1" t="s">
        <v>4798</v>
      </c>
      <c r="F539" s="1" t="s">
        <v>4799</v>
      </c>
      <c r="H539" s="1" t="s">
        <v>249</v>
      </c>
      <c r="I539" s="1" t="s">
        <v>2806</v>
      </c>
      <c r="J539" s="1" t="s">
        <v>4198</v>
      </c>
      <c r="K539" s="1" t="s">
        <v>4800</v>
      </c>
      <c r="L539" s="1" t="s">
        <v>4643</v>
      </c>
      <c r="N539" s="1" t="s">
        <v>937</v>
      </c>
      <c r="O539" s="1" t="s">
        <v>792</v>
      </c>
      <c r="P539" s="1" t="s">
        <v>4801</v>
      </c>
      <c r="Q539" s="1" t="s">
        <v>4802</v>
      </c>
      <c r="R539" s="1"/>
      <c r="S539" s="1" t="s">
        <v>4801</v>
      </c>
      <c r="T539" s="51" t="s">
        <v>4803</v>
      </c>
      <c r="U539" s="1" t="s">
        <v>4091</v>
      </c>
    </row>
    <row r="540" spans="1:21">
      <c r="A540" s="1" t="s">
        <v>250</v>
      </c>
      <c r="B540" s="1" t="s">
        <v>697</v>
      </c>
      <c r="C540" s="1"/>
      <c r="D540" s="1" t="s">
        <v>250</v>
      </c>
      <c r="E540" s="1" t="s">
        <v>4804</v>
      </c>
      <c r="F540" s="1" t="s">
        <v>4805</v>
      </c>
      <c r="H540" s="1" t="s">
        <v>250</v>
      </c>
      <c r="I540" s="1" t="s">
        <v>2798</v>
      </c>
      <c r="J540" s="1" t="s">
        <v>1468</v>
      </c>
      <c r="K540" s="1" t="s">
        <v>4806</v>
      </c>
      <c r="L540" s="1" t="s">
        <v>4651</v>
      </c>
      <c r="N540" s="1" t="s">
        <v>937</v>
      </c>
      <c r="O540" s="1" t="s">
        <v>793</v>
      </c>
      <c r="P540" s="1" t="s">
        <v>4807</v>
      </c>
      <c r="Q540" s="1" t="s">
        <v>4808</v>
      </c>
      <c r="R540" s="1"/>
      <c r="S540" s="1" t="s">
        <v>4807</v>
      </c>
      <c r="T540" s="51" t="s">
        <v>4809</v>
      </c>
      <c r="U540" s="1" t="s">
        <v>4354</v>
      </c>
    </row>
    <row r="541" spans="1:21">
      <c r="A541" s="1" t="s">
        <v>251</v>
      </c>
      <c r="B541" s="1" t="s">
        <v>869</v>
      </c>
      <c r="C541" s="1"/>
      <c r="D541" s="1" t="s">
        <v>251</v>
      </c>
      <c r="E541" s="1" t="s">
        <v>4810</v>
      </c>
      <c r="F541" s="1" t="s">
        <v>4811</v>
      </c>
      <c r="H541" s="1" t="s">
        <v>251</v>
      </c>
      <c r="I541" s="1" t="s">
        <v>2791</v>
      </c>
      <c r="J541" s="1" t="s">
        <v>4183</v>
      </c>
      <c r="K541" s="1" t="s">
        <v>4812</v>
      </c>
      <c r="L541" s="1" t="s">
        <v>4658</v>
      </c>
      <c r="N541" s="1" t="s">
        <v>937</v>
      </c>
      <c r="O541" s="1" t="s">
        <v>794</v>
      </c>
      <c r="P541" s="1" t="s">
        <v>4813</v>
      </c>
      <c r="Q541" s="1" t="s">
        <v>4760</v>
      </c>
      <c r="R541" s="1"/>
      <c r="S541" s="1" t="s">
        <v>4813</v>
      </c>
      <c r="T541" s="51" t="s">
        <v>4814</v>
      </c>
      <c r="U541" s="1" t="s">
        <v>4815</v>
      </c>
    </row>
    <row r="542" spans="1:21">
      <c r="A542" s="1" t="s">
        <v>252</v>
      </c>
      <c r="B542" s="1" t="s">
        <v>875</v>
      </c>
      <c r="C542" s="1"/>
      <c r="D542" s="1" t="s">
        <v>252</v>
      </c>
      <c r="E542" s="1" t="s">
        <v>4816</v>
      </c>
      <c r="F542" s="1" t="s">
        <v>4817</v>
      </c>
      <c r="H542" s="1" t="s">
        <v>252</v>
      </c>
      <c r="I542" s="1" t="s">
        <v>2784</v>
      </c>
      <c r="J542" s="1" t="s">
        <v>4174</v>
      </c>
      <c r="K542" s="1" t="s">
        <v>4818</v>
      </c>
      <c r="L542" s="1" t="s">
        <v>4665</v>
      </c>
      <c r="N542" s="1" t="s">
        <v>937</v>
      </c>
      <c r="O542" s="1" t="s">
        <v>795</v>
      </c>
      <c r="P542" s="1" t="s">
        <v>4819</v>
      </c>
      <c r="Q542" s="1" t="s">
        <v>4820</v>
      </c>
      <c r="R542" s="1"/>
      <c r="S542" s="1" t="s">
        <v>4819</v>
      </c>
      <c r="T542" s="51" t="s">
        <v>4821</v>
      </c>
      <c r="U542" s="1" t="s">
        <v>4822</v>
      </c>
    </row>
    <row r="543" spans="1:21">
      <c r="A543" s="1" t="s">
        <v>253</v>
      </c>
      <c r="B543" s="1" t="s">
        <v>905</v>
      </c>
      <c r="C543" s="1"/>
      <c r="D543" s="1" t="s">
        <v>253</v>
      </c>
      <c r="E543" s="1" t="s">
        <v>4823</v>
      </c>
      <c r="F543" s="1" t="s">
        <v>4824</v>
      </c>
      <c r="H543" s="1" t="s">
        <v>253</v>
      </c>
      <c r="I543" s="1" t="s">
        <v>2777</v>
      </c>
      <c r="J543" s="1" t="s">
        <v>4165</v>
      </c>
      <c r="K543" s="1" t="s">
        <v>4825</v>
      </c>
      <c r="L543" s="1" t="s">
        <v>4672</v>
      </c>
      <c r="N543" s="1" t="s">
        <v>937</v>
      </c>
      <c r="O543" s="1" t="s">
        <v>796</v>
      </c>
      <c r="P543" s="1" t="s">
        <v>4826</v>
      </c>
      <c r="Q543" s="1" t="s">
        <v>4827</v>
      </c>
      <c r="R543" s="1"/>
      <c r="S543" s="1" t="s">
        <v>4826</v>
      </c>
      <c r="T543" s="51" t="s">
        <v>4828</v>
      </c>
      <c r="U543" s="1" t="s">
        <v>4829</v>
      </c>
    </row>
    <row r="544" spans="1:21">
      <c r="A544" s="1" t="s">
        <v>254</v>
      </c>
      <c r="B544" s="1" t="s">
        <v>865</v>
      </c>
      <c r="C544" s="1"/>
      <c r="D544" s="1" t="s">
        <v>254</v>
      </c>
      <c r="E544" s="1" t="s">
        <v>4830</v>
      </c>
      <c r="F544" s="1" t="s">
        <v>4831</v>
      </c>
      <c r="H544" s="1" t="s">
        <v>254</v>
      </c>
      <c r="I544" s="1" t="s">
        <v>2770</v>
      </c>
      <c r="J544" s="1" t="s">
        <v>4158</v>
      </c>
      <c r="K544" s="1" t="s">
        <v>4832</v>
      </c>
      <c r="L544" s="1" t="s">
        <v>4679</v>
      </c>
      <c r="N544" s="1" t="s">
        <v>937</v>
      </c>
      <c r="O544" s="1" t="s">
        <v>797</v>
      </c>
      <c r="P544" s="1" t="s">
        <v>4833</v>
      </c>
      <c r="Q544" s="1" t="s">
        <v>4640</v>
      </c>
      <c r="R544" s="1"/>
      <c r="S544" s="1" t="s">
        <v>4833</v>
      </c>
      <c r="T544" s="51" t="s">
        <v>4834</v>
      </c>
      <c r="U544" s="1" t="s">
        <v>4835</v>
      </c>
    </row>
    <row r="545" spans="1:21">
      <c r="A545" s="1" t="s">
        <v>255</v>
      </c>
      <c r="B545" s="1" t="s">
        <v>857</v>
      </c>
      <c r="C545" s="1"/>
      <c r="D545" s="1" t="s">
        <v>255</v>
      </c>
      <c r="E545" s="1" t="s">
        <v>2976</v>
      </c>
      <c r="F545" s="1" t="s">
        <v>2821</v>
      </c>
      <c r="H545" s="1" t="s">
        <v>255</v>
      </c>
      <c r="I545" s="1" t="s">
        <v>2763</v>
      </c>
      <c r="J545" s="1" t="s">
        <v>4149</v>
      </c>
      <c r="K545" s="1" t="s">
        <v>4836</v>
      </c>
      <c r="L545" s="1" t="s">
        <v>4686</v>
      </c>
      <c r="N545" s="1" t="s">
        <v>937</v>
      </c>
      <c r="O545" s="1" t="s">
        <v>798</v>
      </c>
      <c r="P545" s="1" t="s">
        <v>4837</v>
      </c>
      <c r="Q545" s="1" t="s">
        <v>4838</v>
      </c>
      <c r="R545" s="1"/>
      <c r="S545" s="1" t="s">
        <v>4837</v>
      </c>
      <c r="T545" s="51" t="s">
        <v>4839</v>
      </c>
      <c r="U545" s="1" t="s">
        <v>4840</v>
      </c>
    </row>
    <row r="546" spans="1:21">
      <c r="A546" s="1" t="s">
        <v>256</v>
      </c>
      <c r="B546" s="1" t="s">
        <v>845</v>
      </c>
      <c r="C546" s="1"/>
      <c r="D546" s="1" t="s">
        <v>256</v>
      </c>
      <c r="E546" s="1" t="s">
        <v>4841</v>
      </c>
      <c r="F546" s="1" t="s">
        <v>4842</v>
      </c>
      <c r="H546" s="1" t="s">
        <v>256</v>
      </c>
      <c r="I546" s="1" t="s">
        <v>2756</v>
      </c>
      <c r="J546" s="1" t="s">
        <v>4140</v>
      </c>
      <c r="K546" s="1" t="s">
        <v>4843</v>
      </c>
      <c r="L546" s="1" t="s">
        <v>4692</v>
      </c>
      <c r="N546" s="1" t="s">
        <v>937</v>
      </c>
      <c r="O546" s="1" t="s">
        <v>799</v>
      </c>
      <c r="P546" s="1" t="s">
        <v>4844</v>
      </c>
      <c r="Q546" s="1" t="s">
        <v>4845</v>
      </c>
      <c r="R546" s="1"/>
      <c r="S546" s="1" t="s">
        <v>4844</v>
      </c>
      <c r="T546" s="51" t="s">
        <v>4846</v>
      </c>
      <c r="U546" s="1" t="s">
        <v>4847</v>
      </c>
    </row>
    <row r="547" spans="1:21">
      <c r="H547" s="1"/>
      <c r="I547" s="1" t="s">
        <v>4848</v>
      </c>
      <c r="J547" s="1" t="s">
        <v>4849</v>
      </c>
      <c r="K547" s="1" t="s">
        <v>4850</v>
      </c>
      <c r="L547" s="1" t="s">
        <v>4851</v>
      </c>
      <c r="N547" s="1" t="s">
        <v>937</v>
      </c>
      <c r="O547" s="1" t="s">
        <v>800</v>
      </c>
      <c r="P547" s="1" t="s">
        <v>4852</v>
      </c>
      <c r="Q547" s="1" t="s">
        <v>4853</v>
      </c>
      <c r="R547" s="1"/>
      <c r="S547" s="1" t="s">
        <v>4852</v>
      </c>
      <c r="T547" s="51" t="s">
        <v>4854</v>
      </c>
      <c r="U547" s="1" t="s">
        <v>4855</v>
      </c>
    </row>
    <row r="548" spans="1:21">
      <c r="H548" s="1"/>
      <c r="I548" s="1" t="s">
        <v>4856</v>
      </c>
      <c r="J548" s="1" t="s">
        <v>4857</v>
      </c>
      <c r="K548" s="1" t="s">
        <v>4858</v>
      </c>
      <c r="L548" s="1" t="s">
        <v>4859</v>
      </c>
      <c r="N548" s="1" t="s">
        <v>937</v>
      </c>
      <c r="O548" s="1" t="s">
        <v>801</v>
      </c>
      <c r="P548" s="1" t="s">
        <v>4860</v>
      </c>
      <c r="Q548" s="1" t="s">
        <v>4861</v>
      </c>
      <c r="R548" s="1"/>
      <c r="S548" s="1" t="s">
        <v>4860</v>
      </c>
      <c r="T548" s="51" t="s">
        <v>4862</v>
      </c>
      <c r="U548" s="1" t="s">
        <v>4259</v>
      </c>
    </row>
    <row r="549" spans="1:21">
      <c r="H549" s="1"/>
      <c r="I549" s="1" t="s">
        <v>4863</v>
      </c>
      <c r="J549" s="1" t="s">
        <v>4864</v>
      </c>
      <c r="K549" s="1" t="s">
        <v>4865</v>
      </c>
      <c r="L549" s="1" t="s">
        <v>4866</v>
      </c>
      <c r="N549" s="1" t="s">
        <v>937</v>
      </c>
      <c r="O549" s="1" t="s">
        <v>802</v>
      </c>
      <c r="P549" s="1" t="s">
        <v>4867</v>
      </c>
      <c r="Q549" s="1" t="s">
        <v>4729</v>
      </c>
      <c r="R549" s="1"/>
      <c r="S549" s="1" t="s">
        <v>4867</v>
      </c>
      <c r="T549" s="51" t="s">
        <v>4868</v>
      </c>
      <c r="U549" s="1" t="s">
        <v>4646</v>
      </c>
    </row>
    <row r="550" spans="1:21">
      <c r="H550" s="1"/>
      <c r="I550" s="1" t="s">
        <v>4869</v>
      </c>
      <c r="J550" s="1" t="s">
        <v>4870</v>
      </c>
      <c r="K550" s="1" t="s">
        <v>4871</v>
      </c>
      <c r="L550" s="1" t="s">
        <v>4872</v>
      </c>
      <c r="N550" s="1" t="s">
        <v>937</v>
      </c>
      <c r="O550" s="1" t="s">
        <v>803</v>
      </c>
      <c r="P550" s="1" t="s">
        <v>4873</v>
      </c>
      <c r="Q550" s="1" t="s">
        <v>4069</v>
      </c>
      <c r="R550" s="1"/>
      <c r="S550" s="1" t="s">
        <v>4873</v>
      </c>
      <c r="T550" s="51" t="s">
        <v>4874</v>
      </c>
      <c r="U550" s="1" t="s">
        <v>4875</v>
      </c>
    </row>
    <row r="551" spans="1:21">
      <c r="H551" s="1"/>
      <c r="I551" s="1" t="s">
        <v>4876</v>
      </c>
      <c r="J551" s="1" t="s">
        <v>4877</v>
      </c>
      <c r="K551" s="1" t="s">
        <v>4878</v>
      </c>
      <c r="L551" s="1" t="s">
        <v>4879</v>
      </c>
      <c r="N551" s="1" t="s">
        <v>937</v>
      </c>
      <c r="O551" s="1" t="s">
        <v>804</v>
      </c>
      <c r="P551" s="1" t="s">
        <v>4880</v>
      </c>
      <c r="Q551" s="1" t="s">
        <v>4648</v>
      </c>
      <c r="R551" s="1"/>
      <c r="S551" s="1" t="s">
        <v>4880</v>
      </c>
      <c r="T551" s="51" t="s">
        <v>4881</v>
      </c>
      <c r="U551" s="1" t="s">
        <v>4882</v>
      </c>
    </row>
    <row r="552" spans="1:21">
      <c r="H552" s="1"/>
      <c r="I552" s="1" t="s">
        <v>4883</v>
      </c>
      <c r="J552" s="1" t="s">
        <v>4884</v>
      </c>
      <c r="K552" s="1" t="s">
        <v>4885</v>
      </c>
      <c r="L552" s="1" t="s">
        <v>4886</v>
      </c>
      <c r="N552" s="1" t="s">
        <v>937</v>
      </c>
      <c r="O552" s="1" t="s">
        <v>805</v>
      </c>
      <c r="P552" s="1" t="s">
        <v>4887</v>
      </c>
      <c r="Q552" s="1" t="s">
        <v>4888</v>
      </c>
      <c r="R552" s="1"/>
      <c r="S552" s="1" t="s">
        <v>4887</v>
      </c>
      <c r="T552" s="51" t="s">
        <v>4889</v>
      </c>
      <c r="U552" s="1" t="s">
        <v>4890</v>
      </c>
    </row>
    <row r="553" spans="1:21">
      <c r="H553" s="1"/>
      <c r="I553" s="1" t="s">
        <v>4891</v>
      </c>
      <c r="J553" s="1" t="s">
        <v>4892</v>
      </c>
      <c r="K553" s="1" t="s">
        <v>4893</v>
      </c>
      <c r="L553" s="1" t="s">
        <v>4894</v>
      </c>
      <c r="N553" s="1" t="s">
        <v>937</v>
      </c>
      <c r="O553" s="1" t="s">
        <v>806</v>
      </c>
      <c r="P553" s="1" t="s">
        <v>4895</v>
      </c>
      <c r="Q553" s="1" t="s">
        <v>4210</v>
      </c>
      <c r="R553" s="1"/>
      <c r="S553" s="1" t="s">
        <v>4895</v>
      </c>
      <c r="T553" s="51" t="s">
        <v>4896</v>
      </c>
      <c r="U553" s="1" t="s">
        <v>4897</v>
      </c>
    </row>
    <row r="554" spans="1:21">
      <c r="H554" s="1"/>
      <c r="I554" s="1" t="s">
        <v>4898</v>
      </c>
      <c r="J554" s="1" t="s">
        <v>4899</v>
      </c>
      <c r="K554" s="1" t="s">
        <v>4900</v>
      </c>
      <c r="L554" s="1" t="s">
        <v>4901</v>
      </c>
      <c r="N554" s="1" t="s">
        <v>937</v>
      </c>
      <c r="O554" s="1" t="s">
        <v>807</v>
      </c>
      <c r="P554" s="1" t="s">
        <v>4902</v>
      </c>
      <c r="Q554" s="1" t="s">
        <v>4754</v>
      </c>
      <c r="R554" s="1"/>
      <c r="S554" s="1" t="s">
        <v>4902</v>
      </c>
      <c r="T554" s="51" t="s">
        <v>4903</v>
      </c>
      <c r="U554" s="1" t="s">
        <v>4904</v>
      </c>
    </row>
    <row r="555" spans="1:21">
      <c r="H555" s="1"/>
      <c r="I555" s="1" t="s">
        <v>4905</v>
      </c>
      <c r="J555" s="1" t="s">
        <v>4906</v>
      </c>
      <c r="K555" s="1" t="s">
        <v>4907</v>
      </c>
      <c r="L555" s="1" t="s">
        <v>4908</v>
      </c>
      <c r="N555" s="1" t="s">
        <v>937</v>
      </c>
      <c r="O555" s="1" t="s">
        <v>233</v>
      </c>
      <c r="P555" s="1" t="s">
        <v>4909</v>
      </c>
      <c r="Q555" s="1" t="s">
        <v>4518</v>
      </c>
      <c r="R555" s="1"/>
      <c r="S555" s="1" t="s">
        <v>4909</v>
      </c>
      <c r="T555" s="51" t="s">
        <v>4910</v>
      </c>
      <c r="U555" s="1" t="s">
        <v>4378</v>
      </c>
    </row>
    <row r="556" spans="1:21">
      <c r="H556" s="1"/>
      <c r="I556" s="1" t="s">
        <v>4911</v>
      </c>
      <c r="J556" s="1" t="s">
        <v>4912</v>
      </c>
      <c r="K556" s="1" t="s">
        <v>4913</v>
      </c>
      <c r="L556" s="1" t="s">
        <v>4914</v>
      </c>
      <c r="N556" s="1" t="s">
        <v>937</v>
      </c>
      <c r="O556" s="1" t="s">
        <v>234</v>
      </c>
      <c r="P556" s="1" t="s">
        <v>4915</v>
      </c>
      <c r="Q556" s="1" t="s">
        <v>4916</v>
      </c>
      <c r="R556" s="1"/>
      <c r="S556" s="1" t="s">
        <v>4915</v>
      </c>
      <c r="T556" s="51" t="s">
        <v>4917</v>
      </c>
      <c r="U556" s="1" t="s">
        <v>4918</v>
      </c>
    </row>
    <row r="557" spans="1:21">
      <c r="H557" s="1"/>
      <c r="I557" s="1" t="s">
        <v>4919</v>
      </c>
      <c r="J557" s="1" t="s">
        <v>4920</v>
      </c>
      <c r="K557" s="1" t="s">
        <v>4921</v>
      </c>
      <c r="L557" s="1" t="s">
        <v>4922</v>
      </c>
      <c r="N557" s="1" t="s">
        <v>937</v>
      </c>
      <c r="O557" s="1" t="s">
        <v>235</v>
      </c>
      <c r="P557" s="1" t="s">
        <v>4923</v>
      </c>
      <c r="Q557" s="1" t="s">
        <v>4924</v>
      </c>
      <c r="R557" s="1"/>
      <c r="S557" s="1" t="s">
        <v>4923</v>
      </c>
      <c r="T557" s="51" t="s">
        <v>4925</v>
      </c>
      <c r="U557" s="1" t="s">
        <v>4741</v>
      </c>
    </row>
    <row r="558" spans="1:21">
      <c r="H558" s="1"/>
      <c r="I558" s="1" t="s">
        <v>4926</v>
      </c>
      <c r="J558" s="1" t="s">
        <v>2792</v>
      </c>
      <c r="K558" s="1" t="s">
        <v>4927</v>
      </c>
      <c r="L558" s="1" t="s">
        <v>4928</v>
      </c>
      <c r="N558" s="1" t="s">
        <v>937</v>
      </c>
      <c r="O558" s="1" t="s">
        <v>236</v>
      </c>
      <c r="P558" s="1" t="s">
        <v>4929</v>
      </c>
      <c r="Q558" s="1" t="s">
        <v>4930</v>
      </c>
      <c r="R558" s="1"/>
      <c r="S558" s="1" t="s">
        <v>4929</v>
      </c>
      <c r="T558" s="51" t="s">
        <v>4931</v>
      </c>
      <c r="U558" s="1" t="s">
        <v>4682</v>
      </c>
    </row>
    <row r="559" spans="1:21">
      <c r="H559" s="1"/>
      <c r="I559" s="1" t="s">
        <v>4932</v>
      </c>
      <c r="J559" s="1" t="s">
        <v>4933</v>
      </c>
      <c r="K559" s="1" t="s">
        <v>4934</v>
      </c>
      <c r="L559" s="1" t="s">
        <v>4935</v>
      </c>
      <c r="N559" s="1" t="s">
        <v>937</v>
      </c>
      <c r="O559" s="1" t="s">
        <v>237</v>
      </c>
      <c r="P559" s="1" t="s">
        <v>4936</v>
      </c>
      <c r="Q559" s="1" t="s">
        <v>4779</v>
      </c>
      <c r="R559" s="1"/>
      <c r="S559" s="1" t="s">
        <v>4936</v>
      </c>
      <c r="T559" s="51" t="s">
        <v>4937</v>
      </c>
      <c r="U559" s="1" t="s">
        <v>4938</v>
      </c>
    </row>
    <row r="560" spans="1:21">
      <c r="H560" s="1"/>
      <c r="I560" s="1" t="s">
        <v>4939</v>
      </c>
      <c r="J560" s="1" t="s">
        <v>4940</v>
      </c>
      <c r="K560" s="1" t="s">
        <v>4941</v>
      </c>
      <c r="L560" s="1" t="s">
        <v>4942</v>
      </c>
      <c r="N560" s="1" t="s">
        <v>937</v>
      </c>
      <c r="O560" s="1" t="s">
        <v>238</v>
      </c>
      <c r="P560" s="1" t="s">
        <v>4943</v>
      </c>
      <c r="Q560" s="1" t="s">
        <v>4840</v>
      </c>
      <c r="R560" s="1"/>
      <c r="S560" s="1" t="s">
        <v>4943</v>
      </c>
      <c r="T560" s="51" t="s">
        <v>4944</v>
      </c>
      <c r="U560" s="1" t="s">
        <v>4945</v>
      </c>
    </row>
    <row r="561" spans="8:21">
      <c r="H561" s="1"/>
      <c r="I561" s="1" t="s">
        <v>4946</v>
      </c>
      <c r="J561" s="1" t="s">
        <v>4947</v>
      </c>
      <c r="K561" s="1" t="s">
        <v>4948</v>
      </c>
      <c r="L561" s="1" t="s">
        <v>4949</v>
      </c>
      <c r="N561" s="1" t="s">
        <v>937</v>
      </c>
      <c r="O561" s="1" t="s">
        <v>239</v>
      </c>
      <c r="P561" s="1" t="s">
        <v>4950</v>
      </c>
      <c r="Q561" s="1" t="s">
        <v>4951</v>
      </c>
      <c r="R561" s="1"/>
      <c r="S561" s="1" t="s">
        <v>4950</v>
      </c>
      <c r="T561" s="51" t="s">
        <v>4952</v>
      </c>
      <c r="U561" s="1" t="s">
        <v>4953</v>
      </c>
    </row>
    <row r="562" spans="8:21">
      <c r="H562" s="1"/>
      <c r="I562" s="1" t="s">
        <v>4954</v>
      </c>
      <c r="J562" s="1" t="s">
        <v>4955</v>
      </c>
      <c r="K562" s="1" t="s">
        <v>4956</v>
      </c>
      <c r="L562" s="1" t="s">
        <v>4957</v>
      </c>
      <c r="N562" s="1" t="s">
        <v>937</v>
      </c>
      <c r="O562" s="1" t="s">
        <v>240</v>
      </c>
      <c r="P562" s="1" t="s">
        <v>4958</v>
      </c>
      <c r="Q562" s="1" t="s">
        <v>4218</v>
      </c>
      <c r="R562" s="1"/>
      <c r="S562" s="1" t="s">
        <v>4958</v>
      </c>
      <c r="T562" s="51" t="s">
        <v>4959</v>
      </c>
      <c r="U562" s="1" t="s">
        <v>4960</v>
      </c>
    </row>
    <row r="563" spans="8:21">
      <c r="H563" s="1"/>
      <c r="I563" s="1" t="s">
        <v>4961</v>
      </c>
      <c r="J563" s="1" t="s">
        <v>4962</v>
      </c>
      <c r="K563" s="1" t="s">
        <v>4963</v>
      </c>
      <c r="L563" s="1" t="s">
        <v>4964</v>
      </c>
      <c r="N563" s="1" t="s">
        <v>937</v>
      </c>
      <c r="O563" s="1" t="s">
        <v>241</v>
      </c>
      <c r="P563" s="1" t="s">
        <v>4965</v>
      </c>
      <c r="Q563" s="1" t="s">
        <v>4702</v>
      </c>
      <c r="R563" s="1"/>
      <c r="S563" s="1" t="s">
        <v>4965</v>
      </c>
      <c r="T563" s="51" t="s">
        <v>4966</v>
      </c>
      <c r="U563" s="1" t="s">
        <v>4967</v>
      </c>
    </row>
    <row r="564" spans="8:21">
      <c r="H564" s="1"/>
      <c r="I564" s="1" t="s">
        <v>4968</v>
      </c>
      <c r="J564" s="1" t="s">
        <v>4969</v>
      </c>
      <c r="K564" s="1" t="s">
        <v>4970</v>
      </c>
      <c r="L564" s="1" t="s">
        <v>4971</v>
      </c>
      <c r="N564" s="1" t="s">
        <v>937</v>
      </c>
      <c r="O564" s="1" t="s">
        <v>242</v>
      </c>
      <c r="P564" s="1" t="s">
        <v>4972</v>
      </c>
      <c r="Q564" s="1" t="s">
        <v>4973</v>
      </c>
      <c r="R564" s="1"/>
      <c r="S564" s="1" t="s">
        <v>4972</v>
      </c>
      <c r="T564" s="51" t="s">
        <v>4974</v>
      </c>
      <c r="U564" s="1" t="s">
        <v>4370</v>
      </c>
    </row>
    <row r="565" spans="8:21">
      <c r="H565" s="1"/>
      <c r="I565" s="1" t="s">
        <v>4975</v>
      </c>
      <c r="J565" s="1" t="s">
        <v>4976</v>
      </c>
      <c r="K565" s="1" t="s">
        <v>4977</v>
      </c>
      <c r="L565" s="1" t="s">
        <v>4978</v>
      </c>
      <c r="N565" s="1" t="s">
        <v>937</v>
      </c>
      <c r="O565" s="1" t="s">
        <v>243</v>
      </c>
      <c r="P565" s="1" t="s">
        <v>4979</v>
      </c>
      <c r="Q565" s="1" t="s">
        <v>4097</v>
      </c>
      <c r="R565" s="1"/>
      <c r="S565" s="1" t="s">
        <v>4979</v>
      </c>
      <c r="T565" s="51" t="s">
        <v>4980</v>
      </c>
      <c r="U565" s="1" t="s">
        <v>4727</v>
      </c>
    </row>
    <row r="566" spans="8:21">
      <c r="H566" s="1"/>
      <c r="I566" s="1" t="s">
        <v>4981</v>
      </c>
      <c r="J566" s="1" t="s">
        <v>4982</v>
      </c>
      <c r="K566" s="1" t="s">
        <v>4983</v>
      </c>
      <c r="L566" s="1" t="s">
        <v>4984</v>
      </c>
      <c r="N566" s="1" t="s">
        <v>937</v>
      </c>
      <c r="O566" s="1" t="s">
        <v>244</v>
      </c>
      <c r="P566" s="1" t="s">
        <v>4985</v>
      </c>
      <c r="Q566" s="1" t="s">
        <v>4691</v>
      </c>
      <c r="R566" s="1"/>
      <c r="S566" s="1" t="s">
        <v>4985</v>
      </c>
      <c r="T566" s="51" t="s">
        <v>4986</v>
      </c>
      <c r="U566" s="1" t="s">
        <v>4987</v>
      </c>
    </row>
    <row r="567" spans="8:21">
      <c r="H567" s="1"/>
      <c r="I567" s="1" t="s">
        <v>4988</v>
      </c>
      <c r="J567" s="1" t="s">
        <v>4989</v>
      </c>
      <c r="K567" s="1" t="s">
        <v>4990</v>
      </c>
      <c r="L567" s="1" t="s">
        <v>4991</v>
      </c>
      <c r="N567" s="1" t="s">
        <v>937</v>
      </c>
      <c r="O567" s="1" t="s">
        <v>245</v>
      </c>
      <c r="P567" s="1" t="s">
        <v>4992</v>
      </c>
      <c r="Q567" s="1" t="s">
        <v>4632</v>
      </c>
      <c r="R567" s="1"/>
      <c r="S567" s="1" t="s">
        <v>4992</v>
      </c>
      <c r="T567" s="51" t="s">
        <v>4993</v>
      </c>
      <c r="U567" s="1" t="s">
        <v>4572</v>
      </c>
    </row>
    <row r="568" spans="8:21">
      <c r="H568" s="1"/>
      <c r="I568" s="1" t="s">
        <v>4994</v>
      </c>
      <c r="J568" s="1" t="s">
        <v>4995</v>
      </c>
      <c r="K568" s="1" t="s">
        <v>4996</v>
      </c>
      <c r="L568" s="1" t="s">
        <v>4997</v>
      </c>
      <c r="N568" s="1" t="s">
        <v>937</v>
      </c>
      <c r="O568" s="1" t="s">
        <v>246</v>
      </c>
      <c r="P568" s="1" t="s">
        <v>4998</v>
      </c>
      <c r="Q568" s="1" t="s">
        <v>4550</v>
      </c>
      <c r="R568" s="1"/>
      <c r="S568" s="1" t="s">
        <v>4998</v>
      </c>
      <c r="T568" s="51" t="s">
        <v>4999</v>
      </c>
      <c r="U568" s="1" t="s">
        <v>5000</v>
      </c>
    </row>
    <row r="569" spans="8:21">
      <c r="H569" s="1"/>
      <c r="I569" s="1" t="s">
        <v>5001</v>
      </c>
      <c r="J569" s="1" t="s">
        <v>5002</v>
      </c>
      <c r="K569" s="1" t="s">
        <v>5003</v>
      </c>
      <c r="L569" s="1" t="s">
        <v>5004</v>
      </c>
      <c r="N569" s="1" t="s">
        <v>937</v>
      </c>
      <c r="O569" s="1" t="s">
        <v>247</v>
      </c>
      <c r="P569" s="1" t="s">
        <v>5005</v>
      </c>
      <c r="Q569" s="1" t="s">
        <v>4031</v>
      </c>
      <c r="R569" s="1"/>
      <c r="S569" s="1" t="s">
        <v>5005</v>
      </c>
      <c r="T569" s="51" t="s">
        <v>5006</v>
      </c>
      <c r="U569" s="1" t="s">
        <v>5007</v>
      </c>
    </row>
    <row r="570" spans="8:21">
      <c r="H570" s="1"/>
      <c r="I570" s="1" t="s">
        <v>5008</v>
      </c>
      <c r="J570" s="1" t="s">
        <v>5009</v>
      </c>
      <c r="K570" s="1" t="s">
        <v>5010</v>
      </c>
      <c r="L570" s="1" t="s">
        <v>5011</v>
      </c>
      <c r="N570" s="1" t="s">
        <v>937</v>
      </c>
      <c r="O570" s="1" t="s">
        <v>248</v>
      </c>
      <c r="P570" s="1" t="s">
        <v>5012</v>
      </c>
      <c r="Q570" s="1" t="s">
        <v>4676</v>
      </c>
      <c r="R570" s="1"/>
      <c r="S570" s="1" t="s">
        <v>5012</v>
      </c>
      <c r="T570" s="51" t="s">
        <v>5013</v>
      </c>
      <c r="U570" s="1" t="s">
        <v>4630</v>
      </c>
    </row>
    <row r="571" spans="8:21">
      <c r="H571" s="1"/>
      <c r="I571" s="1" t="s">
        <v>5014</v>
      </c>
      <c r="J571" s="1" t="s">
        <v>5015</v>
      </c>
      <c r="K571" s="1" t="s">
        <v>5016</v>
      </c>
      <c r="L571" s="1" t="s">
        <v>5017</v>
      </c>
      <c r="N571" s="1" t="s">
        <v>937</v>
      </c>
      <c r="O571" s="1" t="s">
        <v>249</v>
      </c>
      <c r="P571" s="1" t="s">
        <v>5018</v>
      </c>
      <c r="Q571" s="1" t="s">
        <v>5019</v>
      </c>
      <c r="R571" s="1"/>
      <c r="S571" s="1" t="s">
        <v>5018</v>
      </c>
      <c r="T571" s="51" t="s">
        <v>5020</v>
      </c>
      <c r="U571" s="1" t="s">
        <v>4079</v>
      </c>
    </row>
    <row r="572" spans="8:21">
      <c r="H572" s="1"/>
      <c r="I572" s="1" t="s">
        <v>5021</v>
      </c>
      <c r="J572" s="1" t="s">
        <v>5022</v>
      </c>
      <c r="K572" s="1" t="s">
        <v>5023</v>
      </c>
      <c r="L572" s="1" t="s">
        <v>5024</v>
      </c>
      <c r="N572" s="1" t="s">
        <v>937</v>
      </c>
      <c r="O572" s="1" t="s">
        <v>250</v>
      </c>
      <c r="P572" s="1" t="s">
        <v>5025</v>
      </c>
      <c r="Q572" s="1" t="s">
        <v>5026</v>
      </c>
      <c r="R572" s="1"/>
      <c r="S572" s="1" t="s">
        <v>5025</v>
      </c>
      <c r="T572" s="51" t="s">
        <v>5027</v>
      </c>
      <c r="U572" s="1" t="s">
        <v>5028</v>
      </c>
    </row>
    <row r="573" spans="8:21">
      <c r="H573" s="1"/>
      <c r="I573" s="1" t="s">
        <v>5029</v>
      </c>
      <c r="J573" s="1" t="s">
        <v>5030</v>
      </c>
      <c r="K573" s="1" t="s">
        <v>5031</v>
      </c>
      <c r="L573" s="1" t="s">
        <v>5032</v>
      </c>
      <c r="N573" s="1" t="s">
        <v>937</v>
      </c>
      <c r="O573" s="1" t="s">
        <v>251</v>
      </c>
      <c r="P573" s="1" t="s">
        <v>5033</v>
      </c>
      <c r="Q573" s="1" t="s">
        <v>3930</v>
      </c>
      <c r="R573" s="1"/>
      <c r="S573" s="1" t="s">
        <v>5033</v>
      </c>
      <c r="T573" s="51" t="s">
        <v>5034</v>
      </c>
      <c r="U573" s="1" t="s">
        <v>5035</v>
      </c>
    </row>
    <row r="574" spans="8:21">
      <c r="H574" s="1"/>
      <c r="I574" s="1" t="s">
        <v>5036</v>
      </c>
      <c r="J574" s="1" t="s">
        <v>5037</v>
      </c>
      <c r="K574" s="1" t="s">
        <v>5038</v>
      </c>
      <c r="L574" s="1" t="s">
        <v>5039</v>
      </c>
      <c r="N574" s="1" t="s">
        <v>937</v>
      </c>
      <c r="O574" s="1" t="s">
        <v>252</v>
      </c>
      <c r="P574" s="1" t="s">
        <v>5040</v>
      </c>
      <c r="Q574" s="1" t="s">
        <v>5041</v>
      </c>
      <c r="R574" s="1"/>
      <c r="S574" s="1" t="s">
        <v>5040</v>
      </c>
      <c r="T574" s="51" t="s">
        <v>5042</v>
      </c>
      <c r="U574" s="1" t="s">
        <v>4930</v>
      </c>
    </row>
    <row r="575" spans="8:21">
      <c r="H575" s="1"/>
      <c r="I575" s="1" t="s">
        <v>5043</v>
      </c>
      <c r="J575" s="1" t="s">
        <v>5044</v>
      </c>
      <c r="K575" s="1" t="s">
        <v>5045</v>
      </c>
      <c r="L575" s="1" t="s">
        <v>5046</v>
      </c>
      <c r="N575" s="1" t="s">
        <v>937</v>
      </c>
      <c r="O575" s="1" t="s">
        <v>253</v>
      </c>
      <c r="P575" s="1" t="s">
        <v>5047</v>
      </c>
      <c r="Q575" s="1" t="s">
        <v>5048</v>
      </c>
      <c r="R575" s="1"/>
      <c r="S575" s="1" t="s">
        <v>5047</v>
      </c>
      <c r="T575" s="51" t="s">
        <v>5049</v>
      </c>
      <c r="U575" s="1" t="s">
        <v>5041</v>
      </c>
    </row>
    <row r="576" spans="8:21">
      <c r="H576" s="1"/>
      <c r="I576" s="1" t="s">
        <v>5050</v>
      </c>
      <c r="J576" s="1" t="s">
        <v>3706</v>
      </c>
      <c r="K576" s="1" t="s">
        <v>5051</v>
      </c>
      <c r="L576" s="1" t="s">
        <v>5052</v>
      </c>
      <c r="N576" s="1" t="s">
        <v>937</v>
      </c>
      <c r="O576" s="1" t="s">
        <v>254</v>
      </c>
      <c r="P576" s="1" t="s">
        <v>5053</v>
      </c>
      <c r="Q576" s="1" t="s">
        <v>4380</v>
      </c>
      <c r="R576" s="1"/>
      <c r="S576" s="1" t="s">
        <v>5053</v>
      </c>
      <c r="T576" s="51" t="s">
        <v>5054</v>
      </c>
      <c r="U576" s="1" t="s">
        <v>4099</v>
      </c>
    </row>
    <row r="577" spans="8:21">
      <c r="H577" s="1"/>
      <c r="I577" s="1" t="s">
        <v>5055</v>
      </c>
      <c r="J577" s="1" t="s">
        <v>2554</v>
      </c>
      <c r="K577" s="1" t="s">
        <v>5056</v>
      </c>
      <c r="L577" s="1" t="s">
        <v>5057</v>
      </c>
      <c r="N577" s="1" t="s">
        <v>937</v>
      </c>
      <c r="O577" s="1" t="s">
        <v>255</v>
      </c>
      <c r="P577" s="1" t="s">
        <v>5058</v>
      </c>
      <c r="Q577" s="1" t="s">
        <v>5059</v>
      </c>
      <c r="R577" s="1"/>
      <c r="S577" s="1" t="s">
        <v>5058</v>
      </c>
      <c r="T577" s="51" t="s">
        <v>5060</v>
      </c>
      <c r="U577" s="1" t="s">
        <v>4827</v>
      </c>
    </row>
    <row r="578" spans="8:21">
      <c r="H578" s="1"/>
      <c r="I578" s="1" t="s">
        <v>5061</v>
      </c>
      <c r="J578" s="1" t="s">
        <v>5062</v>
      </c>
      <c r="K578" s="1" t="s">
        <v>5063</v>
      </c>
      <c r="L578" s="1" t="s">
        <v>5064</v>
      </c>
      <c r="N578" s="1" t="s">
        <v>937</v>
      </c>
      <c r="O578" s="1" t="s">
        <v>256</v>
      </c>
      <c r="P578" s="1" t="s">
        <v>5065</v>
      </c>
      <c r="Q578" s="1" t="s">
        <v>5066</v>
      </c>
      <c r="R578" s="1"/>
      <c r="S578" s="1" t="s">
        <v>5065</v>
      </c>
      <c r="T578" s="51" t="s">
        <v>5067</v>
      </c>
      <c r="U578" s="1" t="s">
        <v>5068</v>
      </c>
    </row>
    <row r="579" spans="8:21">
      <c r="H579" s="1"/>
      <c r="I579" s="1" t="s">
        <v>5069</v>
      </c>
      <c r="J579" s="1" t="s">
        <v>5070</v>
      </c>
      <c r="K579" s="1" t="s">
        <v>5071</v>
      </c>
      <c r="L579" s="1" t="s">
        <v>5072</v>
      </c>
      <c r="N579" s="1" t="s">
        <v>950</v>
      </c>
      <c r="O579" s="1" t="s">
        <v>736</v>
      </c>
      <c r="P579" s="1" t="s">
        <v>5073</v>
      </c>
      <c r="Q579" s="1" t="s">
        <v>5074</v>
      </c>
      <c r="R579" s="1"/>
      <c r="S579" s="1" t="s">
        <v>5073</v>
      </c>
      <c r="T579" s="51" t="s">
        <v>5075</v>
      </c>
      <c r="U579" s="1" t="s">
        <v>5076</v>
      </c>
    </row>
    <row r="580" spans="8:21">
      <c r="H580" s="1"/>
      <c r="I580" s="1" t="s">
        <v>5077</v>
      </c>
      <c r="J580" s="1" t="s">
        <v>5078</v>
      </c>
      <c r="K580" s="1" t="s">
        <v>5079</v>
      </c>
      <c r="L580" s="1" t="s">
        <v>5080</v>
      </c>
      <c r="N580" s="1" t="s">
        <v>950</v>
      </c>
      <c r="O580" s="1" t="s">
        <v>737</v>
      </c>
      <c r="P580" s="1" t="s">
        <v>5081</v>
      </c>
      <c r="Q580" s="1" t="s">
        <v>5082</v>
      </c>
      <c r="R580" s="1"/>
      <c r="S580" s="1" t="s">
        <v>5081</v>
      </c>
      <c r="T580" s="51" t="s">
        <v>5083</v>
      </c>
      <c r="U580" s="1" t="s">
        <v>5066</v>
      </c>
    </row>
    <row r="581" spans="8:21">
      <c r="H581" s="1"/>
      <c r="I581" s="1" t="s">
        <v>5084</v>
      </c>
      <c r="J581" s="1" t="s">
        <v>5085</v>
      </c>
      <c r="K581" s="1" t="s">
        <v>5086</v>
      </c>
      <c r="L581" s="1" t="s">
        <v>5087</v>
      </c>
      <c r="N581" s="1" t="s">
        <v>950</v>
      </c>
      <c r="O581" s="1" t="s">
        <v>738</v>
      </c>
      <c r="P581" s="1" t="s">
        <v>5088</v>
      </c>
      <c r="Q581" s="1" t="s">
        <v>5089</v>
      </c>
      <c r="R581" s="1"/>
      <c r="S581" s="1" t="s">
        <v>5088</v>
      </c>
      <c r="T581" s="51" t="s">
        <v>5090</v>
      </c>
      <c r="U581" s="1" t="s">
        <v>5091</v>
      </c>
    </row>
    <row r="582" spans="8:21">
      <c r="H582" s="1"/>
      <c r="I582" s="1" t="s">
        <v>5092</v>
      </c>
      <c r="J582" s="1" t="s">
        <v>5093</v>
      </c>
      <c r="K582" s="1" t="s">
        <v>5094</v>
      </c>
      <c r="L582" s="1" t="s">
        <v>5095</v>
      </c>
      <c r="N582" s="1" t="s">
        <v>950</v>
      </c>
      <c r="O582" s="1" t="s">
        <v>739</v>
      </c>
      <c r="P582" s="1" t="s">
        <v>5096</v>
      </c>
      <c r="Q582" s="1" t="s">
        <v>5097</v>
      </c>
      <c r="R582" s="1"/>
      <c r="S582" s="1" t="s">
        <v>5096</v>
      </c>
      <c r="T582" s="51" t="s">
        <v>5098</v>
      </c>
      <c r="U582" s="1" t="s">
        <v>5099</v>
      </c>
    </row>
    <row r="583" spans="8:21">
      <c r="H583" s="1"/>
      <c r="I583" s="1" t="s">
        <v>5100</v>
      </c>
      <c r="J583" s="1" t="s">
        <v>5101</v>
      </c>
      <c r="K583" s="1" t="s">
        <v>5102</v>
      </c>
      <c r="L583" s="1" t="s">
        <v>5103</v>
      </c>
      <c r="N583" s="1" t="s">
        <v>950</v>
      </c>
      <c r="O583" s="1" t="s">
        <v>740</v>
      </c>
      <c r="P583" s="1" t="s">
        <v>5104</v>
      </c>
      <c r="Q583" s="1" t="s">
        <v>5105</v>
      </c>
      <c r="R583" s="1"/>
      <c r="S583" s="1" t="s">
        <v>5104</v>
      </c>
      <c r="T583" s="51" t="s">
        <v>5106</v>
      </c>
      <c r="U583" s="1" t="s">
        <v>4402</v>
      </c>
    </row>
    <row r="584" spans="8:21">
      <c r="H584" s="1"/>
      <c r="I584" s="1" t="s">
        <v>5107</v>
      </c>
      <c r="J584" s="1" t="s">
        <v>5108</v>
      </c>
      <c r="K584" s="1" t="s">
        <v>5109</v>
      </c>
      <c r="L584" s="1" t="s">
        <v>3017</v>
      </c>
      <c r="N584" s="1" t="s">
        <v>950</v>
      </c>
      <c r="O584" s="1" t="s">
        <v>741</v>
      </c>
      <c r="P584" s="1" t="s">
        <v>5110</v>
      </c>
      <c r="Q584" s="1" t="s">
        <v>5111</v>
      </c>
      <c r="R584" s="1"/>
      <c r="S584" s="1" t="s">
        <v>5110</v>
      </c>
      <c r="T584" s="51" t="s">
        <v>5112</v>
      </c>
      <c r="U584" s="1" t="s">
        <v>5113</v>
      </c>
    </row>
    <row r="585" spans="8:21">
      <c r="H585" s="1"/>
      <c r="I585" s="1" t="s">
        <v>5114</v>
      </c>
      <c r="J585" s="1" t="s">
        <v>5115</v>
      </c>
      <c r="K585" s="1" t="s">
        <v>5116</v>
      </c>
      <c r="L585" s="1" t="s">
        <v>5117</v>
      </c>
      <c r="N585" s="1" t="s">
        <v>950</v>
      </c>
      <c r="O585" s="1" t="s">
        <v>742</v>
      </c>
      <c r="P585" s="1" t="s">
        <v>5118</v>
      </c>
      <c r="Q585" s="1" t="s">
        <v>5119</v>
      </c>
      <c r="R585" s="1"/>
      <c r="S585" s="1" t="s">
        <v>5118</v>
      </c>
      <c r="T585" s="51" t="s">
        <v>5120</v>
      </c>
      <c r="U585" s="1" t="s">
        <v>4107</v>
      </c>
    </row>
    <row r="586" spans="8:21">
      <c r="H586" s="1"/>
      <c r="I586" s="1" t="s">
        <v>5121</v>
      </c>
      <c r="J586" s="1" t="s">
        <v>5122</v>
      </c>
      <c r="K586" s="1" t="s">
        <v>5123</v>
      </c>
      <c r="L586" s="1" t="s">
        <v>5124</v>
      </c>
      <c r="N586" s="1" t="s">
        <v>950</v>
      </c>
      <c r="O586" s="1" t="s">
        <v>743</v>
      </c>
      <c r="P586" s="1" t="s">
        <v>5125</v>
      </c>
      <c r="Q586" s="1" t="s">
        <v>5126</v>
      </c>
      <c r="R586" s="1"/>
      <c r="S586" s="1" t="s">
        <v>5125</v>
      </c>
      <c r="T586" s="51" t="s">
        <v>5127</v>
      </c>
      <c r="U586" s="1" t="s">
        <v>5128</v>
      </c>
    </row>
    <row r="587" spans="8:21">
      <c r="H587" s="1"/>
      <c r="I587" s="1" t="s">
        <v>5129</v>
      </c>
      <c r="J587" s="1" t="s">
        <v>5130</v>
      </c>
      <c r="K587" s="1" t="s">
        <v>5131</v>
      </c>
      <c r="L587" s="1" t="s">
        <v>5132</v>
      </c>
      <c r="N587" s="1" t="s">
        <v>950</v>
      </c>
      <c r="O587" s="1" t="s">
        <v>744</v>
      </c>
      <c r="P587" s="1" t="s">
        <v>5133</v>
      </c>
      <c r="Q587" s="1" t="s">
        <v>5134</v>
      </c>
      <c r="R587" s="1"/>
      <c r="S587" s="1" t="s">
        <v>5133</v>
      </c>
      <c r="T587" s="51" t="s">
        <v>5135</v>
      </c>
      <c r="U587" s="1" t="s">
        <v>5136</v>
      </c>
    </row>
    <row r="588" spans="8:21">
      <c r="H588" s="1"/>
      <c r="I588" s="1" t="s">
        <v>5137</v>
      </c>
      <c r="J588" s="1" t="s">
        <v>5138</v>
      </c>
      <c r="K588" s="1" t="s">
        <v>5139</v>
      </c>
      <c r="L588" s="1" t="s">
        <v>5140</v>
      </c>
      <c r="N588" s="1" t="s">
        <v>950</v>
      </c>
      <c r="O588" s="1" t="s">
        <v>745</v>
      </c>
      <c r="P588" s="1" t="s">
        <v>5141</v>
      </c>
      <c r="Q588" s="1" t="s">
        <v>4736</v>
      </c>
      <c r="R588" s="1"/>
      <c r="S588" s="1" t="s">
        <v>5141</v>
      </c>
      <c r="T588" s="51" t="s">
        <v>5142</v>
      </c>
      <c r="U588" s="1" t="s">
        <v>4441</v>
      </c>
    </row>
    <row r="589" spans="8:21">
      <c r="H589" s="1"/>
      <c r="I589" s="1" t="s">
        <v>5143</v>
      </c>
      <c r="J589" s="1" t="s">
        <v>5144</v>
      </c>
      <c r="K589" s="1" t="s">
        <v>5145</v>
      </c>
      <c r="L589" s="1" t="s">
        <v>5146</v>
      </c>
      <c r="N589" s="1" t="s">
        <v>950</v>
      </c>
      <c r="O589" s="1" t="s">
        <v>746</v>
      </c>
      <c r="P589" s="1" t="s">
        <v>5147</v>
      </c>
      <c r="Q589" s="1" t="s">
        <v>5148</v>
      </c>
      <c r="R589" s="1"/>
      <c r="S589" s="1" t="s">
        <v>5147</v>
      </c>
      <c r="T589" s="51" t="s">
        <v>5149</v>
      </c>
      <c r="U589" s="1" t="s">
        <v>4457</v>
      </c>
    </row>
    <row r="590" spans="8:21">
      <c r="H590" s="1"/>
      <c r="I590" s="1" t="s">
        <v>5150</v>
      </c>
      <c r="J590" s="1" t="s">
        <v>1771</v>
      </c>
      <c r="K590" s="1" t="s">
        <v>5151</v>
      </c>
      <c r="L590" s="1" t="s">
        <v>5152</v>
      </c>
      <c r="N590" s="1" t="s">
        <v>950</v>
      </c>
      <c r="O590" s="1" t="s">
        <v>747</v>
      </c>
      <c r="P590" s="1" t="s">
        <v>5153</v>
      </c>
      <c r="Q590" s="1" t="s">
        <v>4855</v>
      </c>
      <c r="R590" s="1"/>
      <c r="S590" s="1" t="s">
        <v>5153</v>
      </c>
      <c r="T590" s="51" t="s">
        <v>5154</v>
      </c>
      <c r="U590" s="1" t="s">
        <v>5155</v>
      </c>
    </row>
    <row r="591" spans="8:21">
      <c r="H591" s="1"/>
      <c r="I591" s="1" t="s">
        <v>5156</v>
      </c>
      <c r="J591" s="1" t="s">
        <v>5157</v>
      </c>
      <c r="K591" s="1" t="s">
        <v>5158</v>
      </c>
      <c r="L591" s="1" t="s">
        <v>5159</v>
      </c>
      <c r="N591" s="1" t="s">
        <v>950</v>
      </c>
      <c r="O591" s="1" t="s">
        <v>748</v>
      </c>
      <c r="P591" s="1" t="s">
        <v>5160</v>
      </c>
      <c r="Q591" s="1" t="s">
        <v>5161</v>
      </c>
      <c r="R591" s="1"/>
      <c r="S591" s="1" t="s">
        <v>5160</v>
      </c>
      <c r="T591" s="51" t="s">
        <v>5162</v>
      </c>
      <c r="U591" s="1" t="s">
        <v>5163</v>
      </c>
    </row>
    <row r="592" spans="8:21">
      <c r="H592" s="1"/>
      <c r="I592" s="1" t="s">
        <v>5164</v>
      </c>
      <c r="J592" s="1" t="s">
        <v>5165</v>
      </c>
      <c r="K592" s="1" t="s">
        <v>5166</v>
      </c>
      <c r="L592" s="1" t="s">
        <v>5167</v>
      </c>
      <c r="N592" s="1" t="s">
        <v>950</v>
      </c>
      <c r="O592" s="1" t="s">
        <v>749</v>
      </c>
      <c r="P592" s="1" t="s">
        <v>5168</v>
      </c>
      <c r="Q592" s="1" t="s">
        <v>4113</v>
      </c>
      <c r="R592" s="1"/>
      <c r="S592" s="1" t="s">
        <v>5168</v>
      </c>
      <c r="T592" s="51" t="s">
        <v>5169</v>
      </c>
      <c r="U592" s="1" t="s">
        <v>5170</v>
      </c>
    </row>
    <row r="593" spans="8:21">
      <c r="H593" s="1"/>
      <c r="I593" s="1" t="s">
        <v>5171</v>
      </c>
      <c r="J593" s="1" t="s">
        <v>5172</v>
      </c>
      <c r="K593" s="1" t="s">
        <v>5173</v>
      </c>
      <c r="L593" s="1" t="s">
        <v>5174</v>
      </c>
      <c r="N593" s="1" t="s">
        <v>950</v>
      </c>
      <c r="O593" s="1" t="s">
        <v>750</v>
      </c>
      <c r="P593" s="1" t="s">
        <v>5175</v>
      </c>
      <c r="Q593" s="1" t="s">
        <v>5176</v>
      </c>
      <c r="R593" s="1"/>
      <c r="S593" s="1" t="s">
        <v>5175</v>
      </c>
      <c r="T593" s="51" t="s">
        <v>5177</v>
      </c>
      <c r="U593" s="1" t="s">
        <v>5178</v>
      </c>
    </row>
    <row r="594" spans="8:21">
      <c r="H594" s="1"/>
      <c r="I594" s="1" t="s">
        <v>5179</v>
      </c>
      <c r="J594" s="1" t="s">
        <v>5180</v>
      </c>
      <c r="K594" s="1" t="s">
        <v>5181</v>
      </c>
      <c r="L594" s="1" t="s">
        <v>5182</v>
      </c>
      <c r="N594" s="1" t="s">
        <v>950</v>
      </c>
      <c r="O594" s="1" t="s">
        <v>751</v>
      </c>
      <c r="P594" s="1" t="s">
        <v>5183</v>
      </c>
      <c r="Q594" s="1" t="s">
        <v>5184</v>
      </c>
      <c r="R594" s="1"/>
      <c r="S594" s="1" t="s">
        <v>5183</v>
      </c>
      <c r="T594" s="51" t="s">
        <v>5185</v>
      </c>
      <c r="U594" s="1" t="s">
        <v>5186</v>
      </c>
    </row>
    <row r="595" spans="8:21">
      <c r="H595" s="1"/>
      <c r="I595" s="1" t="s">
        <v>5187</v>
      </c>
      <c r="J595" s="1" t="s">
        <v>5188</v>
      </c>
      <c r="K595" s="1" t="s">
        <v>5189</v>
      </c>
      <c r="L595" s="1" t="s">
        <v>5190</v>
      </c>
      <c r="N595" s="1" t="s">
        <v>950</v>
      </c>
      <c r="O595" s="1" t="s">
        <v>752</v>
      </c>
      <c r="P595" s="1" t="s">
        <v>5191</v>
      </c>
      <c r="Q595" s="1" t="s">
        <v>5192</v>
      </c>
      <c r="R595" s="1"/>
      <c r="S595" s="1" t="s">
        <v>5191</v>
      </c>
      <c r="T595" s="51" t="s">
        <v>5193</v>
      </c>
      <c r="U595" s="1" t="s">
        <v>5194</v>
      </c>
    </row>
    <row r="596" spans="8:21">
      <c r="H596" s="1"/>
      <c r="I596" s="1" t="s">
        <v>5195</v>
      </c>
      <c r="J596" s="1" t="s">
        <v>5196</v>
      </c>
      <c r="K596" s="1" t="s">
        <v>5197</v>
      </c>
      <c r="L596" s="1" t="s">
        <v>5198</v>
      </c>
      <c r="N596" s="1" t="s">
        <v>950</v>
      </c>
      <c r="O596" s="1" t="s">
        <v>753</v>
      </c>
      <c r="P596" s="1" t="s">
        <v>5199</v>
      </c>
      <c r="Q596" s="1" t="s">
        <v>3894</v>
      </c>
      <c r="R596" s="1"/>
      <c r="S596" s="1" t="s">
        <v>5199</v>
      </c>
      <c r="T596" s="51" t="s">
        <v>5200</v>
      </c>
      <c r="U596" s="1" t="s">
        <v>5201</v>
      </c>
    </row>
    <row r="597" spans="8:21">
      <c r="H597" s="1"/>
      <c r="I597" s="1" t="s">
        <v>5202</v>
      </c>
      <c r="J597" s="1" t="s">
        <v>5203</v>
      </c>
      <c r="K597" s="1" t="s">
        <v>5204</v>
      </c>
      <c r="L597" s="1" t="s">
        <v>5205</v>
      </c>
      <c r="N597" s="1" t="s">
        <v>950</v>
      </c>
      <c r="O597" s="1" t="s">
        <v>754</v>
      </c>
      <c r="P597" s="1" t="s">
        <v>5206</v>
      </c>
      <c r="Q597" s="1" t="s">
        <v>5207</v>
      </c>
      <c r="R597" s="1"/>
      <c r="S597" s="1" t="s">
        <v>5206</v>
      </c>
      <c r="T597" s="51" t="s">
        <v>5208</v>
      </c>
      <c r="U597" s="1" t="s">
        <v>5209</v>
      </c>
    </row>
    <row r="598" spans="8:21">
      <c r="H598" s="1"/>
      <c r="I598" s="1" t="s">
        <v>5210</v>
      </c>
      <c r="J598" s="1" t="s">
        <v>5211</v>
      </c>
      <c r="K598" s="1" t="s">
        <v>5212</v>
      </c>
      <c r="L598" s="1" t="s">
        <v>5213</v>
      </c>
      <c r="N598" s="1" t="s">
        <v>950</v>
      </c>
      <c r="O598" s="1" t="s">
        <v>755</v>
      </c>
      <c r="P598" s="1" t="s">
        <v>5214</v>
      </c>
      <c r="Q598" s="1" t="s">
        <v>5215</v>
      </c>
      <c r="R598" s="1"/>
      <c r="S598" s="1" t="s">
        <v>5214</v>
      </c>
      <c r="T598" s="51" t="s">
        <v>5216</v>
      </c>
      <c r="U598" s="1" t="s">
        <v>5217</v>
      </c>
    </row>
    <row r="599" spans="8:21">
      <c r="H599" s="1"/>
      <c r="I599" s="1" t="s">
        <v>5218</v>
      </c>
      <c r="J599" s="1" t="s">
        <v>5219</v>
      </c>
      <c r="K599" s="1" t="s">
        <v>5220</v>
      </c>
      <c r="L599" s="1" t="s">
        <v>5221</v>
      </c>
      <c r="N599" s="1" t="s">
        <v>950</v>
      </c>
      <c r="O599" s="1" t="s">
        <v>756</v>
      </c>
      <c r="P599" s="1" t="s">
        <v>5222</v>
      </c>
      <c r="Q599" s="1" t="s">
        <v>5223</v>
      </c>
      <c r="R599" s="1"/>
      <c r="S599" s="1" t="s">
        <v>5222</v>
      </c>
      <c r="T599" s="51" t="s">
        <v>5224</v>
      </c>
      <c r="U599" s="1" t="s">
        <v>5225</v>
      </c>
    </row>
    <row r="600" spans="8:21">
      <c r="H600" s="1"/>
      <c r="I600" s="1" t="s">
        <v>5226</v>
      </c>
      <c r="J600" s="1" t="s">
        <v>5227</v>
      </c>
      <c r="K600" s="1" t="s">
        <v>5228</v>
      </c>
      <c r="L600" s="1" t="s">
        <v>5229</v>
      </c>
      <c r="N600" s="1" t="s">
        <v>950</v>
      </c>
      <c r="O600" s="1" t="s">
        <v>757</v>
      </c>
      <c r="P600" s="1" t="s">
        <v>5230</v>
      </c>
      <c r="Q600" s="1" t="s">
        <v>5231</v>
      </c>
      <c r="R600" s="1"/>
      <c r="S600" s="1" t="s">
        <v>5230</v>
      </c>
      <c r="T600" s="51" t="s">
        <v>5232</v>
      </c>
      <c r="U600" s="1" t="s">
        <v>5233</v>
      </c>
    </row>
    <row r="601" spans="8:21">
      <c r="H601" s="1"/>
      <c r="I601" s="1" t="s">
        <v>5234</v>
      </c>
      <c r="J601" s="1" t="s">
        <v>5235</v>
      </c>
      <c r="K601" s="1" t="s">
        <v>5236</v>
      </c>
      <c r="L601" s="1" t="s">
        <v>5237</v>
      </c>
      <c r="N601" s="1" t="s">
        <v>950</v>
      </c>
      <c r="O601" s="1" t="s">
        <v>758</v>
      </c>
      <c r="P601" s="1" t="s">
        <v>5238</v>
      </c>
      <c r="Q601" s="1" t="s">
        <v>5239</v>
      </c>
      <c r="R601" s="1"/>
      <c r="S601" s="1" t="s">
        <v>5238</v>
      </c>
      <c r="T601" s="51" t="s">
        <v>5240</v>
      </c>
      <c r="U601" s="1" t="s">
        <v>5241</v>
      </c>
    </row>
    <row r="602" spans="8:21">
      <c r="H602" s="1"/>
      <c r="I602" s="1" t="s">
        <v>5242</v>
      </c>
      <c r="J602" s="1" t="s">
        <v>5243</v>
      </c>
      <c r="K602" s="1" t="s">
        <v>5244</v>
      </c>
      <c r="L602" s="1" t="s">
        <v>5245</v>
      </c>
      <c r="N602" s="1" t="s">
        <v>950</v>
      </c>
      <c r="O602" s="1" t="s">
        <v>759</v>
      </c>
      <c r="P602" s="1" t="s">
        <v>5246</v>
      </c>
      <c r="Q602" s="1" t="s">
        <v>5247</v>
      </c>
      <c r="R602" s="1"/>
      <c r="S602" s="1" t="s">
        <v>5246</v>
      </c>
      <c r="T602" s="51" t="s">
        <v>5248</v>
      </c>
      <c r="U602" s="1" t="s">
        <v>5249</v>
      </c>
    </row>
    <row r="603" spans="8:21">
      <c r="H603" s="1"/>
      <c r="I603" s="1" t="s">
        <v>5250</v>
      </c>
      <c r="J603" s="1" t="s">
        <v>5251</v>
      </c>
      <c r="K603" s="1" t="s">
        <v>5252</v>
      </c>
      <c r="L603" s="1" t="s">
        <v>5253</v>
      </c>
      <c r="N603" s="1" t="s">
        <v>950</v>
      </c>
      <c r="O603" s="1" t="s">
        <v>760</v>
      </c>
      <c r="P603" s="1" t="s">
        <v>5254</v>
      </c>
      <c r="Q603" s="1" t="s">
        <v>3918</v>
      </c>
      <c r="R603" s="1"/>
      <c r="S603" s="1" t="s">
        <v>5254</v>
      </c>
      <c r="T603" s="51" t="s">
        <v>5255</v>
      </c>
      <c r="U603" s="1" t="s">
        <v>5256</v>
      </c>
    </row>
    <row r="604" spans="8:21">
      <c r="H604" s="1"/>
      <c r="I604" s="1" t="s">
        <v>5257</v>
      </c>
      <c r="J604" s="1" t="s">
        <v>5258</v>
      </c>
      <c r="K604" s="1" t="s">
        <v>5259</v>
      </c>
      <c r="L604" s="1" t="s">
        <v>5260</v>
      </c>
      <c r="N604" s="1" t="s">
        <v>950</v>
      </c>
      <c r="O604" s="1" t="s">
        <v>761</v>
      </c>
      <c r="P604" s="1" t="s">
        <v>5261</v>
      </c>
      <c r="Q604" s="1" t="s">
        <v>3984</v>
      </c>
      <c r="R604" s="1"/>
      <c r="S604" s="1" t="s">
        <v>5261</v>
      </c>
      <c r="T604" s="51" t="s">
        <v>5262</v>
      </c>
      <c r="U604" s="1" t="s">
        <v>5263</v>
      </c>
    </row>
    <row r="605" spans="8:21">
      <c r="H605" s="1"/>
      <c r="I605" s="1" t="s">
        <v>5264</v>
      </c>
      <c r="J605" s="1" t="s">
        <v>5265</v>
      </c>
      <c r="K605" s="1" t="s">
        <v>5266</v>
      </c>
      <c r="L605" s="1" t="s">
        <v>5267</v>
      </c>
      <c r="N605" s="1" t="s">
        <v>950</v>
      </c>
      <c r="O605" s="1" t="s">
        <v>762</v>
      </c>
      <c r="P605" s="1" t="s">
        <v>5268</v>
      </c>
      <c r="Q605" s="1" t="s">
        <v>3976</v>
      </c>
      <c r="R605" s="1"/>
      <c r="S605" s="1" t="s">
        <v>5268</v>
      </c>
      <c r="T605" s="51" t="s">
        <v>5269</v>
      </c>
      <c r="U605" s="1" t="s">
        <v>4433</v>
      </c>
    </row>
    <row r="606" spans="8:21">
      <c r="H606" s="1"/>
      <c r="I606" s="1" t="s">
        <v>5270</v>
      </c>
      <c r="J606" s="1" t="s">
        <v>5271</v>
      </c>
      <c r="K606" s="1" t="s">
        <v>5272</v>
      </c>
      <c r="L606" s="1" t="s">
        <v>5273</v>
      </c>
      <c r="N606" s="1" t="s">
        <v>950</v>
      </c>
      <c r="O606" s="1" t="s">
        <v>763</v>
      </c>
      <c r="P606" s="1" t="s">
        <v>5274</v>
      </c>
      <c r="Q606" s="1" t="s">
        <v>5275</v>
      </c>
      <c r="R606" s="1"/>
      <c r="S606" s="1" t="s">
        <v>5274</v>
      </c>
      <c r="T606" s="51" t="s">
        <v>5276</v>
      </c>
      <c r="U606" s="1" t="s">
        <v>5277</v>
      </c>
    </row>
    <row r="607" spans="8:21">
      <c r="H607" s="1"/>
      <c r="I607" s="1" t="s">
        <v>5278</v>
      </c>
      <c r="J607" s="1" t="s">
        <v>5279</v>
      </c>
      <c r="K607" s="1" t="s">
        <v>5280</v>
      </c>
      <c r="L607" s="1" t="s">
        <v>5281</v>
      </c>
      <c r="N607" s="1" t="s">
        <v>950</v>
      </c>
      <c r="O607" s="1" t="s">
        <v>764</v>
      </c>
      <c r="P607" s="1" t="s">
        <v>5282</v>
      </c>
      <c r="Q607" s="1" t="s">
        <v>5283</v>
      </c>
      <c r="R607" s="1"/>
      <c r="S607" s="1" t="s">
        <v>5282</v>
      </c>
      <c r="T607" s="51" t="s">
        <v>5284</v>
      </c>
      <c r="U607" s="1" t="s">
        <v>5285</v>
      </c>
    </row>
    <row r="608" spans="8:21">
      <c r="H608" s="1"/>
      <c r="I608" s="1" t="s">
        <v>5286</v>
      </c>
      <c r="J608" s="1" t="s">
        <v>5287</v>
      </c>
      <c r="K608" s="1" t="s">
        <v>5288</v>
      </c>
      <c r="L608" s="1" t="s">
        <v>5289</v>
      </c>
      <c r="N608" s="1" t="s">
        <v>950</v>
      </c>
      <c r="O608" s="1" t="s">
        <v>765</v>
      </c>
      <c r="P608" s="1" t="s">
        <v>5290</v>
      </c>
      <c r="Q608" s="1" t="s">
        <v>5291</v>
      </c>
      <c r="R608" s="1"/>
      <c r="S608" s="1" t="s">
        <v>5290</v>
      </c>
      <c r="T608" s="51" t="s">
        <v>5292</v>
      </c>
      <c r="U608" s="1" t="s">
        <v>5293</v>
      </c>
    </row>
    <row r="609" spans="8:21">
      <c r="H609" s="1"/>
      <c r="I609" s="1" t="s">
        <v>5294</v>
      </c>
      <c r="J609" s="1" t="s">
        <v>5295</v>
      </c>
      <c r="K609" s="1" t="s">
        <v>5296</v>
      </c>
      <c r="L609" s="1" t="s">
        <v>5297</v>
      </c>
      <c r="N609" s="1" t="s">
        <v>950</v>
      </c>
      <c r="O609" s="1" t="s">
        <v>766</v>
      </c>
      <c r="P609" s="1" t="s">
        <v>5298</v>
      </c>
      <c r="Q609" s="1" t="s">
        <v>4589</v>
      </c>
      <c r="R609" s="1"/>
      <c r="S609" s="1" t="s">
        <v>5298</v>
      </c>
      <c r="T609" s="51" t="s">
        <v>5299</v>
      </c>
      <c r="U609" s="1" t="s">
        <v>5300</v>
      </c>
    </row>
    <row r="610" spans="8:21">
      <c r="H610" s="1"/>
      <c r="I610" s="1" t="s">
        <v>5301</v>
      </c>
      <c r="J610" s="1" t="s">
        <v>5302</v>
      </c>
      <c r="K610" s="1" t="s">
        <v>5303</v>
      </c>
      <c r="L610" s="1" t="s">
        <v>5304</v>
      </c>
      <c r="N610" s="1" t="s">
        <v>950</v>
      </c>
      <c r="O610" s="1" t="s">
        <v>767</v>
      </c>
      <c r="P610" s="1" t="s">
        <v>5305</v>
      </c>
      <c r="Q610" s="1" t="s">
        <v>4716</v>
      </c>
      <c r="R610" s="1"/>
      <c r="S610" s="1" t="s">
        <v>5305</v>
      </c>
      <c r="T610" s="51" t="s">
        <v>5306</v>
      </c>
      <c r="U610" s="1" t="s">
        <v>4888</v>
      </c>
    </row>
    <row r="611" spans="8:21">
      <c r="H611" s="1"/>
      <c r="I611" s="1" t="s">
        <v>5307</v>
      </c>
      <c r="J611" s="1" t="s">
        <v>5308</v>
      </c>
      <c r="K611" s="1" t="s">
        <v>5309</v>
      </c>
      <c r="L611" s="1" t="s">
        <v>5310</v>
      </c>
      <c r="N611" s="1" t="s">
        <v>950</v>
      </c>
      <c r="O611" s="1" t="s">
        <v>768</v>
      </c>
      <c r="P611" s="1" t="s">
        <v>5311</v>
      </c>
      <c r="Q611" s="1" t="s">
        <v>5312</v>
      </c>
      <c r="R611" s="1"/>
      <c r="S611" s="1" t="s">
        <v>5311</v>
      </c>
      <c r="T611" s="51" t="s">
        <v>5313</v>
      </c>
      <c r="U611" s="1" t="s">
        <v>5314</v>
      </c>
    </row>
    <row r="612" spans="8:21">
      <c r="H612" s="1"/>
      <c r="I612" s="1" t="s">
        <v>5315</v>
      </c>
      <c r="J612" s="1" t="s">
        <v>5316</v>
      </c>
      <c r="K612" s="1" t="s">
        <v>5317</v>
      </c>
      <c r="L612" s="1" t="s">
        <v>5318</v>
      </c>
      <c r="N612" s="1" t="s">
        <v>950</v>
      </c>
      <c r="O612" s="1" t="s">
        <v>769</v>
      </c>
      <c r="P612" s="1" t="s">
        <v>5319</v>
      </c>
      <c r="Q612" s="1" t="s">
        <v>4829</v>
      </c>
      <c r="R612" s="1"/>
      <c r="S612" s="1" t="s">
        <v>5319</v>
      </c>
      <c r="T612" s="51" t="s">
        <v>5320</v>
      </c>
      <c r="U612" s="1" t="s">
        <v>5321</v>
      </c>
    </row>
    <row r="613" spans="8:21">
      <c r="H613" s="1"/>
      <c r="I613" s="1" t="s">
        <v>5322</v>
      </c>
      <c r="J613" s="1" t="s">
        <v>5323</v>
      </c>
      <c r="K613" s="1" t="s">
        <v>5324</v>
      </c>
      <c r="L613" s="1" t="s">
        <v>5325</v>
      </c>
      <c r="N613" s="1" t="s">
        <v>950</v>
      </c>
      <c r="O613" s="1" t="s">
        <v>770</v>
      </c>
      <c r="P613" s="1" t="s">
        <v>5326</v>
      </c>
      <c r="Q613" s="1" t="s">
        <v>5327</v>
      </c>
      <c r="R613" s="1"/>
      <c r="S613" s="1" t="s">
        <v>5326</v>
      </c>
      <c r="T613" s="51" t="s">
        <v>5328</v>
      </c>
      <c r="U613" s="1" t="s">
        <v>5329</v>
      </c>
    </row>
    <row r="614" spans="8:21">
      <c r="H614" s="1"/>
      <c r="I614" s="1" t="s">
        <v>5330</v>
      </c>
      <c r="J614" s="1" t="s">
        <v>5331</v>
      </c>
      <c r="K614" s="1" t="s">
        <v>5332</v>
      </c>
      <c r="L614" s="1" t="s">
        <v>5333</v>
      </c>
      <c r="N614" s="1" t="s">
        <v>950</v>
      </c>
      <c r="O614" s="1" t="s">
        <v>771</v>
      </c>
      <c r="P614" s="1" t="s">
        <v>5334</v>
      </c>
      <c r="Q614" s="1" t="s">
        <v>5335</v>
      </c>
      <c r="R614" s="1"/>
      <c r="S614" s="1" t="s">
        <v>5334</v>
      </c>
      <c r="T614" s="51" t="s">
        <v>5336</v>
      </c>
      <c r="U614" s="1" t="s">
        <v>5337</v>
      </c>
    </row>
    <row r="615" spans="8:21">
      <c r="H615" s="1"/>
      <c r="I615" s="1" t="s">
        <v>5338</v>
      </c>
      <c r="J615" s="1" t="s">
        <v>5339</v>
      </c>
      <c r="K615" s="1" t="s">
        <v>5340</v>
      </c>
      <c r="L615" s="1" t="s">
        <v>5341</v>
      </c>
      <c r="N615" s="1" t="s">
        <v>950</v>
      </c>
      <c r="O615" s="1" t="s">
        <v>772</v>
      </c>
      <c r="P615" s="1" t="s">
        <v>5342</v>
      </c>
      <c r="Q615" s="1" t="s">
        <v>5343</v>
      </c>
      <c r="R615" s="1"/>
      <c r="S615" s="1" t="s">
        <v>5342</v>
      </c>
      <c r="T615" s="51" t="s">
        <v>5344</v>
      </c>
      <c r="U615" s="1" t="s">
        <v>5345</v>
      </c>
    </row>
    <row r="616" spans="8:21">
      <c r="H616" s="1"/>
      <c r="I616" s="1" t="s">
        <v>5346</v>
      </c>
      <c r="J616" s="1" t="s">
        <v>5347</v>
      </c>
      <c r="K616" s="1" t="s">
        <v>3062</v>
      </c>
      <c r="L616" s="1" t="s">
        <v>5348</v>
      </c>
      <c r="N616" s="1" t="s">
        <v>950</v>
      </c>
      <c r="O616" s="1" t="s">
        <v>773</v>
      </c>
      <c r="P616" s="1" t="s">
        <v>5349</v>
      </c>
      <c r="Q616" s="1" t="s">
        <v>5350</v>
      </c>
      <c r="R616" s="1"/>
      <c r="S616" s="1" t="s">
        <v>5349</v>
      </c>
      <c r="T616" s="51" t="s">
        <v>5351</v>
      </c>
      <c r="U616" s="1" t="s">
        <v>5352</v>
      </c>
    </row>
    <row r="617" spans="8:21">
      <c r="H617" s="1"/>
      <c r="I617" s="1" t="s">
        <v>5353</v>
      </c>
      <c r="J617" s="1" t="s">
        <v>5354</v>
      </c>
      <c r="K617" s="1" t="s">
        <v>4949</v>
      </c>
      <c r="L617" s="1" t="s">
        <v>4948</v>
      </c>
      <c r="N617" s="1" t="s">
        <v>950</v>
      </c>
      <c r="O617" s="1" t="s">
        <v>774</v>
      </c>
      <c r="P617" s="1" t="s">
        <v>5355</v>
      </c>
      <c r="Q617" s="1" t="s">
        <v>4236</v>
      </c>
      <c r="R617" s="1"/>
      <c r="S617" s="1" t="s">
        <v>5355</v>
      </c>
      <c r="T617" s="51" t="s">
        <v>5356</v>
      </c>
      <c r="U617" s="1" t="s">
        <v>3962</v>
      </c>
    </row>
    <row r="618" spans="8:21">
      <c r="H618" s="1"/>
      <c r="I618" s="1" t="s">
        <v>5357</v>
      </c>
      <c r="J618" s="1" t="s">
        <v>5358</v>
      </c>
      <c r="K618" s="1" t="s">
        <v>5359</v>
      </c>
      <c r="L618" s="1" t="s">
        <v>5360</v>
      </c>
      <c r="N618" s="1" t="s">
        <v>950</v>
      </c>
      <c r="O618" s="1" t="s">
        <v>775</v>
      </c>
      <c r="P618" s="1" t="s">
        <v>5361</v>
      </c>
      <c r="Q618" s="1" t="s">
        <v>5362</v>
      </c>
      <c r="R618" s="1"/>
      <c r="S618" s="1" t="s">
        <v>5361</v>
      </c>
      <c r="T618" s="51" t="s">
        <v>5363</v>
      </c>
      <c r="U618" s="1" t="s">
        <v>5364</v>
      </c>
    </row>
    <row r="619" spans="8:21">
      <c r="H619" s="1"/>
      <c r="I619" s="1" t="s">
        <v>5365</v>
      </c>
      <c r="J619" s="1" t="s">
        <v>5366</v>
      </c>
      <c r="K619" s="1" t="s">
        <v>5367</v>
      </c>
      <c r="L619" s="1" t="s">
        <v>5368</v>
      </c>
      <c r="N619" s="1" t="s">
        <v>950</v>
      </c>
      <c r="O619" s="1" t="s">
        <v>776</v>
      </c>
      <c r="P619" s="1" t="s">
        <v>5369</v>
      </c>
      <c r="Q619" s="1" t="s">
        <v>5370</v>
      </c>
      <c r="R619" s="1"/>
      <c r="S619" s="1" t="s">
        <v>5369</v>
      </c>
      <c r="T619" s="51" t="s">
        <v>5371</v>
      </c>
      <c r="U619" s="1" t="s">
        <v>5372</v>
      </c>
    </row>
    <row r="620" spans="8:21">
      <c r="H620" s="1"/>
      <c r="I620" s="1" t="s">
        <v>5373</v>
      </c>
      <c r="J620" s="1" t="s">
        <v>5374</v>
      </c>
      <c r="K620" s="1" t="s">
        <v>5375</v>
      </c>
      <c r="L620" s="1" t="s">
        <v>5376</v>
      </c>
      <c r="N620" s="1" t="s">
        <v>950</v>
      </c>
      <c r="O620" s="1" t="s">
        <v>777</v>
      </c>
      <c r="P620" s="1" t="s">
        <v>5377</v>
      </c>
      <c r="Q620" s="1" t="s">
        <v>5378</v>
      </c>
      <c r="R620" s="1"/>
      <c r="S620" s="1" t="s">
        <v>5377</v>
      </c>
      <c r="T620" s="51" t="s">
        <v>5379</v>
      </c>
      <c r="U620" s="1" t="s">
        <v>4075</v>
      </c>
    </row>
    <row r="621" spans="8:21">
      <c r="H621" s="1"/>
      <c r="I621" s="1" t="s">
        <v>5380</v>
      </c>
      <c r="J621" s="1" t="s">
        <v>5381</v>
      </c>
      <c r="K621" s="1" t="s">
        <v>5382</v>
      </c>
      <c r="L621" s="1" t="s">
        <v>5383</v>
      </c>
      <c r="N621" s="1" t="s">
        <v>950</v>
      </c>
      <c r="O621" s="1" t="s">
        <v>778</v>
      </c>
      <c r="P621" s="1" t="s">
        <v>5384</v>
      </c>
      <c r="Q621" s="1" t="s">
        <v>5385</v>
      </c>
      <c r="R621" s="1"/>
      <c r="S621" s="1" t="s">
        <v>5384</v>
      </c>
      <c r="T621" s="51" t="s">
        <v>5386</v>
      </c>
      <c r="U621" s="1" t="s">
        <v>5387</v>
      </c>
    </row>
    <row r="622" spans="8:21">
      <c r="H622" s="1"/>
      <c r="I622" s="1" t="s">
        <v>5388</v>
      </c>
      <c r="J622" s="1" t="s">
        <v>5389</v>
      </c>
      <c r="K622" s="1" t="s">
        <v>5390</v>
      </c>
      <c r="L622" s="1" t="s">
        <v>5391</v>
      </c>
      <c r="N622" s="1" t="s">
        <v>950</v>
      </c>
      <c r="O622" s="1" t="s">
        <v>779</v>
      </c>
      <c r="P622" s="1" t="s">
        <v>5392</v>
      </c>
      <c r="Q622" s="1" t="s">
        <v>5249</v>
      </c>
      <c r="R622" s="1"/>
      <c r="S622" s="1" t="s">
        <v>5392</v>
      </c>
      <c r="T622" s="51" t="s">
        <v>5393</v>
      </c>
      <c r="U622" s="1" t="s">
        <v>5394</v>
      </c>
    </row>
    <row r="623" spans="8:21">
      <c r="H623" s="1"/>
      <c r="I623" s="1" t="s">
        <v>5395</v>
      </c>
      <c r="J623" s="1" t="s">
        <v>5396</v>
      </c>
      <c r="K623" s="1" t="s">
        <v>5397</v>
      </c>
      <c r="L623" s="1" t="s">
        <v>5398</v>
      </c>
      <c r="N623" s="1" t="s">
        <v>950</v>
      </c>
      <c r="O623" s="1" t="s">
        <v>780</v>
      </c>
      <c r="P623" s="1" t="s">
        <v>5399</v>
      </c>
      <c r="Q623" s="1" t="s">
        <v>5217</v>
      </c>
      <c r="R623" s="1"/>
      <c r="S623" s="1" t="s">
        <v>5399</v>
      </c>
      <c r="T623" s="51" t="s">
        <v>5400</v>
      </c>
      <c r="U623" s="1" t="s">
        <v>5378</v>
      </c>
    </row>
    <row r="624" spans="8:21">
      <c r="H624" s="1"/>
      <c r="I624" s="1" t="s">
        <v>5401</v>
      </c>
      <c r="J624" s="1" t="s">
        <v>5402</v>
      </c>
      <c r="K624" s="1" t="s">
        <v>5403</v>
      </c>
      <c r="L624" s="1" t="s">
        <v>5404</v>
      </c>
      <c r="N624" s="1" t="s">
        <v>950</v>
      </c>
      <c r="O624" s="1" t="s">
        <v>781</v>
      </c>
      <c r="P624" s="1" t="s">
        <v>5405</v>
      </c>
      <c r="Q624" s="1" t="s">
        <v>4504</v>
      </c>
      <c r="R624" s="1"/>
      <c r="S624" s="1" t="s">
        <v>5405</v>
      </c>
      <c r="T624" s="51" t="s">
        <v>5406</v>
      </c>
      <c r="U624" s="1" t="s">
        <v>5407</v>
      </c>
    </row>
    <row r="625" spans="8:21">
      <c r="H625" s="1"/>
      <c r="I625" s="1" t="s">
        <v>5408</v>
      </c>
      <c r="J625" s="1" t="s">
        <v>5409</v>
      </c>
      <c r="K625" s="1" t="s">
        <v>5410</v>
      </c>
      <c r="L625" s="1" t="s">
        <v>5411</v>
      </c>
      <c r="N625" s="1" t="s">
        <v>950</v>
      </c>
      <c r="O625" s="1" t="s">
        <v>782</v>
      </c>
      <c r="P625" s="1" t="s">
        <v>5412</v>
      </c>
      <c r="Q625" s="1" t="s">
        <v>5413</v>
      </c>
      <c r="R625" s="1"/>
      <c r="S625" s="1" t="s">
        <v>5412</v>
      </c>
      <c r="T625" s="51" t="s">
        <v>5414</v>
      </c>
      <c r="U625" s="1" t="s">
        <v>5415</v>
      </c>
    </row>
    <row r="626" spans="8:21">
      <c r="H626" s="1"/>
      <c r="I626" s="1" t="s">
        <v>5416</v>
      </c>
      <c r="J626" s="1" t="s">
        <v>5417</v>
      </c>
      <c r="K626" s="1" t="s">
        <v>5418</v>
      </c>
      <c r="L626" s="1" t="s">
        <v>5419</v>
      </c>
      <c r="N626" s="1" t="s">
        <v>950</v>
      </c>
      <c r="O626" s="1" t="s">
        <v>783</v>
      </c>
      <c r="P626" s="1" t="s">
        <v>5420</v>
      </c>
      <c r="Q626" s="1" t="s">
        <v>5421</v>
      </c>
      <c r="R626" s="1"/>
      <c r="S626" s="1" t="s">
        <v>5420</v>
      </c>
      <c r="T626" s="51" t="s">
        <v>5422</v>
      </c>
      <c r="U626" s="1" t="s">
        <v>5423</v>
      </c>
    </row>
    <row r="627" spans="8:21">
      <c r="H627" s="1"/>
      <c r="I627" s="1" t="s">
        <v>5424</v>
      </c>
      <c r="J627" s="1" t="s">
        <v>5425</v>
      </c>
      <c r="K627" s="1" t="s">
        <v>5426</v>
      </c>
      <c r="L627" s="1" t="s">
        <v>5427</v>
      </c>
      <c r="N627" s="1" t="s">
        <v>950</v>
      </c>
      <c r="O627" s="1" t="s">
        <v>784</v>
      </c>
      <c r="P627" s="1" t="s">
        <v>5428</v>
      </c>
      <c r="Q627" s="1" t="s">
        <v>5429</v>
      </c>
      <c r="R627" s="1"/>
      <c r="S627" s="1" t="s">
        <v>5428</v>
      </c>
      <c r="T627" s="51" t="s">
        <v>5430</v>
      </c>
      <c r="U627" s="1" t="s">
        <v>5431</v>
      </c>
    </row>
    <row r="628" spans="8:21">
      <c r="H628" s="1"/>
      <c r="I628" s="1" t="s">
        <v>5432</v>
      </c>
      <c r="J628" s="1" t="s">
        <v>5433</v>
      </c>
      <c r="K628" s="1" t="s">
        <v>5434</v>
      </c>
      <c r="L628" s="1" t="s">
        <v>5435</v>
      </c>
      <c r="N628" s="1" t="s">
        <v>950</v>
      </c>
      <c r="O628" s="1" t="s">
        <v>785</v>
      </c>
      <c r="P628" s="1" t="s">
        <v>5436</v>
      </c>
      <c r="Q628" s="1" t="s">
        <v>5437</v>
      </c>
      <c r="R628" s="1"/>
      <c r="S628" s="1" t="s">
        <v>5436</v>
      </c>
      <c r="T628" s="51" t="s">
        <v>5438</v>
      </c>
      <c r="U628" s="1" t="s">
        <v>4234</v>
      </c>
    </row>
    <row r="629" spans="8:21">
      <c r="H629" s="1"/>
      <c r="I629" s="1" t="s">
        <v>5439</v>
      </c>
      <c r="J629" s="1" t="s">
        <v>5440</v>
      </c>
      <c r="K629" s="1" t="s">
        <v>5441</v>
      </c>
      <c r="L629" s="1" t="s">
        <v>5442</v>
      </c>
      <c r="N629" s="1" t="s">
        <v>950</v>
      </c>
      <c r="O629" s="1" t="s">
        <v>786</v>
      </c>
      <c r="P629" s="1" t="s">
        <v>5443</v>
      </c>
      <c r="Q629" s="1" t="s">
        <v>4348</v>
      </c>
      <c r="R629" s="1"/>
      <c r="S629" s="1" t="s">
        <v>5443</v>
      </c>
      <c r="T629" s="51" t="s">
        <v>5444</v>
      </c>
      <c r="U629" s="1" t="s">
        <v>5445</v>
      </c>
    </row>
    <row r="630" spans="8:21">
      <c r="H630" s="1"/>
      <c r="I630" s="1" t="s">
        <v>5446</v>
      </c>
      <c r="J630" s="1" t="s">
        <v>5447</v>
      </c>
      <c r="K630" s="1" t="s">
        <v>5448</v>
      </c>
      <c r="L630" s="1" t="s">
        <v>5449</v>
      </c>
      <c r="N630" s="1" t="s">
        <v>950</v>
      </c>
      <c r="O630" s="1" t="s">
        <v>787</v>
      </c>
      <c r="P630" s="1" t="s">
        <v>5450</v>
      </c>
      <c r="Q630" s="1" t="s">
        <v>5451</v>
      </c>
      <c r="R630" s="1"/>
      <c r="S630" s="1" t="s">
        <v>5450</v>
      </c>
      <c r="T630" s="51" t="s">
        <v>5452</v>
      </c>
      <c r="U630" s="1" t="s">
        <v>5453</v>
      </c>
    </row>
    <row r="631" spans="8:21">
      <c r="H631" s="1"/>
      <c r="I631" s="1" t="s">
        <v>5454</v>
      </c>
      <c r="J631" s="1" t="s">
        <v>5455</v>
      </c>
      <c r="K631" s="1" t="s">
        <v>5456</v>
      </c>
      <c r="L631" s="1" t="s">
        <v>5457</v>
      </c>
      <c r="N631" s="1" t="s">
        <v>950</v>
      </c>
      <c r="O631" s="1" t="s">
        <v>788</v>
      </c>
      <c r="P631" s="1" t="s">
        <v>5458</v>
      </c>
      <c r="Q631" s="1" t="s">
        <v>5459</v>
      </c>
      <c r="R631" s="1"/>
      <c r="S631" s="1" t="s">
        <v>5458</v>
      </c>
      <c r="T631" s="51" t="s">
        <v>5460</v>
      </c>
      <c r="U631" s="1" t="s">
        <v>5461</v>
      </c>
    </row>
    <row r="632" spans="8:21">
      <c r="H632" s="1"/>
      <c r="I632" s="1" t="s">
        <v>5462</v>
      </c>
      <c r="J632" s="1" t="s">
        <v>5463</v>
      </c>
      <c r="K632" s="1" t="s">
        <v>5464</v>
      </c>
      <c r="L632" s="1" t="s">
        <v>5465</v>
      </c>
      <c r="N632" s="1" t="s">
        <v>950</v>
      </c>
      <c r="O632" s="1" t="s">
        <v>789</v>
      </c>
      <c r="P632" s="1" t="s">
        <v>5466</v>
      </c>
      <c r="Q632" s="1" t="s">
        <v>5467</v>
      </c>
      <c r="R632" s="1"/>
      <c r="S632" s="1" t="s">
        <v>5466</v>
      </c>
      <c r="T632" s="51" t="s">
        <v>5468</v>
      </c>
      <c r="U632" s="1" t="s">
        <v>5469</v>
      </c>
    </row>
    <row r="633" spans="8:21">
      <c r="H633" s="1"/>
      <c r="I633" s="1" t="s">
        <v>5470</v>
      </c>
      <c r="J633" s="1" t="s">
        <v>5471</v>
      </c>
      <c r="K633" s="1" t="s">
        <v>5472</v>
      </c>
      <c r="L633" s="1" t="s">
        <v>5473</v>
      </c>
      <c r="N633" s="1" t="s">
        <v>950</v>
      </c>
      <c r="O633" s="1" t="s">
        <v>790</v>
      </c>
      <c r="P633" s="1" t="s">
        <v>5474</v>
      </c>
      <c r="Q633" s="1" t="s">
        <v>5475</v>
      </c>
      <c r="R633" s="1"/>
      <c r="S633" s="1" t="s">
        <v>5474</v>
      </c>
      <c r="T633" s="51" t="s">
        <v>5476</v>
      </c>
      <c r="U633" s="1" t="s">
        <v>4346</v>
      </c>
    </row>
    <row r="634" spans="8:21">
      <c r="H634" s="1"/>
      <c r="I634" s="1" t="s">
        <v>5477</v>
      </c>
      <c r="J634" s="1" t="s">
        <v>5478</v>
      </c>
      <c r="K634" s="1" t="s">
        <v>5479</v>
      </c>
      <c r="L634" s="1" t="s">
        <v>5480</v>
      </c>
      <c r="N634" s="1" t="s">
        <v>950</v>
      </c>
      <c r="O634" s="1" t="s">
        <v>791</v>
      </c>
      <c r="P634" s="1" t="s">
        <v>5481</v>
      </c>
      <c r="Q634" s="1" t="s">
        <v>5136</v>
      </c>
      <c r="R634" s="1"/>
      <c r="S634" s="1" t="s">
        <v>5481</v>
      </c>
      <c r="T634" s="51" t="s">
        <v>5482</v>
      </c>
      <c r="U634" s="1" t="s">
        <v>5483</v>
      </c>
    </row>
    <row r="635" spans="8:21">
      <c r="H635" s="1"/>
      <c r="I635" s="1" t="s">
        <v>5484</v>
      </c>
      <c r="J635" s="1" t="s">
        <v>5485</v>
      </c>
      <c r="K635" s="1" t="s">
        <v>5486</v>
      </c>
      <c r="L635" s="1" t="s">
        <v>5487</v>
      </c>
      <c r="N635" s="1" t="s">
        <v>950</v>
      </c>
      <c r="O635" s="1" t="s">
        <v>792</v>
      </c>
      <c r="P635" s="1" t="s">
        <v>5488</v>
      </c>
      <c r="Q635" s="1" t="s">
        <v>5489</v>
      </c>
      <c r="R635" s="1"/>
      <c r="S635" s="1" t="s">
        <v>5488</v>
      </c>
      <c r="T635" s="51" t="s">
        <v>5490</v>
      </c>
      <c r="U635" s="1" t="s">
        <v>5491</v>
      </c>
    </row>
    <row r="636" spans="8:21">
      <c r="H636" s="1"/>
      <c r="I636" s="1" t="s">
        <v>5492</v>
      </c>
      <c r="J636" s="1" t="s">
        <v>5493</v>
      </c>
      <c r="K636" s="1" t="s">
        <v>5494</v>
      </c>
      <c r="L636" s="1" t="s">
        <v>5495</v>
      </c>
      <c r="N636" s="1" t="s">
        <v>950</v>
      </c>
      <c r="O636" s="1" t="s">
        <v>793</v>
      </c>
      <c r="P636" s="1" t="s">
        <v>5496</v>
      </c>
      <c r="Q636" s="1" t="s">
        <v>4558</v>
      </c>
      <c r="R636" s="1"/>
      <c r="S636" s="1" t="s">
        <v>5496</v>
      </c>
      <c r="T636" s="51" t="s">
        <v>5497</v>
      </c>
      <c r="U636" s="1" t="s">
        <v>5498</v>
      </c>
    </row>
    <row r="637" spans="8:21">
      <c r="H637" s="1"/>
      <c r="I637" s="1" t="s">
        <v>5499</v>
      </c>
      <c r="J637" s="1" t="s">
        <v>5500</v>
      </c>
      <c r="K637" s="1" t="s">
        <v>5501</v>
      </c>
      <c r="L637" s="1" t="s">
        <v>5502</v>
      </c>
      <c r="N637" s="1" t="s">
        <v>950</v>
      </c>
      <c r="O637" s="1" t="s">
        <v>794</v>
      </c>
      <c r="P637" s="1" t="s">
        <v>5503</v>
      </c>
      <c r="Q637" s="1" t="s">
        <v>5504</v>
      </c>
      <c r="R637" s="1"/>
      <c r="S637" s="1" t="s">
        <v>5503</v>
      </c>
      <c r="T637" s="51" t="s">
        <v>5505</v>
      </c>
      <c r="U637" s="1" t="s">
        <v>5048</v>
      </c>
    </row>
    <row r="638" spans="8:21">
      <c r="H638" s="1"/>
      <c r="I638" s="1" t="s">
        <v>5506</v>
      </c>
      <c r="J638" s="1" t="s">
        <v>5507</v>
      </c>
      <c r="K638" s="1" t="s">
        <v>5508</v>
      </c>
      <c r="L638" s="1" t="s">
        <v>5509</v>
      </c>
      <c r="N638" s="1" t="s">
        <v>950</v>
      </c>
      <c r="O638" s="1" t="s">
        <v>795</v>
      </c>
      <c r="P638" s="1" t="s">
        <v>5510</v>
      </c>
      <c r="Q638" s="1" t="s">
        <v>5511</v>
      </c>
      <c r="R638" s="1"/>
      <c r="S638" s="1" t="s">
        <v>5510</v>
      </c>
      <c r="T638" s="51" t="s">
        <v>5512</v>
      </c>
      <c r="U638" s="1" t="s">
        <v>4449</v>
      </c>
    </row>
    <row r="639" spans="8:21">
      <c r="H639" s="1"/>
      <c r="I639" s="1" t="s">
        <v>5513</v>
      </c>
      <c r="J639" s="1" t="s">
        <v>5514</v>
      </c>
      <c r="K639" s="1" t="s">
        <v>5515</v>
      </c>
      <c r="L639" s="1" t="s">
        <v>5516</v>
      </c>
      <c r="N639" s="1" t="s">
        <v>950</v>
      </c>
      <c r="O639" s="1" t="s">
        <v>796</v>
      </c>
      <c r="P639" s="1" t="s">
        <v>5517</v>
      </c>
      <c r="Q639" s="1" t="s">
        <v>5518</v>
      </c>
      <c r="R639" s="1"/>
      <c r="S639" s="1" t="s">
        <v>5517</v>
      </c>
      <c r="T639" s="51" t="s">
        <v>5519</v>
      </c>
      <c r="U639" s="1" t="s">
        <v>5520</v>
      </c>
    </row>
    <row r="640" spans="8:21">
      <c r="H640" s="1"/>
      <c r="I640" s="1" t="s">
        <v>5521</v>
      </c>
      <c r="J640" s="1" t="s">
        <v>5522</v>
      </c>
      <c r="K640" s="1" t="s">
        <v>5523</v>
      </c>
      <c r="L640" s="1" t="s">
        <v>5524</v>
      </c>
      <c r="N640" s="1" t="s">
        <v>950</v>
      </c>
      <c r="O640" s="1" t="s">
        <v>797</v>
      </c>
      <c r="P640" s="1" t="s">
        <v>5525</v>
      </c>
      <c r="Q640" s="1" t="s">
        <v>5526</v>
      </c>
      <c r="R640" s="1"/>
      <c r="S640" s="1" t="s">
        <v>5525</v>
      </c>
      <c r="T640" s="51" t="s">
        <v>5527</v>
      </c>
      <c r="U640" s="1" t="s">
        <v>5528</v>
      </c>
    </row>
    <row r="641" spans="8:21">
      <c r="H641" s="1"/>
      <c r="I641" s="1" t="s">
        <v>5529</v>
      </c>
      <c r="J641" s="1" t="s">
        <v>5530</v>
      </c>
      <c r="K641" s="1" t="s">
        <v>5531</v>
      </c>
      <c r="L641" s="1" t="s">
        <v>5532</v>
      </c>
      <c r="N641" s="1" t="s">
        <v>950</v>
      </c>
      <c r="O641" s="1" t="s">
        <v>798</v>
      </c>
      <c r="P641" s="1" t="s">
        <v>5533</v>
      </c>
      <c r="Q641" s="1" t="s">
        <v>5178</v>
      </c>
      <c r="R641" s="1"/>
      <c r="S641" s="1" t="s">
        <v>5533</v>
      </c>
      <c r="T641" s="51" t="s">
        <v>5534</v>
      </c>
      <c r="U641" s="1" t="s">
        <v>5535</v>
      </c>
    </row>
    <row r="642" spans="8:21">
      <c r="H642" s="1"/>
      <c r="I642" s="1" t="s">
        <v>5536</v>
      </c>
      <c r="J642" s="1" t="s">
        <v>1530</v>
      </c>
      <c r="K642" s="1" t="s">
        <v>5537</v>
      </c>
      <c r="L642" s="1" t="s">
        <v>5538</v>
      </c>
      <c r="N642" s="1" t="s">
        <v>950</v>
      </c>
      <c r="O642" s="1" t="s">
        <v>799</v>
      </c>
      <c r="P642" s="1" t="s">
        <v>5539</v>
      </c>
      <c r="Q642" s="1" t="s">
        <v>5540</v>
      </c>
      <c r="R642" s="1"/>
      <c r="S642" s="1" t="s">
        <v>5539</v>
      </c>
      <c r="T642" s="51" t="s">
        <v>5541</v>
      </c>
      <c r="U642" s="1" t="s">
        <v>5542</v>
      </c>
    </row>
    <row r="643" spans="8:21">
      <c r="N643" s="1" t="s">
        <v>950</v>
      </c>
      <c r="O643" s="1" t="s">
        <v>800</v>
      </c>
      <c r="P643" s="1" t="s">
        <v>5543</v>
      </c>
      <c r="Q643" s="1" t="s">
        <v>5091</v>
      </c>
      <c r="R643" s="1"/>
      <c r="S643" s="1" t="s">
        <v>5543</v>
      </c>
      <c r="T643" s="51" t="s">
        <v>5544</v>
      </c>
      <c r="U643" s="1" t="s">
        <v>5545</v>
      </c>
    </row>
    <row r="644" spans="8:21">
      <c r="N644" s="1" t="s">
        <v>950</v>
      </c>
      <c r="O644" s="1" t="s">
        <v>801</v>
      </c>
      <c r="P644" s="1" t="s">
        <v>5546</v>
      </c>
      <c r="Q644" s="1" t="s">
        <v>5547</v>
      </c>
      <c r="R644" s="1"/>
      <c r="S644" s="1" t="s">
        <v>5546</v>
      </c>
      <c r="T644" s="51" t="s">
        <v>5548</v>
      </c>
      <c r="U644" s="1" t="s">
        <v>5549</v>
      </c>
    </row>
    <row r="645" spans="8:21">
      <c r="N645" s="1" t="s">
        <v>950</v>
      </c>
      <c r="O645" s="1" t="s">
        <v>802</v>
      </c>
      <c r="P645" s="1" t="s">
        <v>5550</v>
      </c>
      <c r="Q645" s="1" t="s">
        <v>5551</v>
      </c>
      <c r="R645" s="1"/>
      <c r="S645" s="1" t="s">
        <v>5550</v>
      </c>
      <c r="T645" s="51" t="s">
        <v>5552</v>
      </c>
      <c r="U645" s="1" t="s">
        <v>4610</v>
      </c>
    </row>
    <row r="646" spans="8:21">
      <c r="N646" s="1" t="s">
        <v>950</v>
      </c>
      <c r="O646" s="1" t="s">
        <v>803</v>
      </c>
      <c r="P646" s="1" t="s">
        <v>5553</v>
      </c>
      <c r="Q646" s="1" t="s">
        <v>5554</v>
      </c>
      <c r="R646" s="1"/>
      <c r="S646" s="1" t="s">
        <v>5553</v>
      </c>
      <c r="T646" s="51" t="s">
        <v>5555</v>
      </c>
      <c r="U646" s="1" t="s">
        <v>4125</v>
      </c>
    </row>
    <row r="647" spans="8:21">
      <c r="N647" s="1" t="s">
        <v>950</v>
      </c>
      <c r="O647" s="1" t="s">
        <v>804</v>
      </c>
      <c r="P647" s="1" t="s">
        <v>5556</v>
      </c>
      <c r="Q647" s="1" t="s">
        <v>5557</v>
      </c>
      <c r="R647" s="1"/>
      <c r="S647" s="1" t="s">
        <v>5556</v>
      </c>
      <c r="T647" s="51" t="s">
        <v>5558</v>
      </c>
      <c r="U647" s="1" t="s">
        <v>5559</v>
      </c>
    </row>
    <row r="648" spans="8:21">
      <c r="N648" s="1" t="s">
        <v>950</v>
      </c>
      <c r="O648" s="1" t="s">
        <v>805</v>
      </c>
      <c r="P648" s="1" t="s">
        <v>5560</v>
      </c>
      <c r="Q648" s="1" t="s">
        <v>5561</v>
      </c>
      <c r="R648" s="1"/>
      <c r="S648" s="1" t="s">
        <v>5560</v>
      </c>
      <c r="T648" s="51" t="s">
        <v>5562</v>
      </c>
      <c r="U648" s="1" t="s">
        <v>5563</v>
      </c>
    </row>
    <row r="649" spans="8:21">
      <c r="N649" s="1" t="s">
        <v>950</v>
      </c>
      <c r="O649" s="1" t="s">
        <v>806</v>
      </c>
      <c r="P649" s="1" t="s">
        <v>5564</v>
      </c>
      <c r="Q649" s="1" t="s">
        <v>5565</v>
      </c>
      <c r="R649" s="1"/>
      <c r="S649" s="1" t="s">
        <v>5564</v>
      </c>
      <c r="T649" s="51" t="s">
        <v>5566</v>
      </c>
      <c r="U649" s="1" t="s">
        <v>5567</v>
      </c>
    </row>
    <row r="650" spans="8:21">
      <c r="N650" s="1" t="s">
        <v>950</v>
      </c>
      <c r="O650" s="1" t="s">
        <v>807</v>
      </c>
      <c r="P650" s="1" t="s">
        <v>5568</v>
      </c>
      <c r="Q650" s="1" t="s">
        <v>5569</v>
      </c>
      <c r="R650" s="1"/>
      <c r="S650" s="1" t="s">
        <v>5568</v>
      </c>
      <c r="T650" s="51" t="s">
        <v>5570</v>
      </c>
      <c r="U650" s="1" t="s">
        <v>4200</v>
      </c>
    </row>
    <row r="651" spans="8:21">
      <c r="N651" s="1" t="s">
        <v>950</v>
      </c>
      <c r="O651" s="1" t="s">
        <v>233</v>
      </c>
      <c r="P651" s="1" t="s">
        <v>5571</v>
      </c>
      <c r="Q651" s="1" t="s">
        <v>5364</v>
      </c>
      <c r="R651" s="1"/>
      <c r="S651" s="1" t="s">
        <v>5571</v>
      </c>
      <c r="T651" s="51" t="s">
        <v>5572</v>
      </c>
      <c r="U651" s="1" t="s">
        <v>3982</v>
      </c>
    </row>
    <row r="652" spans="8:21">
      <c r="N652" s="1" t="s">
        <v>950</v>
      </c>
      <c r="O652" s="1" t="s">
        <v>234</v>
      </c>
      <c r="P652" s="1" t="s">
        <v>5573</v>
      </c>
      <c r="Q652" s="1" t="s">
        <v>5574</v>
      </c>
      <c r="R652" s="1"/>
      <c r="S652" s="1" t="s">
        <v>5573</v>
      </c>
      <c r="T652" s="51" t="s">
        <v>5575</v>
      </c>
      <c r="U652" s="1" t="s">
        <v>5576</v>
      </c>
    </row>
    <row r="653" spans="8:21">
      <c r="N653" s="1" t="s">
        <v>950</v>
      </c>
      <c r="O653" s="1" t="s">
        <v>235</v>
      </c>
      <c r="P653" s="1" t="s">
        <v>5577</v>
      </c>
      <c r="Q653" s="1" t="s">
        <v>5578</v>
      </c>
      <c r="R653" s="1"/>
      <c r="S653" s="1" t="s">
        <v>5577</v>
      </c>
      <c r="T653" s="51" t="s">
        <v>5579</v>
      </c>
      <c r="U653" s="1" t="s">
        <v>5580</v>
      </c>
    </row>
    <row r="654" spans="8:21">
      <c r="N654" s="1" t="s">
        <v>950</v>
      </c>
      <c r="O654" s="1" t="s">
        <v>236</v>
      </c>
      <c r="P654" s="1" t="s">
        <v>5581</v>
      </c>
      <c r="Q654" s="1" t="s">
        <v>5582</v>
      </c>
      <c r="R654" s="1"/>
      <c r="S654" s="1" t="s">
        <v>5581</v>
      </c>
      <c r="T654" s="51" t="s">
        <v>5583</v>
      </c>
      <c r="U654" s="1" t="s">
        <v>5584</v>
      </c>
    </row>
    <row r="655" spans="8:21">
      <c r="N655" s="1" t="s">
        <v>950</v>
      </c>
      <c r="O655" s="1" t="s">
        <v>237</v>
      </c>
      <c r="P655" s="1" t="s">
        <v>5585</v>
      </c>
      <c r="Q655" s="1" t="s">
        <v>5586</v>
      </c>
      <c r="R655" s="1"/>
      <c r="S655" s="1" t="s">
        <v>5585</v>
      </c>
      <c r="T655" s="51" t="s">
        <v>5587</v>
      </c>
      <c r="U655" s="1" t="s">
        <v>5588</v>
      </c>
    </row>
    <row r="656" spans="8:21">
      <c r="N656" s="1" t="s">
        <v>950</v>
      </c>
      <c r="O656" s="1" t="s">
        <v>238</v>
      </c>
      <c r="P656" s="1" t="s">
        <v>5589</v>
      </c>
      <c r="Q656" s="1" t="s">
        <v>4875</v>
      </c>
      <c r="R656" s="1"/>
      <c r="S656" s="1" t="s">
        <v>5589</v>
      </c>
      <c r="T656" s="51" t="s">
        <v>5590</v>
      </c>
      <c r="U656" s="1" t="s">
        <v>5591</v>
      </c>
    </row>
    <row r="657" spans="14:21">
      <c r="N657" s="1" t="s">
        <v>950</v>
      </c>
      <c r="O657" s="1" t="s">
        <v>239</v>
      </c>
      <c r="P657" s="1" t="s">
        <v>5592</v>
      </c>
      <c r="Q657" s="1" t="s">
        <v>5593</v>
      </c>
      <c r="R657" s="1"/>
      <c r="S657" s="1" t="s">
        <v>5592</v>
      </c>
      <c r="T657" s="51" t="s">
        <v>5594</v>
      </c>
      <c r="U657" s="1" t="s">
        <v>5343</v>
      </c>
    </row>
    <row r="658" spans="14:21">
      <c r="N658" s="1" t="s">
        <v>950</v>
      </c>
      <c r="O658" s="1" t="s">
        <v>240</v>
      </c>
      <c r="P658" s="1" t="s">
        <v>5595</v>
      </c>
      <c r="Q658" s="1" t="s">
        <v>5596</v>
      </c>
      <c r="R658" s="1"/>
      <c r="S658" s="1" t="s">
        <v>5595</v>
      </c>
      <c r="T658" s="51" t="s">
        <v>5597</v>
      </c>
      <c r="U658" s="1" t="s">
        <v>5231</v>
      </c>
    </row>
    <row r="659" spans="14:21">
      <c r="N659" s="1" t="s">
        <v>950</v>
      </c>
      <c r="O659" s="1" t="s">
        <v>241</v>
      </c>
      <c r="P659" s="1" t="s">
        <v>5598</v>
      </c>
      <c r="Q659" s="1" t="s">
        <v>5599</v>
      </c>
      <c r="R659" s="1"/>
      <c r="S659" s="1" t="s">
        <v>5598</v>
      </c>
      <c r="T659" s="51" t="s">
        <v>5600</v>
      </c>
      <c r="U659" s="1" t="s">
        <v>5601</v>
      </c>
    </row>
    <row r="660" spans="14:21">
      <c r="N660" s="1" t="s">
        <v>950</v>
      </c>
      <c r="O660" s="1" t="s">
        <v>242</v>
      </c>
      <c r="P660" s="1" t="s">
        <v>5602</v>
      </c>
      <c r="Q660" s="1" t="s">
        <v>5603</v>
      </c>
      <c r="R660" s="1"/>
      <c r="S660" s="1" t="s">
        <v>5602</v>
      </c>
      <c r="T660" s="51" t="s">
        <v>5604</v>
      </c>
      <c r="U660" s="1" t="s">
        <v>4838</v>
      </c>
    </row>
    <row r="661" spans="14:21">
      <c r="N661" s="1" t="s">
        <v>950</v>
      </c>
      <c r="O661" s="1" t="s">
        <v>243</v>
      </c>
      <c r="P661" s="1" t="s">
        <v>5605</v>
      </c>
      <c r="Q661" s="1" t="s">
        <v>5606</v>
      </c>
      <c r="R661" s="1"/>
      <c r="S661" s="1" t="s">
        <v>5605</v>
      </c>
      <c r="T661" s="51" t="s">
        <v>5607</v>
      </c>
      <c r="U661" s="1" t="s">
        <v>5504</v>
      </c>
    </row>
    <row r="662" spans="14:21">
      <c r="N662" s="1" t="s">
        <v>950</v>
      </c>
      <c r="O662" s="1" t="s">
        <v>244</v>
      </c>
      <c r="P662" s="1" t="s">
        <v>5608</v>
      </c>
      <c r="Q662" s="1" t="s">
        <v>5563</v>
      </c>
      <c r="R662" s="1"/>
      <c r="S662" s="1" t="s">
        <v>5608</v>
      </c>
      <c r="T662" s="51" t="s">
        <v>5609</v>
      </c>
      <c r="U662" s="1" t="s">
        <v>5610</v>
      </c>
    </row>
    <row r="663" spans="14:21">
      <c r="N663" s="1" t="s">
        <v>950</v>
      </c>
      <c r="O663" s="1" t="s">
        <v>245</v>
      </c>
      <c r="P663" s="1" t="s">
        <v>5611</v>
      </c>
      <c r="Q663" s="1" t="s">
        <v>5612</v>
      </c>
      <c r="R663" s="1"/>
      <c r="S663" s="1" t="s">
        <v>5611</v>
      </c>
      <c r="T663" s="51" t="s">
        <v>5613</v>
      </c>
      <c r="U663" s="1" t="s">
        <v>5614</v>
      </c>
    </row>
    <row r="664" spans="14:21">
      <c r="N664" s="1" t="s">
        <v>950</v>
      </c>
      <c r="O664" s="1" t="s">
        <v>246</v>
      </c>
      <c r="P664" s="1" t="s">
        <v>5615</v>
      </c>
      <c r="Q664" s="1" t="s">
        <v>5616</v>
      </c>
      <c r="R664" s="1"/>
      <c r="S664" s="1" t="s">
        <v>5615</v>
      </c>
      <c r="T664" s="51" t="s">
        <v>5617</v>
      </c>
      <c r="U664" s="1" t="s">
        <v>5618</v>
      </c>
    </row>
    <row r="665" spans="14:21">
      <c r="N665" s="1" t="s">
        <v>950</v>
      </c>
      <c r="O665" s="1" t="s">
        <v>247</v>
      </c>
      <c r="P665" s="1" t="s">
        <v>5619</v>
      </c>
      <c r="Q665" s="1" t="s">
        <v>5387</v>
      </c>
      <c r="R665" s="1"/>
      <c r="S665" s="1" t="s">
        <v>5619</v>
      </c>
      <c r="T665" s="51" t="s">
        <v>5620</v>
      </c>
      <c r="U665" s="1" t="s">
        <v>5620</v>
      </c>
    </row>
    <row r="666" spans="14:21">
      <c r="N666" s="1" t="s">
        <v>950</v>
      </c>
      <c r="O666" s="1" t="s">
        <v>248</v>
      </c>
      <c r="P666" s="1" t="s">
        <v>5621</v>
      </c>
      <c r="Q666" s="1" t="s">
        <v>5622</v>
      </c>
      <c r="R666" s="1"/>
      <c r="S666" s="1" t="s">
        <v>5621</v>
      </c>
      <c r="T666" s="51" t="s">
        <v>5623</v>
      </c>
      <c r="U666" s="1" t="s">
        <v>5624</v>
      </c>
    </row>
    <row r="667" spans="14:21">
      <c r="N667" s="1" t="s">
        <v>950</v>
      </c>
      <c r="O667" s="1" t="s">
        <v>249</v>
      </c>
      <c r="P667" s="1" t="s">
        <v>5625</v>
      </c>
      <c r="Q667" s="1" t="s">
        <v>5241</v>
      </c>
      <c r="R667" s="1"/>
      <c r="S667" s="1" t="s">
        <v>5625</v>
      </c>
      <c r="T667" s="51" t="s">
        <v>5626</v>
      </c>
      <c r="U667" s="1" t="s">
        <v>4668</v>
      </c>
    </row>
    <row r="668" spans="14:21">
      <c r="N668" s="1" t="s">
        <v>950</v>
      </c>
      <c r="O668" s="1" t="s">
        <v>250</v>
      </c>
      <c r="P668" s="1" t="s">
        <v>5627</v>
      </c>
      <c r="Q668" s="1" t="s">
        <v>5007</v>
      </c>
      <c r="R668" s="1"/>
      <c r="S668" s="1" t="s">
        <v>5627</v>
      </c>
      <c r="T668" s="51" t="s">
        <v>5628</v>
      </c>
      <c r="U668" s="1" t="s">
        <v>5629</v>
      </c>
    </row>
    <row r="669" spans="14:21">
      <c r="N669" s="1" t="s">
        <v>950</v>
      </c>
      <c r="O669" s="1" t="s">
        <v>251</v>
      </c>
      <c r="P669" s="1" t="s">
        <v>5630</v>
      </c>
      <c r="Q669" s="1" t="s">
        <v>4043</v>
      </c>
      <c r="R669" s="1"/>
      <c r="S669" s="1" t="s">
        <v>5630</v>
      </c>
      <c r="T669" s="51" t="s">
        <v>5631</v>
      </c>
      <c r="U669" s="1" t="s">
        <v>4654</v>
      </c>
    </row>
    <row r="670" spans="14:21">
      <c r="N670" s="1" t="s">
        <v>950</v>
      </c>
      <c r="O670" s="1" t="s">
        <v>252</v>
      </c>
      <c r="P670" s="1" t="s">
        <v>5632</v>
      </c>
      <c r="Q670" s="1" t="s">
        <v>4581</v>
      </c>
      <c r="R670" s="1"/>
      <c r="S670" s="1" t="s">
        <v>5632</v>
      </c>
      <c r="T670" s="51" t="s">
        <v>5633</v>
      </c>
      <c r="U670" s="1" t="s">
        <v>5634</v>
      </c>
    </row>
    <row r="671" spans="14:21">
      <c r="N671" s="1" t="s">
        <v>950</v>
      </c>
      <c r="O671" s="1" t="s">
        <v>253</v>
      </c>
      <c r="P671" s="1" t="s">
        <v>5635</v>
      </c>
      <c r="Q671" s="1" t="s">
        <v>5636</v>
      </c>
      <c r="R671" s="1"/>
      <c r="S671" s="1" t="s">
        <v>5635</v>
      </c>
      <c r="T671" s="51" t="s">
        <v>5637</v>
      </c>
      <c r="U671" s="1" t="s">
        <v>4208</v>
      </c>
    </row>
    <row r="672" spans="14:21">
      <c r="N672" s="1" t="s">
        <v>950</v>
      </c>
      <c r="O672" s="1" t="s">
        <v>254</v>
      </c>
      <c r="P672" s="1" t="s">
        <v>5638</v>
      </c>
      <c r="Q672" s="1" t="s">
        <v>5639</v>
      </c>
      <c r="R672" s="1"/>
      <c r="S672" s="1" t="s">
        <v>5638</v>
      </c>
      <c r="T672" s="51" t="s">
        <v>5640</v>
      </c>
      <c r="U672" s="1" t="s">
        <v>5026</v>
      </c>
    </row>
    <row r="673" spans="14:21">
      <c r="N673" s="1" t="s">
        <v>950</v>
      </c>
      <c r="O673" s="1" t="s">
        <v>255</v>
      </c>
      <c r="P673" s="1" t="s">
        <v>5641</v>
      </c>
      <c r="Q673" s="1" t="s">
        <v>5642</v>
      </c>
      <c r="R673" s="1"/>
      <c r="S673" s="1" t="s">
        <v>5641</v>
      </c>
      <c r="T673" s="51" t="s">
        <v>5643</v>
      </c>
      <c r="U673" s="1" t="s">
        <v>4047</v>
      </c>
    </row>
    <row r="674" spans="14:21">
      <c r="N674" s="1" t="s">
        <v>950</v>
      </c>
      <c r="O674" s="1" t="s">
        <v>256</v>
      </c>
      <c r="P674" s="1" t="s">
        <v>5644</v>
      </c>
      <c r="Q674" s="1" t="s">
        <v>5645</v>
      </c>
      <c r="R674" s="1"/>
      <c r="S674" s="1" t="s">
        <v>5644</v>
      </c>
      <c r="T674" s="51" t="s">
        <v>5646</v>
      </c>
      <c r="U674" s="1" t="s">
        <v>5647</v>
      </c>
    </row>
    <row r="675" spans="14:21">
      <c r="N675" s="1" t="s">
        <v>951</v>
      </c>
      <c r="O675" s="1" t="s">
        <v>736</v>
      </c>
      <c r="P675" s="1" t="s">
        <v>5648</v>
      </c>
      <c r="Q675" s="1" t="s">
        <v>5649</v>
      </c>
      <c r="R675" s="1"/>
      <c r="S675" s="1" t="s">
        <v>5648</v>
      </c>
      <c r="T675" s="51" t="s">
        <v>5650</v>
      </c>
      <c r="U675" s="1" t="s">
        <v>5651</v>
      </c>
    </row>
    <row r="676" spans="14:21">
      <c r="N676" s="1" t="s">
        <v>951</v>
      </c>
      <c r="O676" s="1" t="s">
        <v>737</v>
      </c>
      <c r="P676" s="1" t="s">
        <v>5652</v>
      </c>
      <c r="Q676" s="1" t="s">
        <v>5653</v>
      </c>
      <c r="R676" s="1"/>
      <c r="S676" s="1" t="s">
        <v>5652</v>
      </c>
      <c r="T676" s="51" t="s">
        <v>5654</v>
      </c>
      <c r="U676" s="1" t="s">
        <v>3908</v>
      </c>
    </row>
    <row r="677" spans="14:21">
      <c r="N677" s="1" t="s">
        <v>951</v>
      </c>
      <c r="O677" s="1" t="s">
        <v>738</v>
      </c>
      <c r="P677" s="1" t="s">
        <v>5655</v>
      </c>
      <c r="Q677" s="1" t="s">
        <v>5656</v>
      </c>
      <c r="R677" s="1"/>
      <c r="S677" s="1" t="s">
        <v>5655</v>
      </c>
      <c r="T677" s="51" t="s">
        <v>5657</v>
      </c>
      <c r="U677" s="1" t="s">
        <v>5658</v>
      </c>
    </row>
    <row r="678" spans="14:21">
      <c r="N678" s="1" t="s">
        <v>951</v>
      </c>
      <c r="O678" s="1" t="s">
        <v>739</v>
      </c>
      <c r="P678" s="1" t="s">
        <v>5659</v>
      </c>
      <c r="Q678" s="1" t="s">
        <v>4020</v>
      </c>
      <c r="R678" s="1"/>
      <c r="S678" s="1" t="s">
        <v>5659</v>
      </c>
      <c r="T678" s="51" t="s">
        <v>5660</v>
      </c>
      <c r="U678" s="1" t="s">
        <v>5661</v>
      </c>
    </row>
    <row r="679" spans="14:21">
      <c r="N679" s="1" t="s">
        <v>951</v>
      </c>
      <c r="O679" s="1" t="s">
        <v>740</v>
      </c>
      <c r="P679" s="1" t="s">
        <v>5662</v>
      </c>
      <c r="Q679" s="1" t="s">
        <v>3942</v>
      </c>
      <c r="R679" s="1"/>
      <c r="S679" s="1" t="s">
        <v>5662</v>
      </c>
      <c r="T679" s="51" t="s">
        <v>4362</v>
      </c>
      <c r="U679" s="1" t="s">
        <v>4151</v>
      </c>
    </row>
    <row r="680" spans="14:21">
      <c r="N680" s="1" t="s">
        <v>951</v>
      </c>
      <c r="O680" s="1" t="s">
        <v>741</v>
      </c>
      <c r="P680" s="1" t="s">
        <v>5663</v>
      </c>
      <c r="Q680" s="1" t="s">
        <v>4340</v>
      </c>
      <c r="R680" s="1"/>
      <c r="S680" s="1" t="s">
        <v>5663</v>
      </c>
      <c r="T680" s="51" t="s">
        <v>5664</v>
      </c>
      <c r="U680" s="1" t="s">
        <v>5665</v>
      </c>
    </row>
    <row r="681" spans="14:21">
      <c r="N681" s="1" t="s">
        <v>951</v>
      </c>
      <c r="O681" s="1" t="s">
        <v>742</v>
      </c>
      <c r="P681" s="1" t="s">
        <v>5666</v>
      </c>
      <c r="Q681" s="1" t="s">
        <v>5667</v>
      </c>
      <c r="R681" s="1"/>
      <c r="S681" s="1" t="s">
        <v>5666</v>
      </c>
      <c r="T681" s="51" t="s">
        <v>5668</v>
      </c>
      <c r="U681" s="1" t="s">
        <v>5669</v>
      </c>
    </row>
    <row r="682" spans="14:21">
      <c r="N682" s="1" t="s">
        <v>951</v>
      </c>
      <c r="O682" s="1" t="s">
        <v>743</v>
      </c>
      <c r="P682" s="1" t="s">
        <v>5670</v>
      </c>
      <c r="Q682" s="1" t="s">
        <v>5671</v>
      </c>
      <c r="R682" s="1"/>
      <c r="S682" s="1" t="s">
        <v>5670</v>
      </c>
      <c r="T682" s="51" t="s">
        <v>5672</v>
      </c>
      <c r="U682" s="1" t="s">
        <v>5673</v>
      </c>
    </row>
    <row r="683" spans="14:21">
      <c r="N683" s="1" t="s">
        <v>951</v>
      </c>
      <c r="O683" s="1" t="s">
        <v>744</v>
      </c>
      <c r="P683" s="1" t="s">
        <v>5674</v>
      </c>
      <c r="Q683" s="1" t="s">
        <v>5675</v>
      </c>
      <c r="R683" s="1"/>
      <c r="S683" s="1" t="s">
        <v>5674</v>
      </c>
      <c r="T683" s="51" t="s">
        <v>5676</v>
      </c>
      <c r="U683" s="1" t="s">
        <v>5677</v>
      </c>
    </row>
    <row r="684" spans="14:21">
      <c r="N684" s="1" t="s">
        <v>951</v>
      </c>
      <c r="O684" s="1" t="s">
        <v>745</v>
      </c>
      <c r="P684" s="1" t="s">
        <v>5678</v>
      </c>
      <c r="Q684" s="1" t="s">
        <v>5679</v>
      </c>
      <c r="R684" s="1"/>
      <c r="S684" s="1" t="s">
        <v>5678</v>
      </c>
      <c r="T684" s="51" t="s">
        <v>5680</v>
      </c>
      <c r="U684" s="1" t="s">
        <v>5681</v>
      </c>
    </row>
    <row r="685" spans="14:21">
      <c r="N685" s="1" t="s">
        <v>951</v>
      </c>
      <c r="O685" s="1" t="s">
        <v>746</v>
      </c>
      <c r="P685" s="1" t="s">
        <v>5682</v>
      </c>
      <c r="Q685" s="1" t="s">
        <v>5683</v>
      </c>
      <c r="R685" s="1"/>
      <c r="S685" s="1" t="s">
        <v>5682</v>
      </c>
      <c r="T685" s="51" t="s">
        <v>5684</v>
      </c>
      <c r="U685" s="1" t="s">
        <v>5074</v>
      </c>
    </row>
    <row r="686" spans="14:21">
      <c r="N686" s="1" t="s">
        <v>951</v>
      </c>
      <c r="O686" s="1" t="s">
        <v>747</v>
      </c>
      <c r="P686" s="1" t="s">
        <v>5685</v>
      </c>
      <c r="Q686" s="1" t="s">
        <v>5686</v>
      </c>
      <c r="R686" s="1"/>
      <c r="S686" s="1" t="s">
        <v>5685</v>
      </c>
      <c r="T686" s="51" t="s">
        <v>5687</v>
      </c>
      <c r="U686" s="1" t="s">
        <v>5688</v>
      </c>
    </row>
    <row r="687" spans="14:21">
      <c r="N687" s="1" t="s">
        <v>951</v>
      </c>
      <c r="O687" s="1" t="s">
        <v>748</v>
      </c>
      <c r="P687" s="1" t="s">
        <v>5689</v>
      </c>
      <c r="Q687" s="1" t="s">
        <v>5690</v>
      </c>
      <c r="R687" s="1"/>
      <c r="S687" s="1" t="s">
        <v>5689</v>
      </c>
      <c r="T687" s="51" t="s">
        <v>5691</v>
      </c>
      <c r="U687" s="1" t="s">
        <v>4410</v>
      </c>
    </row>
    <row r="688" spans="14:21">
      <c r="N688" s="1" t="s">
        <v>951</v>
      </c>
      <c r="O688" s="1" t="s">
        <v>749</v>
      </c>
      <c r="P688" s="1" t="s">
        <v>5692</v>
      </c>
      <c r="Q688" s="1" t="s">
        <v>5693</v>
      </c>
      <c r="R688" s="1"/>
      <c r="S688" s="1" t="s">
        <v>5692</v>
      </c>
      <c r="T688" s="51" t="s">
        <v>5694</v>
      </c>
      <c r="U688" s="1" t="s">
        <v>5695</v>
      </c>
    </row>
    <row r="689" spans="14:21">
      <c r="N689" s="1" t="s">
        <v>951</v>
      </c>
      <c r="O689" s="1" t="s">
        <v>750</v>
      </c>
      <c r="P689" s="1" t="s">
        <v>5696</v>
      </c>
      <c r="Q689" s="1" t="s">
        <v>5293</v>
      </c>
      <c r="R689" s="1"/>
      <c r="S689" s="1" t="s">
        <v>5696</v>
      </c>
      <c r="T689" s="51" t="s">
        <v>5697</v>
      </c>
      <c r="U689" s="1" t="s">
        <v>5698</v>
      </c>
    </row>
    <row r="690" spans="14:21">
      <c r="N690" s="1" t="s">
        <v>951</v>
      </c>
      <c r="O690" s="1" t="s">
        <v>751</v>
      </c>
      <c r="P690" s="1" t="s">
        <v>5699</v>
      </c>
      <c r="Q690" s="1" t="s">
        <v>5700</v>
      </c>
      <c r="R690" s="1"/>
      <c r="S690" s="1" t="s">
        <v>5699</v>
      </c>
      <c r="T690" s="51" t="s">
        <v>5701</v>
      </c>
      <c r="U690" s="1" t="s">
        <v>5702</v>
      </c>
    </row>
    <row r="691" spans="14:21">
      <c r="N691" s="1" t="s">
        <v>951</v>
      </c>
      <c r="O691" s="1" t="s">
        <v>752</v>
      </c>
      <c r="P691" s="1" t="s">
        <v>5703</v>
      </c>
      <c r="Q691" s="1" t="s">
        <v>4467</v>
      </c>
      <c r="R691" s="1"/>
      <c r="S691" s="1" t="s">
        <v>5703</v>
      </c>
      <c r="T691" s="51" t="s">
        <v>5704</v>
      </c>
      <c r="U691" s="1" t="s">
        <v>4425</v>
      </c>
    </row>
    <row r="692" spans="14:21">
      <c r="N692" s="1" t="s">
        <v>951</v>
      </c>
      <c r="O692" s="1" t="s">
        <v>753</v>
      </c>
      <c r="P692" s="1" t="s">
        <v>5705</v>
      </c>
      <c r="Q692" s="1" t="s">
        <v>5277</v>
      </c>
      <c r="R692" s="1"/>
      <c r="S692" s="1" t="s">
        <v>5705</v>
      </c>
      <c r="T692" s="51" t="s">
        <v>5706</v>
      </c>
      <c r="U692" s="1" t="s">
        <v>5707</v>
      </c>
    </row>
    <row r="693" spans="14:21">
      <c r="N693" s="1" t="s">
        <v>951</v>
      </c>
      <c r="O693" s="1" t="s">
        <v>754</v>
      </c>
      <c r="P693" s="1" t="s">
        <v>5708</v>
      </c>
      <c r="Q693" s="1" t="s">
        <v>5709</v>
      </c>
      <c r="R693" s="1"/>
      <c r="S693" s="1" t="s">
        <v>5708</v>
      </c>
      <c r="T693" s="51" t="s">
        <v>5710</v>
      </c>
      <c r="U693" s="1" t="s">
        <v>5489</v>
      </c>
    </row>
    <row r="694" spans="14:21">
      <c r="N694" s="1" t="s">
        <v>951</v>
      </c>
      <c r="O694" s="1" t="s">
        <v>755</v>
      </c>
      <c r="P694" s="1" t="s">
        <v>5711</v>
      </c>
      <c r="Q694" s="1" t="s">
        <v>5712</v>
      </c>
      <c r="R694" s="1"/>
      <c r="S694" s="1" t="s">
        <v>5711</v>
      </c>
      <c r="T694" s="51" t="s">
        <v>5713</v>
      </c>
      <c r="U694" s="1" t="s">
        <v>5714</v>
      </c>
    </row>
    <row r="695" spans="14:21">
      <c r="N695" s="1" t="s">
        <v>951</v>
      </c>
      <c r="O695" s="1" t="s">
        <v>756</v>
      </c>
      <c r="P695" s="1" t="s">
        <v>5715</v>
      </c>
      <c r="Q695" s="1" t="s">
        <v>5716</v>
      </c>
      <c r="R695" s="1"/>
      <c r="S695" s="1" t="s">
        <v>5715</v>
      </c>
      <c r="T695" s="51" t="s">
        <v>5717</v>
      </c>
      <c r="U695" s="1" t="s">
        <v>5718</v>
      </c>
    </row>
    <row r="696" spans="14:21">
      <c r="N696" s="1" t="s">
        <v>951</v>
      </c>
      <c r="O696" s="1" t="s">
        <v>757</v>
      </c>
      <c r="P696" s="1" t="s">
        <v>5719</v>
      </c>
      <c r="Q696" s="1" t="s">
        <v>5720</v>
      </c>
      <c r="R696" s="1"/>
      <c r="S696" s="1" t="s">
        <v>5719</v>
      </c>
      <c r="T696" s="51" t="s">
        <v>5721</v>
      </c>
      <c r="U696" s="1" t="s">
        <v>5679</v>
      </c>
    </row>
    <row r="697" spans="14:21">
      <c r="N697" s="1" t="s">
        <v>951</v>
      </c>
      <c r="O697" s="1" t="s">
        <v>758</v>
      </c>
      <c r="P697" s="1" t="s">
        <v>5722</v>
      </c>
      <c r="Q697" s="1" t="s">
        <v>5723</v>
      </c>
      <c r="R697" s="1"/>
      <c r="S697" s="1" t="s">
        <v>5722</v>
      </c>
      <c r="T697" s="51" t="s">
        <v>5724</v>
      </c>
      <c r="U697" s="1" t="s">
        <v>5725</v>
      </c>
    </row>
    <row r="698" spans="14:21">
      <c r="N698" s="1" t="s">
        <v>951</v>
      </c>
      <c r="O698" s="1" t="s">
        <v>759</v>
      </c>
      <c r="P698" s="1" t="s">
        <v>5726</v>
      </c>
      <c r="Q698" s="1" t="s">
        <v>5727</v>
      </c>
      <c r="R698" s="1"/>
      <c r="S698" s="1" t="s">
        <v>5726</v>
      </c>
      <c r="T698" s="51" t="s">
        <v>5728</v>
      </c>
      <c r="U698" s="1" t="s">
        <v>5729</v>
      </c>
    </row>
    <row r="699" spans="14:21">
      <c r="N699" s="1" t="s">
        <v>951</v>
      </c>
      <c r="O699" s="1" t="s">
        <v>760</v>
      </c>
      <c r="P699" s="1" t="s">
        <v>5730</v>
      </c>
      <c r="Q699" s="1" t="s">
        <v>5731</v>
      </c>
      <c r="R699" s="1"/>
      <c r="S699" s="1" t="s">
        <v>5730</v>
      </c>
      <c r="T699" s="51" t="s">
        <v>5732</v>
      </c>
      <c r="U699" s="1" t="s">
        <v>5733</v>
      </c>
    </row>
    <row r="700" spans="14:21">
      <c r="N700" s="1" t="s">
        <v>951</v>
      </c>
      <c r="O700" s="1" t="s">
        <v>761</v>
      </c>
      <c r="P700" s="1" t="s">
        <v>5734</v>
      </c>
      <c r="Q700" s="1" t="s">
        <v>5735</v>
      </c>
      <c r="R700" s="1"/>
      <c r="S700" s="1" t="s">
        <v>5734</v>
      </c>
      <c r="T700" s="51" t="s">
        <v>5736</v>
      </c>
      <c r="U700" s="1" t="s">
        <v>5737</v>
      </c>
    </row>
    <row r="701" spans="14:21">
      <c r="N701" s="1" t="s">
        <v>951</v>
      </c>
      <c r="O701" s="1" t="s">
        <v>762</v>
      </c>
      <c r="P701" s="1" t="s">
        <v>5738</v>
      </c>
      <c r="Q701" s="1" t="s">
        <v>5739</v>
      </c>
      <c r="R701" s="1"/>
      <c r="S701" s="1" t="s">
        <v>5738</v>
      </c>
      <c r="T701" s="51" t="s">
        <v>5740</v>
      </c>
      <c r="U701" s="1" t="s">
        <v>5741</v>
      </c>
    </row>
    <row r="702" spans="14:21">
      <c r="N702" s="1" t="s">
        <v>951</v>
      </c>
      <c r="O702" s="1" t="s">
        <v>763</v>
      </c>
      <c r="P702" s="1" t="s">
        <v>5742</v>
      </c>
      <c r="Q702" s="1" t="s">
        <v>5743</v>
      </c>
      <c r="R702" s="1"/>
      <c r="S702" s="1" t="s">
        <v>5742</v>
      </c>
      <c r="T702" s="51" t="s">
        <v>5744</v>
      </c>
      <c r="U702" s="1" t="s">
        <v>5161</v>
      </c>
    </row>
    <row r="703" spans="14:21">
      <c r="N703" s="1" t="s">
        <v>951</v>
      </c>
      <c r="O703" s="1" t="s">
        <v>764</v>
      </c>
      <c r="P703" s="1" t="s">
        <v>5745</v>
      </c>
      <c r="Q703" s="1" t="s">
        <v>5746</v>
      </c>
      <c r="R703" s="1"/>
      <c r="S703" s="1" t="s">
        <v>5745</v>
      </c>
      <c r="T703" s="51" t="s">
        <v>5747</v>
      </c>
      <c r="U703" s="1" t="s">
        <v>5622</v>
      </c>
    </row>
    <row r="704" spans="14:21">
      <c r="N704" s="1" t="s">
        <v>951</v>
      </c>
      <c r="O704" s="1" t="s">
        <v>765</v>
      </c>
      <c r="P704" s="1" t="s">
        <v>5748</v>
      </c>
      <c r="Q704" s="1" t="s">
        <v>5749</v>
      </c>
      <c r="R704" s="1"/>
      <c r="S704" s="1" t="s">
        <v>5748</v>
      </c>
      <c r="T704" s="51" t="s">
        <v>5750</v>
      </c>
      <c r="U704" s="1" t="s">
        <v>5751</v>
      </c>
    </row>
    <row r="705" spans="14:21">
      <c r="N705" s="1" t="s">
        <v>951</v>
      </c>
      <c r="O705" s="1" t="s">
        <v>766</v>
      </c>
      <c r="P705" s="1" t="s">
        <v>5752</v>
      </c>
      <c r="Q705" s="1" t="s">
        <v>5753</v>
      </c>
      <c r="R705" s="1"/>
      <c r="S705" s="1" t="s">
        <v>5752</v>
      </c>
      <c r="T705" s="51" t="s">
        <v>5754</v>
      </c>
      <c r="U705" s="1" t="s">
        <v>5755</v>
      </c>
    </row>
    <row r="706" spans="14:21">
      <c r="N706" s="1" t="s">
        <v>951</v>
      </c>
      <c r="O706" s="1" t="s">
        <v>767</v>
      </c>
      <c r="P706" s="1" t="s">
        <v>5756</v>
      </c>
      <c r="Q706" s="1" t="s">
        <v>5757</v>
      </c>
      <c r="R706" s="1"/>
      <c r="S706" s="1" t="s">
        <v>5756</v>
      </c>
      <c r="T706" s="51" t="s">
        <v>5758</v>
      </c>
      <c r="U706" s="1" t="s">
        <v>5759</v>
      </c>
    </row>
    <row r="707" spans="14:21">
      <c r="N707" s="1" t="s">
        <v>951</v>
      </c>
      <c r="O707" s="1" t="s">
        <v>768</v>
      </c>
      <c r="P707" s="1" t="s">
        <v>5760</v>
      </c>
      <c r="Q707" s="1" t="s">
        <v>5761</v>
      </c>
      <c r="R707" s="1"/>
      <c r="S707" s="1" t="s">
        <v>5760</v>
      </c>
      <c r="T707" s="51" t="s">
        <v>5762</v>
      </c>
      <c r="U707" s="1" t="s">
        <v>5763</v>
      </c>
    </row>
    <row r="708" spans="14:21">
      <c r="N708" s="1" t="s">
        <v>951</v>
      </c>
      <c r="O708" s="1" t="s">
        <v>769</v>
      </c>
      <c r="P708" s="1" t="s">
        <v>5764</v>
      </c>
      <c r="Q708" s="1" t="s">
        <v>5765</v>
      </c>
      <c r="R708" s="1"/>
      <c r="S708" s="1" t="s">
        <v>5764</v>
      </c>
      <c r="T708" s="51" t="s">
        <v>5766</v>
      </c>
      <c r="U708" s="1" t="s">
        <v>5767</v>
      </c>
    </row>
    <row r="709" spans="14:21">
      <c r="N709" s="1" t="s">
        <v>951</v>
      </c>
      <c r="O709" s="1" t="s">
        <v>770</v>
      </c>
      <c r="P709" s="1" t="s">
        <v>5768</v>
      </c>
      <c r="Q709" s="1" t="s">
        <v>5677</v>
      </c>
      <c r="R709" s="1"/>
      <c r="S709" s="1" t="s">
        <v>5768</v>
      </c>
      <c r="T709" s="51" t="s">
        <v>5769</v>
      </c>
      <c r="U709" s="1" t="s">
        <v>5770</v>
      </c>
    </row>
    <row r="710" spans="14:21">
      <c r="N710" s="1" t="s">
        <v>951</v>
      </c>
      <c r="O710" s="1" t="s">
        <v>771</v>
      </c>
      <c r="P710" s="1" t="s">
        <v>5771</v>
      </c>
      <c r="Q710" s="1" t="s">
        <v>5624</v>
      </c>
      <c r="R710" s="1"/>
      <c r="S710" s="1" t="s">
        <v>5771</v>
      </c>
      <c r="T710" s="51" t="s">
        <v>5772</v>
      </c>
      <c r="U710" s="1" t="s">
        <v>5773</v>
      </c>
    </row>
    <row r="711" spans="14:21">
      <c r="N711" s="1" t="s">
        <v>951</v>
      </c>
      <c r="O711" s="1" t="s">
        <v>772</v>
      </c>
      <c r="P711" s="1" t="s">
        <v>5774</v>
      </c>
      <c r="Q711" s="1" t="s">
        <v>5775</v>
      </c>
      <c r="R711" s="1"/>
      <c r="S711" s="1" t="s">
        <v>5774</v>
      </c>
      <c r="T711" s="51" t="s">
        <v>5776</v>
      </c>
      <c r="U711" s="1" t="s">
        <v>5777</v>
      </c>
    </row>
    <row r="712" spans="14:21">
      <c r="N712" s="1" t="s">
        <v>951</v>
      </c>
      <c r="O712" s="1" t="s">
        <v>773</v>
      </c>
      <c r="P712" s="1" t="s">
        <v>5778</v>
      </c>
      <c r="Q712" s="1" t="s">
        <v>5779</v>
      </c>
      <c r="R712" s="1"/>
      <c r="S712" s="1" t="s">
        <v>5778</v>
      </c>
      <c r="T712" s="51" t="s">
        <v>5780</v>
      </c>
      <c r="U712" s="1" t="s">
        <v>5781</v>
      </c>
    </row>
    <row r="713" spans="14:21">
      <c r="N713" s="1" t="s">
        <v>951</v>
      </c>
      <c r="O713" s="1" t="s">
        <v>774</v>
      </c>
      <c r="P713" s="1" t="s">
        <v>5782</v>
      </c>
      <c r="Q713" s="1" t="s">
        <v>5783</v>
      </c>
      <c r="R713" s="1"/>
      <c r="S713" s="1" t="s">
        <v>5782</v>
      </c>
      <c r="T713" s="51" t="s">
        <v>5784</v>
      </c>
      <c r="U713" s="1" t="s">
        <v>5785</v>
      </c>
    </row>
    <row r="714" spans="14:21">
      <c r="N714" s="1" t="s">
        <v>951</v>
      </c>
      <c r="O714" s="1" t="s">
        <v>775</v>
      </c>
      <c r="P714" s="1" t="s">
        <v>5786</v>
      </c>
      <c r="Q714" s="1" t="s">
        <v>4012</v>
      </c>
      <c r="R714" s="1"/>
      <c r="S714" s="1" t="s">
        <v>5786</v>
      </c>
      <c r="T714" s="51" t="s">
        <v>5787</v>
      </c>
      <c r="U714" s="1" t="s">
        <v>4192</v>
      </c>
    </row>
    <row r="715" spans="14:21">
      <c r="N715" s="1" t="s">
        <v>951</v>
      </c>
      <c r="O715" s="1" t="s">
        <v>776</v>
      </c>
      <c r="P715" s="1" t="s">
        <v>5788</v>
      </c>
      <c r="Q715" s="1" t="s">
        <v>5629</v>
      </c>
      <c r="R715" s="1"/>
      <c r="S715" s="1" t="s">
        <v>5788</v>
      </c>
      <c r="T715" s="51" t="s">
        <v>5789</v>
      </c>
      <c r="U715" s="1" t="s">
        <v>5437</v>
      </c>
    </row>
    <row r="716" spans="14:21">
      <c r="N716" s="1" t="s">
        <v>951</v>
      </c>
      <c r="O716" s="1" t="s">
        <v>777</v>
      </c>
      <c r="P716" s="1" t="s">
        <v>5790</v>
      </c>
      <c r="Q716" s="1" t="s">
        <v>5791</v>
      </c>
      <c r="R716" s="1"/>
      <c r="S716" s="1" t="s">
        <v>5790</v>
      </c>
      <c r="T716" s="51" t="s">
        <v>5792</v>
      </c>
      <c r="U716" s="1" t="s">
        <v>5793</v>
      </c>
    </row>
    <row r="717" spans="14:21">
      <c r="N717" s="1" t="s">
        <v>951</v>
      </c>
      <c r="O717" s="1" t="s">
        <v>778</v>
      </c>
      <c r="P717" s="1" t="s">
        <v>5794</v>
      </c>
      <c r="Q717" s="1" t="s">
        <v>5795</v>
      </c>
      <c r="R717" s="1"/>
      <c r="S717" s="1" t="s">
        <v>5794</v>
      </c>
      <c r="T717" s="51" t="s">
        <v>5796</v>
      </c>
      <c r="U717" s="1" t="s">
        <v>5797</v>
      </c>
    </row>
    <row r="718" spans="14:21">
      <c r="N718" s="1" t="s">
        <v>951</v>
      </c>
      <c r="O718" s="1" t="s">
        <v>779</v>
      </c>
      <c r="P718" s="1" t="s">
        <v>5798</v>
      </c>
      <c r="Q718" s="1" t="s">
        <v>5549</v>
      </c>
      <c r="R718" s="1"/>
      <c r="S718" s="1" t="s">
        <v>5798</v>
      </c>
      <c r="T718" s="51" t="s">
        <v>5799</v>
      </c>
      <c r="U718" s="1" t="s">
        <v>5800</v>
      </c>
    </row>
    <row r="719" spans="14:21">
      <c r="N719" s="1" t="s">
        <v>951</v>
      </c>
      <c r="O719" s="1" t="s">
        <v>780</v>
      </c>
      <c r="P719" s="1" t="s">
        <v>5801</v>
      </c>
      <c r="Q719" s="1" t="s">
        <v>5802</v>
      </c>
      <c r="R719" s="1"/>
      <c r="S719" s="1" t="s">
        <v>5801</v>
      </c>
      <c r="T719" s="51" t="s">
        <v>5803</v>
      </c>
      <c r="U719" s="1" t="s">
        <v>4029</v>
      </c>
    </row>
    <row r="720" spans="14:21">
      <c r="N720" s="1" t="s">
        <v>951</v>
      </c>
      <c r="O720" s="1" t="s">
        <v>781</v>
      </c>
      <c r="P720" s="1" t="s">
        <v>5804</v>
      </c>
      <c r="Q720" s="1" t="s">
        <v>5805</v>
      </c>
      <c r="R720" s="1"/>
      <c r="S720" s="1" t="s">
        <v>5804</v>
      </c>
      <c r="T720" s="51" t="s">
        <v>5806</v>
      </c>
      <c r="U720" s="1" t="s">
        <v>5807</v>
      </c>
    </row>
    <row r="721" spans="14:21">
      <c r="N721" s="1" t="s">
        <v>951</v>
      </c>
      <c r="O721" s="1" t="s">
        <v>782</v>
      </c>
      <c r="P721" s="1" t="s">
        <v>5808</v>
      </c>
      <c r="Q721" s="1" t="s">
        <v>5809</v>
      </c>
      <c r="R721" s="1"/>
      <c r="S721" s="1" t="s">
        <v>5808</v>
      </c>
      <c r="T721" s="51" t="s">
        <v>5810</v>
      </c>
      <c r="U721" s="1" t="s">
        <v>5811</v>
      </c>
    </row>
    <row r="722" spans="14:21">
      <c r="N722" s="1" t="s">
        <v>951</v>
      </c>
      <c r="O722" s="1" t="s">
        <v>783</v>
      </c>
      <c r="P722" s="1" t="s">
        <v>5812</v>
      </c>
      <c r="Q722" s="1" t="s">
        <v>5567</v>
      </c>
      <c r="R722" s="1"/>
      <c r="S722" s="1" t="s">
        <v>5812</v>
      </c>
      <c r="T722" s="51" t="s">
        <v>5813</v>
      </c>
      <c r="U722" s="1" t="s">
        <v>5814</v>
      </c>
    </row>
    <row r="723" spans="14:21">
      <c r="N723" s="1" t="s">
        <v>951</v>
      </c>
      <c r="O723" s="1" t="s">
        <v>784</v>
      </c>
      <c r="P723" s="1" t="s">
        <v>5815</v>
      </c>
      <c r="Q723" s="1" t="s">
        <v>5816</v>
      </c>
      <c r="R723" s="1"/>
      <c r="S723" s="1" t="s">
        <v>5815</v>
      </c>
      <c r="T723" s="51" t="s">
        <v>5817</v>
      </c>
      <c r="U723" s="1" t="s">
        <v>5818</v>
      </c>
    </row>
    <row r="724" spans="14:21">
      <c r="N724" s="1" t="s">
        <v>951</v>
      </c>
      <c r="O724" s="1" t="s">
        <v>785</v>
      </c>
      <c r="P724" s="1" t="s">
        <v>5819</v>
      </c>
      <c r="Q724" s="1" t="s">
        <v>5820</v>
      </c>
      <c r="R724" s="1"/>
      <c r="S724" s="1" t="s">
        <v>5819</v>
      </c>
      <c r="T724" s="51" t="s">
        <v>5821</v>
      </c>
      <c r="U724" s="1" t="s">
        <v>5822</v>
      </c>
    </row>
    <row r="725" spans="14:21">
      <c r="N725" s="1" t="s">
        <v>951</v>
      </c>
      <c r="O725" s="1" t="s">
        <v>786</v>
      </c>
      <c r="P725" s="1" t="s">
        <v>5823</v>
      </c>
      <c r="Q725" s="1" t="s">
        <v>5824</v>
      </c>
      <c r="R725" s="1"/>
      <c r="S725" s="1" t="s">
        <v>5823</v>
      </c>
      <c r="T725" s="51" t="s">
        <v>5825</v>
      </c>
      <c r="U725" s="1" t="s">
        <v>5606</v>
      </c>
    </row>
    <row r="726" spans="14:21">
      <c r="N726" s="1" t="s">
        <v>951</v>
      </c>
      <c r="O726" s="1" t="s">
        <v>787</v>
      </c>
      <c r="P726" s="1" t="s">
        <v>5826</v>
      </c>
      <c r="Q726" s="1" t="s">
        <v>5827</v>
      </c>
      <c r="R726" s="1"/>
      <c r="S726" s="1" t="s">
        <v>5826</v>
      </c>
      <c r="T726" s="51" t="s">
        <v>5828</v>
      </c>
      <c r="U726" s="1" t="s">
        <v>5829</v>
      </c>
    </row>
    <row r="727" spans="14:21">
      <c r="N727" s="1" t="s">
        <v>951</v>
      </c>
      <c r="O727" s="1" t="s">
        <v>788</v>
      </c>
      <c r="P727" s="1" t="s">
        <v>5830</v>
      </c>
      <c r="Q727" s="1" t="s">
        <v>5831</v>
      </c>
      <c r="R727" s="1"/>
      <c r="S727" s="1" t="s">
        <v>5830</v>
      </c>
      <c r="T727" s="51" t="s">
        <v>5832</v>
      </c>
      <c r="U727" s="1" t="s">
        <v>4006</v>
      </c>
    </row>
    <row r="728" spans="14:21">
      <c r="N728" s="1" t="s">
        <v>951</v>
      </c>
      <c r="O728" s="1" t="s">
        <v>789</v>
      </c>
      <c r="P728" s="1" t="s">
        <v>5833</v>
      </c>
      <c r="Q728" s="1" t="s">
        <v>5834</v>
      </c>
      <c r="R728" s="1"/>
      <c r="S728" s="1" t="s">
        <v>5833</v>
      </c>
      <c r="T728" s="51" t="s">
        <v>5835</v>
      </c>
      <c r="U728" s="1" t="s">
        <v>5836</v>
      </c>
    </row>
    <row r="729" spans="14:21">
      <c r="N729" s="1" t="s">
        <v>951</v>
      </c>
      <c r="O729" s="1" t="s">
        <v>790</v>
      </c>
      <c r="P729" s="1" t="s">
        <v>5837</v>
      </c>
      <c r="Q729" s="1" t="s">
        <v>5838</v>
      </c>
      <c r="R729" s="1"/>
      <c r="S729" s="1" t="s">
        <v>5837</v>
      </c>
      <c r="T729" s="51" t="s">
        <v>5839</v>
      </c>
      <c r="U729" s="1" t="s">
        <v>5667</v>
      </c>
    </row>
    <row r="730" spans="14:21">
      <c r="N730" s="1" t="s">
        <v>951</v>
      </c>
      <c r="O730" s="1" t="s">
        <v>791</v>
      </c>
      <c r="P730" s="1" t="s">
        <v>5840</v>
      </c>
      <c r="Q730" s="1" t="s">
        <v>5841</v>
      </c>
      <c r="R730" s="1"/>
      <c r="S730" s="1" t="s">
        <v>5840</v>
      </c>
      <c r="T730" s="51" t="s">
        <v>5842</v>
      </c>
      <c r="U730" s="1" t="s">
        <v>5843</v>
      </c>
    </row>
    <row r="731" spans="14:21">
      <c r="N731" s="1" t="s">
        <v>951</v>
      </c>
      <c r="O731" s="1" t="s">
        <v>792</v>
      </c>
      <c r="P731" s="1" t="s">
        <v>5844</v>
      </c>
      <c r="Q731" s="1" t="s">
        <v>5845</v>
      </c>
      <c r="R731" s="1"/>
      <c r="S731" s="1" t="s">
        <v>5844</v>
      </c>
      <c r="T731" s="51" t="s">
        <v>5846</v>
      </c>
      <c r="U731" s="1" t="s">
        <v>5847</v>
      </c>
    </row>
    <row r="732" spans="14:21">
      <c r="N732" s="1" t="s">
        <v>951</v>
      </c>
      <c r="O732" s="1" t="s">
        <v>793</v>
      </c>
      <c r="P732" s="1" t="s">
        <v>5848</v>
      </c>
      <c r="Q732" s="1" t="s">
        <v>5849</v>
      </c>
      <c r="R732" s="1"/>
      <c r="S732" s="1" t="s">
        <v>5848</v>
      </c>
      <c r="T732" s="51" t="s">
        <v>5850</v>
      </c>
      <c r="U732" s="1" t="s">
        <v>5851</v>
      </c>
    </row>
    <row r="733" spans="14:21">
      <c r="N733" s="1" t="s">
        <v>951</v>
      </c>
      <c r="O733" s="1" t="s">
        <v>794</v>
      </c>
      <c r="P733" s="1" t="s">
        <v>5852</v>
      </c>
      <c r="Q733" s="1" t="s">
        <v>5853</v>
      </c>
      <c r="R733" s="1"/>
      <c r="S733" s="1" t="s">
        <v>5852</v>
      </c>
      <c r="T733" s="51" t="s">
        <v>5854</v>
      </c>
      <c r="U733" s="1" t="s">
        <v>5855</v>
      </c>
    </row>
    <row r="734" spans="14:21">
      <c r="N734" s="1" t="s">
        <v>951</v>
      </c>
      <c r="O734" s="1" t="s">
        <v>795</v>
      </c>
      <c r="P734" s="1" t="s">
        <v>5856</v>
      </c>
      <c r="Q734" s="1" t="s">
        <v>5857</v>
      </c>
      <c r="R734" s="1"/>
      <c r="S734" s="1" t="s">
        <v>5856</v>
      </c>
      <c r="T734" s="51" t="s">
        <v>5858</v>
      </c>
      <c r="U734" s="1" t="s">
        <v>5859</v>
      </c>
    </row>
    <row r="735" spans="14:21">
      <c r="N735" s="1" t="s">
        <v>951</v>
      </c>
      <c r="O735" s="1" t="s">
        <v>796</v>
      </c>
      <c r="P735" s="1" t="s">
        <v>5860</v>
      </c>
      <c r="Q735" s="1" t="s">
        <v>5861</v>
      </c>
      <c r="R735" s="1"/>
      <c r="S735" s="1" t="s">
        <v>5860</v>
      </c>
      <c r="T735" s="51" t="s">
        <v>5862</v>
      </c>
      <c r="U735" s="1" t="s">
        <v>4734</v>
      </c>
    </row>
    <row r="736" spans="14:21">
      <c r="N736" s="1" t="s">
        <v>951</v>
      </c>
      <c r="O736" s="1" t="s">
        <v>797</v>
      </c>
      <c r="P736" s="1" t="s">
        <v>5863</v>
      </c>
      <c r="Q736" s="1" t="s">
        <v>5415</v>
      </c>
      <c r="R736" s="1"/>
      <c r="S736" s="1" t="s">
        <v>5863</v>
      </c>
      <c r="T736" s="51" t="s">
        <v>5864</v>
      </c>
      <c r="U736" s="1" t="s">
        <v>5865</v>
      </c>
    </row>
    <row r="737" spans="14:21">
      <c r="N737" s="1" t="s">
        <v>951</v>
      </c>
      <c r="O737" s="1" t="s">
        <v>798</v>
      </c>
      <c r="P737" s="1" t="s">
        <v>5866</v>
      </c>
      <c r="Q737" s="1" t="s">
        <v>5867</v>
      </c>
      <c r="R737" s="1"/>
      <c r="S737" s="1" t="s">
        <v>5866</v>
      </c>
      <c r="T737" s="51" t="s">
        <v>5868</v>
      </c>
      <c r="U737" s="1" t="s">
        <v>5869</v>
      </c>
    </row>
    <row r="738" spans="14:21">
      <c r="N738" s="1" t="s">
        <v>951</v>
      </c>
      <c r="O738" s="1" t="s">
        <v>799</v>
      </c>
      <c r="P738" s="1" t="s">
        <v>5870</v>
      </c>
      <c r="Q738" s="1" t="s">
        <v>5634</v>
      </c>
      <c r="R738" s="1"/>
      <c r="S738" s="1" t="s">
        <v>5870</v>
      </c>
      <c r="T738" s="51" t="s">
        <v>5871</v>
      </c>
      <c r="U738" s="1" t="s">
        <v>5385</v>
      </c>
    </row>
    <row r="739" spans="14:21">
      <c r="N739" s="1" t="s">
        <v>951</v>
      </c>
      <c r="O739" s="1" t="s">
        <v>800</v>
      </c>
      <c r="P739" s="1" t="s">
        <v>5872</v>
      </c>
      <c r="Q739" s="1" t="s">
        <v>5873</v>
      </c>
      <c r="R739" s="1"/>
      <c r="S739" s="1" t="s">
        <v>5872</v>
      </c>
      <c r="T739" s="51" t="s">
        <v>5874</v>
      </c>
      <c r="U739" s="1" t="s">
        <v>5875</v>
      </c>
    </row>
    <row r="740" spans="14:21">
      <c r="N740" s="1" t="s">
        <v>951</v>
      </c>
      <c r="O740" s="1" t="s">
        <v>801</v>
      </c>
      <c r="P740" s="1" t="s">
        <v>5876</v>
      </c>
      <c r="Q740" s="1" t="s">
        <v>5877</v>
      </c>
      <c r="R740" s="1"/>
      <c r="S740" s="1" t="s">
        <v>5876</v>
      </c>
      <c r="T740" s="51" t="s">
        <v>5878</v>
      </c>
      <c r="U740" s="1" t="s">
        <v>5879</v>
      </c>
    </row>
    <row r="741" spans="14:21">
      <c r="N741" s="1" t="s">
        <v>951</v>
      </c>
      <c r="O741" s="1" t="s">
        <v>802</v>
      </c>
      <c r="P741" s="1" t="s">
        <v>5880</v>
      </c>
      <c r="Q741" s="1" t="s">
        <v>5881</v>
      </c>
      <c r="R741" s="1"/>
      <c r="S741" s="1" t="s">
        <v>5880</v>
      </c>
      <c r="T741" s="51" t="s">
        <v>5882</v>
      </c>
      <c r="U741" s="1" t="s">
        <v>5883</v>
      </c>
    </row>
    <row r="742" spans="14:21">
      <c r="N742" s="1" t="s">
        <v>951</v>
      </c>
      <c r="O742" s="1" t="s">
        <v>803</v>
      </c>
      <c r="P742" s="1" t="s">
        <v>5884</v>
      </c>
      <c r="Q742" s="1" t="s">
        <v>5885</v>
      </c>
      <c r="R742" s="1"/>
      <c r="S742" s="1" t="s">
        <v>5884</v>
      </c>
      <c r="T742" s="51" t="s">
        <v>5886</v>
      </c>
      <c r="U742" s="1" t="s">
        <v>5887</v>
      </c>
    </row>
    <row r="743" spans="14:21">
      <c r="N743" s="1" t="s">
        <v>951</v>
      </c>
      <c r="O743" s="1" t="s">
        <v>804</v>
      </c>
      <c r="P743" s="1" t="s">
        <v>5888</v>
      </c>
      <c r="Q743" s="1" t="s">
        <v>5889</v>
      </c>
      <c r="R743" s="1"/>
      <c r="S743" s="1" t="s">
        <v>5888</v>
      </c>
      <c r="T743" s="51" t="s">
        <v>5890</v>
      </c>
      <c r="U743" s="1" t="s">
        <v>5890</v>
      </c>
    </row>
    <row r="744" spans="14:21">
      <c r="N744" s="1" t="s">
        <v>951</v>
      </c>
      <c r="O744" s="1" t="s">
        <v>805</v>
      </c>
      <c r="P744" s="1" t="s">
        <v>5891</v>
      </c>
      <c r="Q744" s="1" t="s">
        <v>5892</v>
      </c>
      <c r="R744" s="1"/>
      <c r="S744" s="1" t="s">
        <v>5891</v>
      </c>
      <c r="T744" s="51" t="s">
        <v>5893</v>
      </c>
      <c r="U744" s="1" t="s">
        <v>5690</v>
      </c>
    </row>
    <row r="745" spans="14:21">
      <c r="N745" s="1" t="s">
        <v>951</v>
      </c>
      <c r="O745" s="1" t="s">
        <v>806</v>
      </c>
      <c r="P745" s="1" t="s">
        <v>5894</v>
      </c>
      <c r="Q745" s="1" t="s">
        <v>5895</v>
      </c>
      <c r="R745" s="1"/>
      <c r="S745" s="1" t="s">
        <v>5894</v>
      </c>
      <c r="T745" s="51" t="s">
        <v>5896</v>
      </c>
      <c r="U745" s="1" t="s">
        <v>5089</v>
      </c>
    </row>
    <row r="746" spans="14:21">
      <c r="N746" s="1" t="s">
        <v>951</v>
      </c>
      <c r="O746" s="1" t="s">
        <v>807</v>
      </c>
      <c r="P746" s="1" t="s">
        <v>5897</v>
      </c>
      <c r="Q746" s="1" t="s">
        <v>5898</v>
      </c>
      <c r="R746" s="1"/>
      <c r="S746" s="1" t="s">
        <v>5897</v>
      </c>
      <c r="T746" s="51" t="s">
        <v>5899</v>
      </c>
      <c r="U746" s="1" t="s">
        <v>5900</v>
      </c>
    </row>
    <row r="747" spans="14:21">
      <c r="N747" s="1" t="s">
        <v>951</v>
      </c>
      <c r="O747" s="1" t="s">
        <v>233</v>
      </c>
      <c r="P747" s="1" t="s">
        <v>5901</v>
      </c>
      <c r="Q747" s="1" t="s">
        <v>5902</v>
      </c>
      <c r="R747" s="1"/>
      <c r="S747" s="1" t="s">
        <v>5901</v>
      </c>
      <c r="T747" s="51" t="s">
        <v>5903</v>
      </c>
      <c r="U747" s="1" t="s">
        <v>5904</v>
      </c>
    </row>
    <row r="748" spans="14:21">
      <c r="N748" s="1" t="s">
        <v>951</v>
      </c>
      <c r="O748" s="1" t="s">
        <v>234</v>
      </c>
      <c r="P748" s="1" t="s">
        <v>5905</v>
      </c>
      <c r="Q748" s="1" t="s">
        <v>5906</v>
      </c>
      <c r="R748" s="1"/>
      <c r="S748" s="1" t="s">
        <v>5905</v>
      </c>
      <c r="T748" s="51" t="s">
        <v>5907</v>
      </c>
      <c r="U748" s="1" t="s">
        <v>5612</v>
      </c>
    </row>
    <row r="749" spans="14:21">
      <c r="N749" s="1" t="s">
        <v>951</v>
      </c>
      <c r="O749" s="1" t="s">
        <v>235</v>
      </c>
      <c r="P749" s="1" t="s">
        <v>5908</v>
      </c>
      <c r="Q749" s="1" t="s">
        <v>4882</v>
      </c>
      <c r="R749" s="1"/>
      <c r="S749" s="1" t="s">
        <v>5908</v>
      </c>
      <c r="T749" s="51" t="s">
        <v>5909</v>
      </c>
      <c r="U749" s="1" t="s">
        <v>5642</v>
      </c>
    </row>
    <row r="750" spans="14:21">
      <c r="N750" s="1" t="s">
        <v>951</v>
      </c>
      <c r="O750" s="1" t="s">
        <v>236</v>
      </c>
      <c r="P750" s="1" t="s">
        <v>5910</v>
      </c>
      <c r="Q750" s="1" t="s">
        <v>5911</v>
      </c>
      <c r="R750" s="1"/>
      <c r="S750" s="1" t="s">
        <v>5910</v>
      </c>
      <c r="T750" s="51" t="s">
        <v>5912</v>
      </c>
      <c r="U750" s="1" t="s">
        <v>5913</v>
      </c>
    </row>
    <row r="751" spans="14:21">
      <c r="N751" s="1" t="s">
        <v>951</v>
      </c>
      <c r="O751" s="1" t="s">
        <v>237</v>
      </c>
      <c r="P751" s="1" t="s">
        <v>5914</v>
      </c>
      <c r="Q751" s="1" t="s">
        <v>4987</v>
      </c>
      <c r="R751" s="1"/>
      <c r="S751" s="1" t="s">
        <v>5914</v>
      </c>
      <c r="T751" s="51" t="s">
        <v>5915</v>
      </c>
      <c r="U751" s="1" t="s">
        <v>5916</v>
      </c>
    </row>
    <row r="752" spans="14:21">
      <c r="N752" s="1" t="s">
        <v>951</v>
      </c>
      <c r="O752" s="1" t="s">
        <v>238</v>
      </c>
      <c r="P752" s="1" t="s">
        <v>5917</v>
      </c>
      <c r="Q752" s="1" t="s">
        <v>4815</v>
      </c>
      <c r="R752" s="1"/>
      <c r="S752" s="1" t="s">
        <v>5917</v>
      </c>
      <c r="T752" s="51" t="s">
        <v>5918</v>
      </c>
      <c r="U752" s="1" t="s">
        <v>5639</v>
      </c>
    </row>
    <row r="753" spans="14:21">
      <c r="N753" s="1" t="s">
        <v>951</v>
      </c>
      <c r="O753" s="1" t="s">
        <v>239</v>
      </c>
      <c r="P753" s="1" t="s">
        <v>5919</v>
      </c>
      <c r="Q753" s="1" t="s">
        <v>5028</v>
      </c>
      <c r="R753" s="1"/>
      <c r="S753" s="1" t="s">
        <v>5919</v>
      </c>
      <c r="T753" s="51" t="s">
        <v>5920</v>
      </c>
      <c r="U753" s="1" t="s">
        <v>5921</v>
      </c>
    </row>
    <row r="754" spans="14:21">
      <c r="N754" s="1" t="s">
        <v>951</v>
      </c>
      <c r="O754" s="1" t="s">
        <v>240</v>
      </c>
      <c r="P754" s="1" t="s">
        <v>5922</v>
      </c>
      <c r="Q754" s="1" t="s">
        <v>5923</v>
      </c>
      <c r="R754" s="1"/>
      <c r="S754" s="1" t="s">
        <v>5922</v>
      </c>
      <c r="T754" s="51" t="s">
        <v>5924</v>
      </c>
      <c r="U754" s="1" t="s">
        <v>5779</v>
      </c>
    </row>
    <row r="755" spans="14:21">
      <c r="N755" s="1" t="s">
        <v>951</v>
      </c>
      <c r="O755" s="1" t="s">
        <v>241</v>
      </c>
      <c r="P755" s="1" t="s">
        <v>5925</v>
      </c>
      <c r="Q755" s="1" t="s">
        <v>5201</v>
      </c>
      <c r="R755" s="1"/>
      <c r="S755" s="1" t="s">
        <v>5925</v>
      </c>
      <c r="T755" s="51" t="s">
        <v>5926</v>
      </c>
      <c r="U755" s="1" t="s">
        <v>4595</v>
      </c>
    </row>
    <row r="756" spans="14:21">
      <c r="N756" s="1" t="s">
        <v>951</v>
      </c>
      <c r="O756" s="1" t="s">
        <v>242</v>
      </c>
      <c r="P756" s="1" t="s">
        <v>5927</v>
      </c>
      <c r="Q756" s="1" t="s">
        <v>5928</v>
      </c>
      <c r="R756" s="1"/>
      <c r="S756" s="1" t="s">
        <v>5927</v>
      </c>
      <c r="T756" s="51" t="s">
        <v>5929</v>
      </c>
      <c r="U756" s="1" t="s">
        <v>5930</v>
      </c>
    </row>
    <row r="757" spans="14:21">
      <c r="N757" s="1" t="s">
        <v>951</v>
      </c>
      <c r="O757" s="1" t="s">
        <v>243</v>
      </c>
      <c r="P757" s="1" t="s">
        <v>5931</v>
      </c>
      <c r="Q757" s="1" t="s">
        <v>4526</v>
      </c>
      <c r="R757" s="1"/>
      <c r="S757" s="1" t="s">
        <v>5931</v>
      </c>
      <c r="T757" s="51" t="s">
        <v>5932</v>
      </c>
      <c r="U757" s="1" t="s">
        <v>4721</v>
      </c>
    </row>
    <row r="758" spans="14:21">
      <c r="N758" s="1" t="s">
        <v>951</v>
      </c>
      <c r="O758" s="1" t="s">
        <v>244</v>
      </c>
      <c r="P758" s="1" t="s">
        <v>5933</v>
      </c>
      <c r="Q758" s="1" t="s">
        <v>4109</v>
      </c>
      <c r="R758" s="1"/>
      <c r="S758" s="1" t="s">
        <v>5933</v>
      </c>
      <c r="T758" s="51" t="s">
        <v>5934</v>
      </c>
      <c r="U758" s="1" t="s">
        <v>4771</v>
      </c>
    </row>
    <row r="759" spans="14:21">
      <c r="N759" s="1" t="s">
        <v>951</v>
      </c>
      <c r="O759" s="1" t="s">
        <v>245</v>
      </c>
      <c r="P759" s="1" t="s">
        <v>5935</v>
      </c>
      <c r="Q759" s="1" t="s">
        <v>5822</v>
      </c>
      <c r="R759" s="1"/>
      <c r="S759" s="1" t="s">
        <v>5935</v>
      </c>
      <c r="T759" s="51" t="s">
        <v>5936</v>
      </c>
      <c r="U759" s="1" t="s">
        <v>5820</v>
      </c>
    </row>
    <row r="760" spans="14:21">
      <c r="N760" s="1" t="s">
        <v>951</v>
      </c>
      <c r="O760" s="1" t="s">
        <v>246</v>
      </c>
      <c r="P760" s="1" t="s">
        <v>5937</v>
      </c>
      <c r="Q760" s="1" t="s">
        <v>5938</v>
      </c>
      <c r="R760" s="1"/>
      <c r="S760" s="1" t="s">
        <v>5937</v>
      </c>
      <c r="T760" s="51" t="s">
        <v>5939</v>
      </c>
      <c r="U760" s="1" t="s">
        <v>5940</v>
      </c>
    </row>
    <row r="761" spans="14:21">
      <c r="N761" s="1" t="s">
        <v>951</v>
      </c>
      <c r="O761" s="1" t="s">
        <v>247</v>
      </c>
      <c r="P761" s="1" t="s">
        <v>5941</v>
      </c>
      <c r="Q761" s="1" t="s">
        <v>5942</v>
      </c>
      <c r="R761" s="1"/>
      <c r="S761" s="1" t="s">
        <v>5941</v>
      </c>
      <c r="T761" s="51" t="s">
        <v>5943</v>
      </c>
      <c r="U761" s="1" t="s">
        <v>5944</v>
      </c>
    </row>
    <row r="762" spans="14:21">
      <c r="N762" s="1" t="s">
        <v>951</v>
      </c>
      <c r="O762" s="1" t="s">
        <v>248</v>
      </c>
      <c r="P762" s="1" t="s">
        <v>5945</v>
      </c>
      <c r="Q762" s="1" t="s">
        <v>5946</v>
      </c>
      <c r="R762" s="1"/>
      <c r="S762" s="1" t="s">
        <v>5945</v>
      </c>
      <c r="T762" s="51" t="s">
        <v>5947</v>
      </c>
      <c r="U762" s="1" t="s">
        <v>5948</v>
      </c>
    </row>
    <row r="763" spans="14:21">
      <c r="N763" s="1" t="s">
        <v>951</v>
      </c>
      <c r="O763" s="1" t="s">
        <v>249</v>
      </c>
      <c r="P763" s="1" t="s">
        <v>5949</v>
      </c>
      <c r="Q763" s="1" t="s">
        <v>5737</v>
      </c>
      <c r="R763" s="1"/>
      <c r="S763" s="1" t="s">
        <v>5949</v>
      </c>
      <c r="T763" s="51" t="s">
        <v>5950</v>
      </c>
      <c r="U763" s="1" t="s">
        <v>5951</v>
      </c>
    </row>
    <row r="764" spans="14:21">
      <c r="N764" s="1" t="s">
        <v>951</v>
      </c>
      <c r="O764" s="1" t="s">
        <v>250</v>
      </c>
      <c r="P764" s="1" t="s">
        <v>5952</v>
      </c>
      <c r="Q764" s="1" t="s">
        <v>5953</v>
      </c>
      <c r="R764" s="1"/>
      <c r="S764" s="1" t="s">
        <v>5952</v>
      </c>
      <c r="T764" s="51" t="s">
        <v>5954</v>
      </c>
      <c r="U764" s="1" t="s">
        <v>5955</v>
      </c>
    </row>
    <row r="765" spans="14:21">
      <c r="N765" s="1" t="s">
        <v>951</v>
      </c>
      <c r="O765" s="1" t="s">
        <v>251</v>
      </c>
      <c r="P765" s="1" t="s">
        <v>5956</v>
      </c>
      <c r="Q765" s="1" t="s">
        <v>5957</v>
      </c>
      <c r="R765" s="1"/>
      <c r="S765" s="1" t="s">
        <v>5956</v>
      </c>
      <c r="T765" s="51" t="s">
        <v>5958</v>
      </c>
      <c r="U765" s="1" t="s">
        <v>4331</v>
      </c>
    </row>
    <row r="766" spans="14:21">
      <c r="N766" s="1" t="s">
        <v>951</v>
      </c>
      <c r="O766" s="1" t="s">
        <v>252</v>
      </c>
      <c r="P766" s="1" t="s">
        <v>5959</v>
      </c>
      <c r="Q766" s="1" t="s">
        <v>5960</v>
      </c>
      <c r="R766" s="1"/>
      <c r="S766" s="1" t="s">
        <v>5959</v>
      </c>
      <c r="T766" s="51" t="s">
        <v>5961</v>
      </c>
      <c r="U766" s="1" t="s">
        <v>5962</v>
      </c>
    </row>
    <row r="767" spans="14:21">
      <c r="N767" s="1" t="s">
        <v>951</v>
      </c>
      <c r="O767" s="1" t="s">
        <v>253</v>
      </c>
      <c r="P767" s="1" t="s">
        <v>5963</v>
      </c>
      <c r="Q767" s="1" t="s">
        <v>5964</v>
      </c>
      <c r="R767" s="1"/>
      <c r="S767" s="1" t="s">
        <v>5963</v>
      </c>
      <c r="T767" s="51" t="s">
        <v>5965</v>
      </c>
      <c r="U767" s="1" t="s">
        <v>5966</v>
      </c>
    </row>
    <row r="768" spans="14:21">
      <c r="N768" s="1" t="s">
        <v>951</v>
      </c>
      <c r="O768" s="1" t="s">
        <v>254</v>
      </c>
      <c r="P768" s="1" t="s">
        <v>5967</v>
      </c>
      <c r="Q768" s="1" t="s">
        <v>5968</v>
      </c>
      <c r="R768" s="1"/>
      <c r="S768" s="1" t="s">
        <v>5967</v>
      </c>
      <c r="T768" s="51" t="s">
        <v>5969</v>
      </c>
      <c r="U768" s="1" t="s">
        <v>5970</v>
      </c>
    </row>
    <row r="769" spans="14:21">
      <c r="N769" s="1" t="s">
        <v>951</v>
      </c>
      <c r="O769" s="1" t="s">
        <v>255</v>
      </c>
      <c r="P769" s="1" t="s">
        <v>5971</v>
      </c>
      <c r="Q769" s="1" t="s">
        <v>5970</v>
      </c>
      <c r="R769" s="1"/>
      <c r="S769" s="1" t="s">
        <v>5971</v>
      </c>
      <c r="T769" s="51" t="s">
        <v>5972</v>
      </c>
      <c r="U769" s="1" t="s">
        <v>5973</v>
      </c>
    </row>
    <row r="770" spans="14:21">
      <c r="N770" s="1" t="s">
        <v>951</v>
      </c>
      <c r="O770" s="1" t="s">
        <v>256</v>
      </c>
      <c r="P770" s="1" t="s">
        <v>5974</v>
      </c>
      <c r="Q770" s="1" t="s">
        <v>4093</v>
      </c>
      <c r="R770" s="1"/>
      <c r="S770" s="1" t="s">
        <v>5974</v>
      </c>
      <c r="T770" s="51" t="s">
        <v>5975</v>
      </c>
      <c r="U770" s="1" t="s">
        <v>4386</v>
      </c>
    </row>
  </sheetData>
  <mergeCells count="41">
    <mergeCell ref="A332:B332"/>
    <mergeCell ref="A339:K339"/>
    <mergeCell ref="G3:H3"/>
    <mergeCell ref="A1:K1"/>
    <mergeCell ref="S33:U33"/>
    <mergeCell ref="A31:K31"/>
    <mergeCell ref="D33:I33"/>
    <mergeCell ref="N33:O33"/>
    <mergeCell ref="P33:Q33"/>
    <mergeCell ref="AA1:AI1"/>
    <mergeCell ref="J34:K34"/>
    <mergeCell ref="A54:O54"/>
    <mergeCell ref="E87:J87"/>
    <mergeCell ref="M87:P87"/>
    <mergeCell ref="W87:X87"/>
    <mergeCell ref="M1:Y1"/>
    <mergeCell ref="A2:K2"/>
    <mergeCell ref="M2:Y2"/>
    <mergeCell ref="A3:B3"/>
    <mergeCell ref="G34:H34"/>
    <mergeCell ref="D48:H48"/>
    <mergeCell ref="M31:Y31"/>
    <mergeCell ref="M32:U32"/>
    <mergeCell ref="A33:B33"/>
    <mergeCell ref="C3:D3"/>
    <mergeCell ref="Z169:AA169"/>
    <mergeCell ref="N385:U385"/>
    <mergeCell ref="A449:F449"/>
    <mergeCell ref="H449:L449"/>
    <mergeCell ref="D34:E34"/>
    <mergeCell ref="A140:I140"/>
    <mergeCell ref="A149:G149"/>
    <mergeCell ref="A150:G150"/>
    <mergeCell ref="A169:G169"/>
    <mergeCell ref="A220:F220"/>
    <mergeCell ref="A395:L395"/>
    <mergeCell ref="A422:L422"/>
    <mergeCell ref="H228:T228"/>
    <mergeCell ref="H239:M239"/>
    <mergeCell ref="P239:Q239"/>
    <mergeCell ref="A321:M321"/>
  </mergeCells>
  <conditionalFormatting sqref="A82:D82 A53:D53 F82:K82 F53:K53">
    <cfRule type="duplicateValues" dxfId="7" priority="8"/>
  </conditionalFormatting>
  <conditionalFormatting sqref="G57">
    <cfRule type="duplicateValues" dxfId="6" priority="7"/>
  </conditionalFormatting>
  <conditionalFormatting sqref="J58:K81">
    <cfRule type="duplicateValues" dxfId="5" priority="6"/>
  </conditionalFormatting>
  <conditionalFormatting sqref="E82 E53">
    <cfRule type="duplicateValues" dxfId="4" priority="5"/>
  </conditionalFormatting>
  <conditionalFormatting sqref="E58:E81">
    <cfRule type="duplicateValues" dxfId="3" priority="4"/>
  </conditionalFormatting>
  <conditionalFormatting sqref="F91:F138">
    <cfRule type="duplicateValues" dxfId="2" priority="3"/>
  </conditionalFormatting>
  <conditionalFormatting sqref="J5:J28">
    <cfRule type="containsText" dxfId="1" priority="2" operator="containsText" text="IDT">
      <formula>NOT(ISERROR(SEARCH("IDT",J5)))</formula>
    </cfRule>
  </conditionalFormatting>
  <conditionalFormatting sqref="W35:W46">
    <cfRule type="containsText" dxfId="0" priority="1" operator="containsText" text="IDT">
      <formula>NOT(ISERROR(SEARCH("IDT",W35)))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D0D3-2BA5-402E-B931-C5D103A3315B}">
  <sheetPr codeName="Sheet13" filterMode="1">
    <tabColor rgb="FFFF99FF"/>
  </sheetPr>
  <dimension ref="A1:T384"/>
  <sheetViews>
    <sheetView workbookViewId="0"/>
  </sheetViews>
  <sheetFormatPr defaultColWidth="9.140625" defaultRowHeight="15"/>
  <sheetData>
    <row r="1" spans="1:20">
      <c r="A1" t="s">
        <v>1146</v>
      </c>
      <c r="B1" t="s">
        <v>1147</v>
      </c>
      <c r="C1" t="s">
        <v>1148</v>
      </c>
      <c r="D1" t="s">
        <v>1149</v>
      </c>
      <c r="E1" t="s">
        <v>1150</v>
      </c>
      <c r="G1">
        <v>1</v>
      </c>
      <c r="H1" t="s">
        <v>924</v>
      </c>
      <c r="I1" t="s">
        <v>1151</v>
      </c>
      <c r="K1" t="s">
        <v>924</v>
      </c>
      <c r="L1">
        <v>1</v>
      </c>
      <c r="M1" t="s">
        <v>1152</v>
      </c>
      <c r="N1" t="s">
        <v>1147</v>
      </c>
      <c r="O1">
        <v>7052</v>
      </c>
      <c r="S1" t="s">
        <v>1152</v>
      </c>
      <c r="T1">
        <v>7052</v>
      </c>
    </row>
    <row r="2" spans="1:20" hidden="1">
      <c r="A2" t="s">
        <v>1153</v>
      </c>
      <c r="B2" t="s">
        <v>1154</v>
      </c>
      <c r="C2" t="s">
        <v>1155</v>
      </c>
      <c r="D2" t="s">
        <v>1156</v>
      </c>
      <c r="E2" t="s">
        <v>1157</v>
      </c>
      <c r="G2">
        <v>1</v>
      </c>
      <c r="H2" t="s">
        <v>937</v>
      </c>
      <c r="I2" t="s">
        <v>1158</v>
      </c>
      <c r="K2" t="s">
        <v>924</v>
      </c>
      <c r="L2">
        <v>1</v>
      </c>
      <c r="M2" t="s">
        <v>1159</v>
      </c>
      <c r="N2" t="s">
        <v>1148</v>
      </c>
      <c r="S2" t="s">
        <v>1160</v>
      </c>
    </row>
    <row r="3" spans="1:20" hidden="1">
      <c r="A3" t="s">
        <v>1161</v>
      </c>
      <c r="B3" t="s">
        <v>1162</v>
      </c>
      <c r="C3" t="s">
        <v>1163</v>
      </c>
      <c r="D3" t="s">
        <v>1164</v>
      </c>
      <c r="E3" t="s">
        <v>1165</v>
      </c>
      <c r="G3">
        <v>1</v>
      </c>
      <c r="H3" t="s">
        <v>950</v>
      </c>
      <c r="I3" t="s">
        <v>1166</v>
      </c>
      <c r="K3" t="s">
        <v>924</v>
      </c>
      <c r="L3">
        <v>1</v>
      </c>
      <c r="M3" t="s">
        <v>1167</v>
      </c>
      <c r="N3" t="s">
        <v>1149</v>
      </c>
      <c r="O3" t="s">
        <v>212</v>
      </c>
      <c r="S3" t="s">
        <v>1168</v>
      </c>
      <c r="T3" t="s">
        <v>1169</v>
      </c>
    </row>
    <row r="4" spans="1:20" hidden="1">
      <c r="A4" t="s">
        <v>1170</v>
      </c>
      <c r="B4" t="s">
        <v>1171</v>
      </c>
      <c r="C4" t="s">
        <v>1172</v>
      </c>
      <c r="D4" t="s">
        <v>1173</v>
      </c>
      <c r="E4" t="s">
        <v>1174</v>
      </c>
      <c r="G4">
        <v>1</v>
      </c>
      <c r="H4" t="s">
        <v>951</v>
      </c>
      <c r="I4" t="s">
        <v>1175</v>
      </c>
      <c r="K4" t="s">
        <v>924</v>
      </c>
      <c r="L4">
        <v>1</v>
      </c>
      <c r="M4" t="s">
        <v>1176</v>
      </c>
      <c r="N4" t="s">
        <v>1150</v>
      </c>
      <c r="O4" t="s">
        <v>1177</v>
      </c>
      <c r="S4" t="s">
        <v>1178</v>
      </c>
      <c r="T4" t="s">
        <v>1179</v>
      </c>
    </row>
    <row r="5" spans="1:20" hidden="1">
      <c r="A5" t="s">
        <v>1180</v>
      </c>
      <c r="B5" t="s">
        <v>1181</v>
      </c>
      <c r="C5" t="s">
        <v>1182</v>
      </c>
      <c r="D5" t="s">
        <v>1183</v>
      </c>
      <c r="E5" t="s">
        <v>1184</v>
      </c>
      <c r="G5">
        <v>7</v>
      </c>
      <c r="H5" t="s">
        <v>924</v>
      </c>
      <c r="I5" t="s">
        <v>1185</v>
      </c>
      <c r="K5" t="s">
        <v>937</v>
      </c>
      <c r="L5">
        <v>1</v>
      </c>
      <c r="M5" t="s">
        <v>1160</v>
      </c>
      <c r="N5" t="s">
        <v>1154</v>
      </c>
      <c r="S5" t="s">
        <v>1186</v>
      </c>
    </row>
    <row r="6" spans="1:20" hidden="1">
      <c r="A6" t="s">
        <v>1187</v>
      </c>
      <c r="B6" t="s">
        <v>1188</v>
      </c>
      <c r="C6" t="s">
        <v>1189</v>
      </c>
      <c r="D6" t="s">
        <v>1190</v>
      </c>
      <c r="E6" t="s">
        <v>1191</v>
      </c>
      <c r="G6">
        <v>7</v>
      </c>
      <c r="H6" t="s">
        <v>937</v>
      </c>
      <c r="I6" t="s">
        <v>1192</v>
      </c>
      <c r="K6" t="s">
        <v>937</v>
      </c>
      <c r="L6">
        <v>1</v>
      </c>
      <c r="M6" t="s">
        <v>1193</v>
      </c>
      <c r="N6" t="s">
        <v>1155</v>
      </c>
      <c r="O6" t="s">
        <v>1194</v>
      </c>
      <c r="S6" t="s">
        <v>1195</v>
      </c>
    </row>
    <row r="7" spans="1:20" hidden="1">
      <c r="A7" t="s">
        <v>1196</v>
      </c>
      <c r="B7" t="s">
        <v>1197</v>
      </c>
      <c r="C7" t="s">
        <v>1198</v>
      </c>
      <c r="D7" t="s">
        <v>1199</v>
      </c>
      <c r="E7" t="s">
        <v>1200</v>
      </c>
      <c r="G7">
        <v>7</v>
      </c>
      <c r="H7" t="s">
        <v>950</v>
      </c>
      <c r="I7" t="s">
        <v>1201</v>
      </c>
      <c r="K7" t="s">
        <v>937</v>
      </c>
      <c r="L7">
        <v>1</v>
      </c>
      <c r="M7" t="s">
        <v>1202</v>
      </c>
      <c r="N7" t="s">
        <v>1156</v>
      </c>
      <c r="S7" t="s">
        <v>1203</v>
      </c>
      <c r="T7" t="s">
        <v>1204</v>
      </c>
    </row>
    <row r="8" spans="1:20" hidden="1">
      <c r="A8" t="s">
        <v>1205</v>
      </c>
      <c r="B8" t="s">
        <v>1206</v>
      </c>
      <c r="C8" t="s">
        <v>1207</v>
      </c>
      <c r="D8" t="s">
        <v>1208</v>
      </c>
      <c r="E8" t="s">
        <v>1209</v>
      </c>
      <c r="G8">
        <v>7</v>
      </c>
      <c r="H8" t="s">
        <v>951</v>
      </c>
      <c r="I8" t="s">
        <v>1210</v>
      </c>
      <c r="K8" t="s">
        <v>937</v>
      </c>
      <c r="L8">
        <v>1</v>
      </c>
      <c r="M8" t="s">
        <v>1211</v>
      </c>
      <c r="N8" t="s">
        <v>1157</v>
      </c>
      <c r="O8" t="s">
        <v>1212</v>
      </c>
      <c r="S8" t="s">
        <v>1213</v>
      </c>
      <c r="T8" t="s">
        <v>1214</v>
      </c>
    </row>
    <row r="9" spans="1:20" hidden="1">
      <c r="A9" t="s">
        <v>1215</v>
      </c>
      <c r="B9" t="s">
        <v>1216</v>
      </c>
      <c r="C9" t="s">
        <v>1217</v>
      </c>
      <c r="D9" t="s">
        <v>1218</v>
      </c>
      <c r="E9" t="s">
        <v>1219</v>
      </c>
      <c r="K9" t="s">
        <v>950</v>
      </c>
      <c r="L9">
        <v>1</v>
      </c>
      <c r="M9" t="s">
        <v>1168</v>
      </c>
      <c r="N9" t="s">
        <v>1162</v>
      </c>
      <c r="O9" t="s">
        <v>1169</v>
      </c>
      <c r="S9" t="s">
        <v>1220</v>
      </c>
      <c r="T9" t="s">
        <v>171</v>
      </c>
    </row>
    <row r="10" spans="1:20" hidden="1">
      <c r="A10" t="s">
        <v>1221</v>
      </c>
      <c r="B10" t="s">
        <v>1222</v>
      </c>
      <c r="C10" t="s">
        <v>1223</v>
      </c>
      <c r="D10" t="s">
        <v>1224</v>
      </c>
      <c r="E10" t="s">
        <v>1225</v>
      </c>
      <c r="K10" t="s">
        <v>950</v>
      </c>
      <c r="L10">
        <v>1</v>
      </c>
      <c r="M10" t="s">
        <v>1226</v>
      </c>
      <c r="N10" t="s">
        <v>1163</v>
      </c>
      <c r="O10" t="s">
        <v>1227</v>
      </c>
      <c r="S10" t="s">
        <v>1228</v>
      </c>
      <c r="T10" t="s">
        <v>1229</v>
      </c>
    </row>
    <row r="11" spans="1:20" hidden="1">
      <c r="A11" t="s">
        <v>1230</v>
      </c>
      <c r="B11" t="s">
        <v>1231</v>
      </c>
      <c r="C11" t="s">
        <v>1232</v>
      </c>
      <c r="D11" t="s">
        <v>1233</v>
      </c>
      <c r="E11" t="s">
        <v>1234</v>
      </c>
      <c r="K11" t="s">
        <v>950</v>
      </c>
      <c r="L11">
        <v>1</v>
      </c>
      <c r="M11" t="s">
        <v>1235</v>
      </c>
      <c r="N11" t="s">
        <v>1164</v>
      </c>
      <c r="O11" t="s">
        <v>1236</v>
      </c>
      <c r="S11" t="s">
        <v>1237</v>
      </c>
      <c r="T11" t="s">
        <v>1238</v>
      </c>
    </row>
    <row r="12" spans="1:20" hidden="1">
      <c r="A12" t="s">
        <v>1239</v>
      </c>
      <c r="B12" t="s">
        <v>1240</v>
      </c>
      <c r="C12" t="s">
        <v>1241</v>
      </c>
      <c r="D12" t="s">
        <v>1242</v>
      </c>
      <c r="E12" t="s">
        <v>1243</v>
      </c>
      <c r="K12" t="s">
        <v>950</v>
      </c>
      <c r="L12">
        <v>1</v>
      </c>
      <c r="M12" t="s">
        <v>1244</v>
      </c>
      <c r="N12" t="s">
        <v>1165</v>
      </c>
      <c r="S12" t="s">
        <v>1245</v>
      </c>
      <c r="T12" t="s">
        <v>1246</v>
      </c>
    </row>
    <row r="13" spans="1:20" hidden="1">
      <c r="A13" t="s">
        <v>1247</v>
      </c>
      <c r="B13" t="s">
        <v>1248</v>
      </c>
      <c r="C13" t="s">
        <v>1249</v>
      </c>
      <c r="D13" t="s">
        <v>1250</v>
      </c>
      <c r="E13" t="s">
        <v>1251</v>
      </c>
      <c r="K13" t="s">
        <v>951</v>
      </c>
      <c r="L13">
        <v>1</v>
      </c>
      <c r="M13" t="s">
        <v>1178</v>
      </c>
      <c r="N13" t="s">
        <v>1171</v>
      </c>
      <c r="O13" t="s">
        <v>1179</v>
      </c>
      <c r="S13" t="s">
        <v>1252</v>
      </c>
    </row>
    <row r="14" spans="1:20" hidden="1">
      <c r="A14" t="s">
        <v>1253</v>
      </c>
      <c r="B14" t="s">
        <v>1254</v>
      </c>
      <c r="C14" t="s">
        <v>1255</v>
      </c>
      <c r="D14" t="s">
        <v>1256</v>
      </c>
      <c r="E14" t="s">
        <v>1257</v>
      </c>
      <c r="K14" t="s">
        <v>951</v>
      </c>
      <c r="L14">
        <v>1</v>
      </c>
      <c r="M14" t="s">
        <v>1258</v>
      </c>
      <c r="N14" t="s">
        <v>1172</v>
      </c>
      <c r="O14" t="s">
        <v>1259</v>
      </c>
      <c r="S14" t="s">
        <v>1260</v>
      </c>
      <c r="T14" t="s">
        <v>1261</v>
      </c>
    </row>
    <row r="15" spans="1:20" hidden="1">
      <c r="A15" t="s">
        <v>1262</v>
      </c>
      <c r="B15" t="s">
        <v>1263</v>
      </c>
      <c r="C15" t="s">
        <v>1264</v>
      </c>
      <c r="D15" t="s">
        <v>1265</v>
      </c>
      <c r="E15" t="s">
        <v>1266</v>
      </c>
      <c r="K15" t="s">
        <v>951</v>
      </c>
      <c r="L15">
        <v>1</v>
      </c>
      <c r="M15" t="s">
        <v>1267</v>
      </c>
      <c r="N15" t="s">
        <v>1173</v>
      </c>
      <c r="S15" t="s">
        <v>1268</v>
      </c>
    </row>
    <row r="16" spans="1:20" hidden="1">
      <c r="A16" t="s">
        <v>1269</v>
      </c>
      <c r="B16" t="s">
        <v>1270</v>
      </c>
      <c r="C16" t="s">
        <v>1271</v>
      </c>
      <c r="D16" t="s">
        <v>1272</v>
      </c>
      <c r="E16" t="s">
        <v>1273</v>
      </c>
      <c r="K16" t="s">
        <v>951</v>
      </c>
      <c r="L16">
        <v>1</v>
      </c>
      <c r="M16" t="s">
        <v>1274</v>
      </c>
      <c r="N16" t="s">
        <v>1174</v>
      </c>
      <c r="O16" t="s">
        <v>206</v>
      </c>
      <c r="S16" t="s">
        <v>1275</v>
      </c>
      <c r="T16" t="s">
        <v>28</v>
      </c>
    </row>
    <row r="17" spans="1:20" hidden="1">
      <c r="A17" t="s">
        <v>1276</v>
      </c>
      <c r="B17" t="s">
        <v>1277</v>
      </c>
      <c r="C17" t="s">
        <v>1278</v>
      </c>
      <c r="D17" t="s">
        <v>1279</v>
      </c>
      <c r="E17" t="s">
        <v>1280</v>
      </c>
      <c r="K17" t="s">
        <v>952</v>
      </c>
      <c r="L17">
        <v>1</v>
      </c>
      <c r="M17" t="s">
        <v>1186</v>
      </c>
      <c r="N17" t="s">
        <v>1181</v>
      </c>
      <c r="S17" t="s">
        <v>1281</v>
      </c>
      <c r="T17" t="s">
        <v>1282</v>
      </c>
    </row>
    <row r="18" spans="1:20" hidden="1">
      <c r="A18" t="s">
        <v>1283</v>
      </c>
      <c r="B18" t="s">
        <v>1284</v>
      </c>
      <c r="C18" t="s">
        <v>1285</v>
      </c>
      <c r="D18" t="s">
        <v>1286</v>
      </c>
      <c r="E18" t="s">
        <v>1287</v>
      </c>
      <c r="K18" t="s">
        <v>952</v>
      </c>
      <c r="L18">
        <v>1</v>
      </c>
      <c r="M18" t="s">
        <v>1288</v>
      </c>
      <c r="N18" t="s">
        <v>1182</v>
      </c>
      <c r="S18" t="s">
        <v>1289</v>
      </c>
      <c r="T18" t="s">
        <v>203</v>
      </c>
    </row>
    <row r="19" spans="1:20" hidden="1">
      <c r="A19" t="s">
        <v>1290</v>
      </c>
      <c r="B19" t="s">
        <v>1291</v>
      </c>
      <c r="C19" t="s">
        <v>1292</v>
      </c>
      <c r="D19" t="s">
        <v>1293</v>
      </c>
      <c r="E19" t="s">
        <v>1294</v>
      </c>
      <c r="K19" t="s">
        <v>952</v>
      </c>
      <c r="L19">
        <v>1</v>
      </c>
      <c r="M19" t="s">
        <v>1295</v>
      </c>
      <c r="N19" t="s">
        <v>1183</v>
      </c>
      <c r="O19" t="s">
        <v>1296</v>
      </c>
      <c r="S19" t="s">
        <v>1297</v>
      </c>
      <c r="T19">
        <v>7081</v>
      </c>
    </row>
    <row r="20" spans="1:20" hidden="1">
      <c r="A20" t="s">
        <v>1298</v>
      </c>
      <c r="B20" t="s">
        <v>1299</v>
      </c>
      <c r="C20" t="s">
        <v>1300</v>
      </c>
      <c r="D20" t="s">
        <v>1301</v>
      </c>
      <c r="E20" t="s">
        <v>1302</v>
      </c>
      <c r="K20" t="s">
        <v>952</v>
      </c>
      <c r="L20">
        <v>1</v>
      </c>
      <c r="M20" t="s">
        <v>1303</v>
      </c>
      <c r="N20" t="s">
        <v>1184</v>
      </c>
      <c r="S20" t="s">
        <v>1304</v>
      </c>
      <c r="T20">
        <v>7005</v>
      </c>
    </row>
    <row r="21" spans="1:20" hidden="1">
      <c r="A21" t="s">
        <v>1305</v>
      </c>
      <c r="B21" t="s">
        <v>1306</v>
      </c>
      <c r="C21" t="s">
        <v>1307</v>
      </c>
      <c r="D21" t="s">
        <v>1308</v>
      </c>
      <c r="E21" t="s">
        <v>1309</v>
      </c>
      <c r="K21" t="s">
        <v>953</v>
      </c>
      <c r="L21">
        <v>1</v>
      </c>
      <c r="M21" t="s">
        <v>1195</v>
      </c>
      <c r="N21" t="s">
        <v>1188</v>
      </c>
      <c r="S21" t="s">
        <v>1310</v>
      </c>
      <c r="T21" t="s">
        <v>1311</v>
      </c>
    </row>
    <row r="22" spans="1:20" hidden="1">
      <c r="A22" t="s">
        <v>1312</v>
      </c>
      <c r="B22" t="s">
        <v>1313</v>
      </c>
      <c r="C22" t="s">
        <v>1314</v>
      </c>
      <c r="D22" t="s">
        <v>1315</v>
      </c>
      <c r="E22" t="s">
        <v>1316</v>
      </c>
      <c r="K22" t="s">
        <v>953</v>
      </c>
      <c r="L22">
        <v>1</v>
      </c>
      <c r="M22" t="s">
        <v>1317</v>
      </c>
      <c r="N22" t="s">
        <v>1189</v>
      </c>
      <c r="S22" t="s">
        <v>1318</v>
      </c>
    </row>
    <row r="23" spans="1:20" hidden="1">
      <c r="A23" t="s">
        <v>1319</v>
      </c>
      <c r="B23" t="s">
        <v>1320</v>
      </c>
      <c r="C23" t="s">
        <v>1321</v>
      </c>
      <c r="D23" t="s">
        <v>1322</v>
      </c>
      <c r="E23" t="s">
        <v>1323</v>
      </c>
      <c r="K23" t="s">
        <v>953</v>
      </c>
      <c r="L23">
        <v>1</v>
      </c>
      <c r="M23" t="s">
        <v>1324</v>
      </c>
      <c r="N23" t="s">
        <v>1190</v>
      </c>
      <c r="O23">
        <v>7062</v>
      </c>
      <c r="S23" t="s">
        <v>1325</v>
      </c>
      <c r="T23" t="s">
        <v>1326</v>
      </c>
    </row>
    <row r="24" spans="1:20" hidden="1">
      <c r="A24" t="s">
        <v>1327</v>
      </c>
      <c r="B24" t="s">
        <v>1328</v>
      </c>
      <c r="C24" t="s">
        <v>1329</v>
      </c>
      <c r="D24" t="s">
        <v>1330</v>
      </c>
      <c r="E24" t="s">
        <v>1331</v>
      </c>
      <c r="K24" t="s">
        <v>953</v>
      </c>
      <c r="L24">
        <v>1</v>
      </c>
      <c r="M24" t="s">
        <v>1332</v>
      </c>
      <c r="N24" t="s">
        <v>1191</v>
      </c>
      <c r="O24" t="s">
        <v>1333</v>
      </c>
      <c r="S24" t="s">
        <v>1334</v>
      </c>
      <c r="T24" t="s">
        <v>1335</v>
      </c>
    </row>
    <row r="25" spans="1:20" hidden="1">
      <c r="A25" t="s">
        <v>1336</v>
      </c>
      <c r="B25" t="s">
        <v>1337</v>
      </c>
      <c r="C25" t="s">
        <v>1338</v>
      </c>
      <c r="D25" t="s">
        <v>1339</v>
      </c>
      <c r="E25" t="s">
        <v>1340</v>
      </c>
      <c r="K25" t="s">
        <v>954</v>
      </c>
      <c r="L25">
        <v>1</v>
      </c>
      <c r="M25" t="s">
        <v>1203</v>
      </c>
      <c r="N25" t="s">
        <v>1197</v>
      </c>
      <c r="O25" t="s">
        <v>1204</v>
      </c>
      <c r="S25" t="s">
        <v>1341</v>
      </c>
    </row>
    <row r="26" spans="1:20" hidden="1">
      <c r="A26" t="s">
        <v>1342</v>
      </c>
      <c r="B26" t="s">
        <v>1343</v>
      </c>
      <c r="C26" t="s">
        <v>1344</v>
      </c>
      <c r="D26" t="s">
        <v>1345</v>
      </c>
      <c r="E26" t="s">
        <v>1346</v>
      </c>
      <c r="K26" t="s">
        <v>954</v>
      </c>
      <c r="L26">
        <v>1</v>
      </c>
      <c r="M26" t="s">
        <v>1347</v>
      </c>
      <c r="N26" t="s">
        <v>1198</v>
      </c>
      <c r="O26">
        <v>7002</v>
      </c>
      <c r="S26" t="s">
        <v>1348</v>
      </c>
    </row>
    <row r="27" spans="1:20" hidden="1">
      <c r="A27" t="s">
        <v>1349</v>
      </c>
      <c r="B27" t="s">
        <v>1350</v>
      </c>
      <c r="C27" t="s">
        <v>1351</v>
      </c>
      <c r="D27" t="s">
        <v>1352</v>
      </c>
      <c r="E27" t="s">
        <v>1353</v>
      </c>
      <c r="K27" t="s">
        <v>954</v>
      </c>
      <c r="L27">
        <v>1</v>
      </c>
      <c r="M27" t="s">
        <v>1354</v>
      </c>
      <c r="N27" t="s">
        <v>1199</v>
      </c>
      <c r="S27" t="s">
        <v>1355</v>
      </c>
    </row>
    <row r="28" spans="1:20" hidden="1">
      <c r="A28" t="s">
        <v>1356</v>
      </c>
      <c r="B28" t="s">
        <v>1357</v>
      </c>
      <c r="C28" t="s">
        <v>1358</v>
      </c>
      <c r="D28" t="s">
        <v>1359</v>
      </c>
      <c r="E28" t="s">
        <v>1360</v>
      </c>
      <c r="K28" t="s">
        <v>954</v>
      </c>
      <c r="L28">
        <v>1</v>
      </c>
      <c r="M28" t="s">
        <v>1361</v>
      </c>
      <c r="N28" t="s">
        <v>1200</v>
      </c>
      <c r="O28" t="s">
        <v>1362</v>
      </c>
      <c r="S28" t="s">
        <v>1363</v>
      </c>
      <c r="T28" t="s">
        <v>1364</v>
      </c>
    </row>
    <row r="29" spans="1:20" hidden="1">
      <c r="A29" t="s">
        <v>1365</v>
      </c>
      <c r="B29" t="s">
        <v>1366</v>
      </c>
      <c r="C29" t="s">
        <v>1367</v>
      </c>
      <c r="D29" t="s">
        <v>1368</v>
      </c>
      <c r="E29" t="s">
        <v>1369</v>
      </c>
      <c r="K29" t="s">
        <v>955</v>
      </c>
      <c r="L29">
        <v>1</v>
      </c>
      <c r="M29" t="s">
        <v>1213</v>
      </c>
      <c r="N29" t="s">
        <v>1206</v>
      </c>
      <c r="O29" t="s">
        <v>1214</v>
      </c>
      <c r="S29" t="s">
        <v>1370</v>
      </c>
    </row>
    <row r="30" spans="1:20" hidden="1">
      <c r="A30" t="s">
        <v>1371</v>
      </c>
      <c r="B30" t="s">
        <v>1372</v>
      </c>
      <c r="C30" t="s">
        <v>1373</v>
      </c>
      <c r="D30" t="s">
        <v>1374</v>
      </c>
      <c r="E30" t="s">
        <v>1375</v>
      </c>
      <c r="K30" t="s">
        <v>955</v>
      </c>
      <c r="L30">
        <v>1</v>
      </c>
      <c r="M30" t="s">
        <v>1376</v>
      </c>
      <c r="N30" t="s">
        <v>1207</v>
      </c>
      <c r="S30" t="s">
        <v>1377</v>
      </c>
      <c r="T30" t="s">
        <v>1378</v>
      </c>
    </row>
    <row r="31" spans="1:20" hidden="1">
      <c r="A31" t="s">
        <v>1379</v>
      </c>
      <c r="B31" t="s">
        <v>1380</v>
      </c>
      <c r="C31" t="s">
        <v>1381</v>
      </c>
      <c r="D31" t="s">
        <v>1382</v>
      </c>
      <c r="E31" t="s">
        <v>1383</v>
      </c>
      <c r="K31" t="s">
        <v>955</v>
      </c>
      <c r="L31">
        <v>1</v>
      </c>
      <c r="M31" t="s">
        <v>1384</v>
      </c>
      <c r="N31" t="s">
        <v>1208</v>
      </c>
      <c r="O31" t="s">
        <v>1385</v>
      </c>
      <c r="S31" t="s">
        <v>1386</v>
      </c>
    </row>
    <row r="32" spans="1:20" hidden="1">
      <c r="A32" t="s">
        <v>1387</v>
      </c>
      <c r="B32" t="s">
        <v>1388</v>
      </c>
      <c r="C32" t="s">
        <v>1389</v>
      </c>
      <c r="D32" t="s">
        <v>1390</v>
      </c>
      <c r="E32" t="s">
        <v>1391</v>
      </c>
      <c r="K32" t="s">
        <v>955</v>
      </c>
      <c r="L32">
        <v>1</v>
      </c>
      <c r="M32" t="s">
        <v>1392</v>
      </c>
      <c r="N32" t="s">
        <v>1209</v>
      </c>
      <c r="O32">
        <v>7043</v>
      </c>
      <c r="S32" t="s">
        <v>1393</v>
      </c>
      <c r="T32" t="s">
        <v>1394</v>
      </c>
    </row>
    <row r="33" spans="1:20" hidden="1">
      <c r="A33" t="s">
        <v>1395</v>
      </c>
      <c r="B33" t="s">
        <v>1396</v>
      </c>
      <c r="C33" t="s">
        <v>1397</v>
      </c>
      <c r="D33" t="s">
        <v>1398</v>
      </c>
      <c r="E33" t="s">
        <v>1399</v>
      </c>
      <c r="G33">
        <v>1</v>
      </c>
      <c r="H33" t="s">
        <v>952</v>
      </c>
      <c r="I33" t="s">
        <v>1400</v>
      </c>
      <c r="K33" t="s">
        <v>924</v>
      </c>
      <c r="L33">
        <v>2</v>
      </c>
      <c r="M33" t="s">
        <v>1220</v>
      </c>
      <c r="N33" t="s">
        <v>1216</v>
      </c>
      <c r="O33" t="s">
        <v>171</v>
      </c>
      <c r="S33" t="s">
        <v>1401</v>
      </c>
      <c r="T33" t="s">
        <v>1402</v>
      </c>
    </row>
    <row r="34" spans="1:20" hidden="1">
      <c r="A34" t="s">
        <v>1403</v>
      </c>
      <c r="B34" t="s">
        <v>1404</v>
      </c>
      <c r="C34" t="s">
        <v>1405</v>
      </c>
      <c r="D34" t="s">
        <v>1406</v>
      </c>
      <c r="E34" t="s">
        <v>1407</v>
      </c>
      <c r="G34">
        <v>1</v>
      </c>
      <c r="H34" t="s">
        <v>953</v>
      </c>
      <c r="I34" t="s">
        <v>1408</v>
      </c>
      <c r="K34" t="s">
        <v>924</v>
      </c>
      <c r="L34">
        <v>2</v>
      </c>
      <c r="M34" t="s">
        <v>1409</v>
      </c>
      <c r="N34" t="s">
        <v>1217</v>
      </c>
      <c r="O34" t="s">
        <v>1410</v>
      </c>
      <c r="S34" t="s">
        <v>1411</v>
      </c>
      <c r="T34" t="s">
        <v>1412</v>
      </c>
    </row>
    <row r="35" spans="1:20" hidden="1">
      <c r="A35" t="s">
        <v>1413</v>
      </c>
      <c r="B35" t="s">
        <v>1414</v>
      </c>
      <c r="C35" t="s">
        <v>1415</v>
      </c>
      <c r="D35" t="s">
        <v>1416</v>
      </c>
      <c r="E35" t="s">
        <v>1417</v>
      </c>
      <c r="G35">
        <v>1</v>
      </c>
      <c r="H35" t="s">
        <v>954</v>
      </c>
      <c r="I35" t="s">
        <v>1418</v>
      </c>
      <c r="K35" t="s">
        <v>924</v>
      </c>
      <c r="L35">
        <v>2</v>
      </c>
      <c r="M35" t="s">
        <v>1419</v>
      </c>
      <c r="N35" t="s">
        <v>1218</v>
      </c>
      <c r="O35" t="s">
        <v>1420</v>
      </c>
      <c r="S35" t="s">
        <v>1421</v>
      </c>
      <c r="T35" t="s">
        <v>1422</v>
      </c>
    </row>
    <row r="36" spans="1:20" hidden="1">
      <c r="A36" t="s">
        <v>1423</v>
      </c>
      <c r="B36" t="s">
        <v>1424</v>
      </c>
      <c r="C36" t="s">
        <v>1425</v>
      </c>
      <c r="D36" t="s">
        <v>1426</v>
      </c>
      <c r="E36" t="s">
        <v>1427</v>
      </c>
      <c r="G36">
        <v>1</v>
      </c>
      <c r="H36" t="s">
        <v>955</v>
      </c>
      <c r="I36" t="s">
        <v>1428</v>
      </c>
      <c r="K36" t="s">
        <v>924</v>
      </c>
      <c r="L36">
        <v>2</v>
      </c>
      <c r="M36" t="s">
        <v>1429</v>
      </c>
      <c r="N36" t="s">
        <v>1219</v>
      </c>
      <c r="S36" t="s">
        <v>1430</v>
      </c>
      <c r="T36" t="s">
        <v>1431</v>
      </c>
    </row>
    <row r="37" spans="1:20" hidden="1">
      <c r="A37" t="s">
        <v>1432</v>
      </c>
      <c r="B37" t="s">
        <v>1433</v>
      </c>
      <c r="C37" t="s">
        <v>1434</v>
      </c>
      <c r="D37" t="s">
        <v>1435</v>
      </c>
      <c r="E37" t="s">
        <v>1436</v>
      </c>
      <c r="G37">
        <v>7</v>
      </c>
      <c r="H37" t="s">
        <v>952</v>
      </c>
      <c r="I37" t="s">
        <v>1437</v>
      </c>
      <c r="K37" t="s">
        <v>937</v>
      </c>
      <c r="L37">
        <v>2</v>
      </c>
      <c r="M37" t="s">
        <v>1228</v>
      </c>
      <c r="N37" t="s">
        <v>1222</v>
      </c>
      <c r="O37" t="s">
        <v>1229</v>
      </c>
      <c r="S37" t="s">
        <v>1438</v>
      </c>
    </row>
    <row r="38" spans="1:20" hidden="1">
      <c r="A38" t="s">
        <v>1439</v>
      </c>
      <c r="B38" t="s">
        <v>1440</v>
      </c>
      <c r="C38" t="s">
        <v>1441</v>
      </c>
      <c r="D38" t="s">
        <v>1442</v>
      </c>
      <c r="E38" t="s">
        <v>1443</v>
      </c>
      <c r="G38">
        <v>7</v>
      </c>
      <c r="H38" t="s">
        <v>953</v>
      </c>
      <c r="I38" t="s">
        <v>1444</v>
      </c>
      <c r="K38" t="s">
        <v>937</v>
      </c>
      <c r="L38">
        <v>2</v>
      </c>
      <c r="M38" t="s">
        <v>1445</v>
      </c>
      <c r="N38" t="s">
        <v>1223</v>
      </c>
      <c r="O38" t="s">
        <v>208</v>
      </c>
      <c r="S38" t="s">
        <v>1446</v>
      </c>
      <c r="T38" t="s">
        <v>1447</v>
      </c>
    </row>
    <row r="39" spans="1:20" hidden="1">
      <c r="A39" t="s">
        <v>1448</v>
      </c>
      <c r="B39" t="s">
        <v>1449</v>
      </c>
      <c r="C39" t="s">
        <v>1450</v>
      </c>
      <c r="D39" t="s">
        <v>1451</v>
      </c>
      <c r="E39" t="s">
        <v>1452</v>
      </c>
      <c r="G39">
        <v>7</v>
      </c>
      <c r="H39" t="s">
        <v>954</v>
      </c>
      <c r="I39" t="s">
        <v>1453</v>
      </c>
      <c r="K39" t="s">
        <v>937</v>
      </c>
      <c r="L39">
        <v>2</v>
      </c>
      <c r="M39" t="s">
        <v>1454</v>
      </c>
      <c r="N39" t="s">
        <v>1224</v>
      </c>
      <c r="O39" t="s">
        <v>1455</v>
      </c>
      <c r="S39" t="s">
        <v>1456</v>
      </c>
    </row>
    <row r="40" spans="1:20" hidden="1">
      <c r="A40" t="s">
        <v>1457</v>
      </c>
      <c r="B40" t="s">
        <v>1458</v>
      </c>
      <c r="C40" t="s">
        <v>1459</v>
      </c>
      <c r="D40" t="s">
        <v>1460</v>
      </c>
      <c r="E40" t="s">
        <v>1461</v>
      </c>
      <c r="G40">
        <v>7</v>
      </c>
      <c r="H40" t="s">
        <v>955</v>
      </c>
      <c r="I40" t="s">
        <v>1462</v>
      </c>
      <c r="K40" t="s">
        <v>937</v>
      </c>
      <c r="L40">
        <v>2</v>
      </c>
      <c r="M40" t="s">
        <v>1463</v>
      </c>
      <c r="N40" t="s">
        <v>1225</v>
      </c>
      <c r="O40" t="s">
        <v>1464</v>
      </c>
      <c r="S40" t="s">
        <v>1465</v>
      </c>
      <c r="T40" t="s">
        <v>1466</v>
      </c>
    </row>
    <row r="41" spans="1:20" hidden="1">
      <c r="A41" t="s">
        <v>1467</v>
      </c>
      <c r="B41" t="s">
        <v>1468</v>
      </c>
      <c r="C41" t="s">
        <v>1469</v>
      </c>
      <c r="D41" t="s">
        <v>1470</v>
      </c>
      <c r="E41" t="s">
        <v>1471</v>
      </c>
      <c r="K41" t="s">
        <v>950</v>
      </c>
      <c r="L41">
        <v>2</v>
      </c>
      <c r="M41" t="s">
        <v>1237</v>
      </c>
      <c r="N41" t="s">
        <v>1231</v>
      </c>
      <c r="O41" t="s">
        <v>1238</v>
      </c>
      <c r="S41" t="s">
        <v>1472</v>
      </c>
      <c r="T41" t="s">
        <v>1473</v>
      </c>
    </row>
    <row r="42" spans="1:20" hidden="1">
      <c r="A42" t="s">
        <v>1474</v>
      </c>
      <c r="B42" t="s">
        <v>1475</v>
      </c>
      <c r="C42" t="s">
        <v>1476</v>
      </c>
      <c r="D42" t="s">
        <v>1477</v>
      </c>
      <c r="E42" t="s">
        <v>1478</v>
      </c>
      <c r="K42" t="s">
        <v>950</v>
      </c>
      <c r="L42">
        <v>2</v>
      </c>
      <c r="M42" t="s">
        <v>1479</v>
      </c>
      <c r="N42" t="s">
        <v>1232</v>
      </c>
      <c r="O42" t="s">
        <v>172</v>
      </c>
      <c r="S42" t="s">
        <v>1480</v>
      </c>
    </row>
    <row r="43" spans="1:20" hidden="1">
      <c r="A43" t="s">
        <v>1481</v>
      </c>
      <c r="B43" t="s">
        <v>1482</v>
      </c>
      <c r="C43" t="s">
        <v>1483</v>
      </c>
      <c r="D43" t="s">
        <v>1484</v>
      </c>
      <c r="E43" t="s">
        <v>1485</v>
      </c>
      <c r="K43" t="s">
        <v>950</v>
      </c>
      <c r="L43">
        <v>2</v>
      </c>
      <c r="M43" t="s">
        <v>1486</v>
      </c>
      <c r="N43" t="s">
        <v>1233</v>
      </c>
      <c r="O43" t="s">
        <v>207</v>
      </c>
      <c r="S43" t="s">
        <v>1487</v>
      </c>
      <c r="T43" t="s">
        <v>1488</v>
      </c>
    </row>
    <row r="44" spans="1:20" hidden="1">
      <c r="A44" t="s">
        <v>1489</v>
      </c>
      <c r="B44" t="s">
        <v>1490</v>
      </c>
      <c r="C44" t="s">
        <v>1491</v>
      </c>
      <c r="D44" t="s">
        <v>1492</v>
      </c>
      <c r="E44" t="s">
        <v>1493</v>
      </c>
      <c r="K44" t="s">
        <v>950</v>
      </c>
      <c r="L44">
        <v>2</v>
      </c>
      <c r="M44" t="s">
        <v>1494</v>
      </c>
      <c r="N44" t="s">
        <v>1234</v>
      </c>
      <c r="O44" t="s">
        <v>1495</v>
      </c>
      <c r="S44" t="s">
        <v>1496</v>
      </c>
      <c r="T44" t="s">
        <v>1497</v>
      </c>
    </row>
    <row r="45" spans="1:20" hidden="1">
      <c r="A45" t="s">
        <v>1498</v>
      </c>
      <c r="B45" t="s">
        <v>1499</v>
      </c>
      <c r="C45" t="s">
        <v>1500</v>
      </c>
      <c r="D45" t="s">
        <v>1501</v>
      </c>
      <c r="E45" t="s">
        <v>1502</v>
      </c>
      <c r="K45" t="s">
        <v>951</v>
      </c>
      <c r="L45">
        <v>2</v>
      </c>
      <c r="M45" t="s">
        <v>1245</v>
      </c>
      <c r="N45" t="s">
        <v>1240</v>
      </c>
      <c r="O45" t="s">
        <v>1246</v>
      </c>
      <c r="S45" t="s">
        <v>1503</v>
      </c>
      <c r="T45" t="s">
        <v>26</v>
      </c>
    </row>
    <row r="46" spans="1:20" hidden="1">
      <c r="A46" t="s">
        <v>1504</v>
      </c>
      <c r="B46" t="s">
        <v>1505</v>
      </c>
      <c r="C46" t="s">
        <v>1506</v>
      </c>
      <c r="D46" t="s">
        <v>1507</v>
      </c>
      <c r="E46" t="s">
        <v>1508</v>
      </c>
      <c r="K46" t="s">
        <v>951</v>
      </c>
      <c r="L46">
        <v>2</v>
      </c>
      <c r="M46" t="s">
        <v>1509</v>
      </c>
      <c r="N46" t="s">
        <v>1241</v>
      </c>
      <c r="S46" t="s">
        <v>1510</v>
      </c>
      <c r="T46" t="s">
        <v>204</v>
      </c>
    </row>
    <row r="47" spans="1:20" hidden="1">
      <c r="A47" t="s">
        <v>1511</v>
      </c>
      <c r="B47" t="s">
        <v>1512</v>
      </c>
      <c r="C47" t="s">
        <v>1513</v>
      </c>
      <c r="D47" t="s">
        <v>1514</v>
      </c>
      <c r="E47" t="s">
        <v>1515</v>
      </c>
      <c r="K47" t="s">
        <v>951</v>
      </c>
      <c r="L47">
        <v>2</v>
      </c>
      <c r="M47" t="s">
        <v>1516</v>
      </c>
      <c r="N47" t="s">
        <v>1242</v>
      </c>
      <c r="O47" t="s">
        <v>1517</v>
      </c>
      <c r="S47" t="s">
        <v>1518</v>
      </c>
      <c r="T47" t="s">
        <v>26</v>
      </c>
    </row>
    <row r="48" spans="1:20" hidden="1">
      <c r="A48" t="s">
        <v>1519</v>
      </c>
      <c r="B48" t="s">
        <v>1520</v>
      </c>
      <c r="C48" t="s">
        <v>1521</v>
      </c>
      <c r="D48" t="s">
        <v>1522</v>
      </c>
      <c r="E48" t="s">
        <v>1523</v>
      </c>
      <c r="K48" t="s">
        <v>951</v>
      </c>
      <c r="L48">
        <v>2</v>
      </c>
      <c r="M48" t="s">
        <v>1524</v>
      </c>
      <c r="N48" t="s">
        <v>1243</v>
      </c>
      <c r="O48" s="602">
        <v>70017090</v>
      </c>
      <c r="S48" t="s">
        <v>1525</v>
      </c>
      <c r="T48">
        <v>7045</v>
      </c>
    </row>
    <row r="49" spans="1:20" hidden="1">
      <c r="A49" t="s">
        <v>1526</v>
      </c>
      <c r="B49" t="s">
        <v>1527</v>
      </c>
      <c r="C49" t="s">
        <v>1528</v>
      </c>
      <c r="D49" t="s">
        <v>1529</v>
      </c>
      <c r="E49" t="s">
        <v>1530</v>
      </c>
      <c r="K49" t="s">
        <v>952</v>
      </c>
      <c r="L49">
        <v>2</v>
      </c>
      <c r="M49" t="s">
        <v>1252</v>
      </c>
      <c r="N49" t="s">
        <v>1248</v>
      </c>
      <c r="S49" t="s">
        <v>1531</v>
      </c>
      <c r="T49" t="s">
        <v>1532</v>
      </c>
    </row>
    <row r="50" spans="1:20" hidden="1">
      <c r="A50" t="s">
        <v>1533</v>
      </c>
      <c r="B50" t="s">
        <v>1534</v>
      </c>
      <c r="C50" t="s">
        <v>1535</v>
      </c>
      <c r="D50" t="s">
        <v>1536</v>
      </c>
      <c r="E50" t="s">
        <v>1537</v>
      </c>
      <c r="K50" t="s">
        <v>952</v>
      </c>
      <c r="L50">
        <v>2</v>
      </c>
      <c r="M50" t="s">
        <v>1538</v>
      </c>
      <c r="N50" t="s">
        <v>1249</v>
      </c>
      <c r="O50">
        <v>7083</v>
      </c>
      <c r="S50" t="s">
        <v>1539</v>
      </c>
    </row>
    <row r="51" spans="1:20" hidden="1">
      <c r="A51" t="s">
        <v>1540</v>
      </c>
      <c r="B51" t="s">
        <v>1541</v>
      </c>
      <c r="C51" t="s">
        <v>1542</v>
      </c>
      <c r="D51" t="s">
        <v>1543</v>
      </c>
      <c r="E51" t="s">
        <v>1544</v>
      </c>
      <c r="K51" t="s">
        <v>952</v>
      </c>
      <c r="L51">
        <v>2</v>
      </c>
      <c r="M51" t="s">
        <v>1545</v>
      </c>
      <c r="N51" t="s">
        <v>1250</v>
      </c>
      <c r="S51" t="s">
        <v>1546</v>
      </c>
    </row>
    <row r="52" spans="1:20" hidden="1">
      <c r="A52" t="s">
        <v>1547</v>
      </c>
      <c r="B52" t="s">
        <v>1548</v>
      </c>
      <c r="C52" t="s">
        <v>1549</v>
      </c>
      <c r="D52" t="s">
        <v>1550</v>
      </c>
      <c r="E52" t="s">
        <v>1551</v>
      </c>
      <c r="K52" t="s">
        <v>952</v>
      </c>
      <c r="L52">
        <v>2</v>
      </c>
      <c r="M52" t="s">
        <v>1552</v>
      </c>
      <c r="N52" t="s">
        <v>1251</v>
      </c>
      <c r="O52" t="s">
        <v>1553</v>
      </c>
      <c r="S52" t="s">
        <v>1554</v>
      </c>
      <c r="T52" t="s">
        <v>201</v>
      </c>
    </row>
    <row r="53" spans="1:20" hidden="1">
      <c r="A53" t="s">
        <v>1555</v>
      </c>
      <c r="B53" t="s">
        <v>1556</v>
      </c>
      <c r="C53" t="s">
        <v>1557</v>
      </c>
      <c r="D53" t="s">
        <v>1558</v>
      </c>
      <c r="E53" t="s">
        <v>1559</v>
      </c>
      <c r="K53" t="s">
        <v>953</v>
      </c>
      <c r="L53">
        <v>2</v>
      </c>
      <c r="M53" t="s">
        <v>1260</v>
      </c>
      <c r="N53" t="s">
        <v>1254</v>
      </c>
      <c r="O53" t="s">
        <v>1261</v>
      </c>
      <c r="S53" t="s">
        <v>1560</v>
      </c>
      <c r="T53" t="s">
        <v>1561</v>
      </c>
    </row>
    <row r="54" spans="1:20" hidden="1">
      <c r="A54" t="s">
        <v>1562</v>
      </c>
      <c r="B54" t="s">
        <v>1563</v>
      </c>
      <c r="C54" t="s">
        <v>1564</v>
      </c>
      <c r="D54" t="s">
        <v>1565</v>
      </c>
      <c r="E54" t="s">
        <v>1566</v>
      </c>
      <c r="K54" t="s">
        <v>953</v>
      </c>
      <c r="L54">
        <v>2</v>
      </c>
      <c r="M54" t="s">
        <v>1567</v>
      </c>
      <c r="N54" t="s">
        <v>1255</v>
      </c>
      <c r="O54" t="s">
        <v>1568</v>
      </c>
      <c r="S54" t="s">
        <v>1569</v>
      </c>
    </row>
    <row r="55" spans="1:20" hidden="1">
      <c r="A55" t="s">
        <v>1570</v>
      </c>
      <c r="B55" t="s">
        <v>1571</v>
      </c>
      <c r="C55" t="s">
        <v>1572</v>
      </c>
      <c r="D55" t="s">
        <v>1573</v>
      </c>
      <c r="E55" t="s">
        <v>1574</v>
      </c>
      <c r="K55" t="s">
        <v>953</v>
      </c>
      <c r="L55">
        <v>2</v>
      </c>
      <c r="M55" t="s">
        <v>1575</v>
      </c>
      <c r="N55" t="s">
        <v>1256</v>
      </c>
      <c r="S55" t="s">
        <v>1576</v>
      </c>
    </row>
    <row r="56" spans="1:20" hidden="1">
      <c r="A56" t="s">
        <v>1577</v>
      </c>
      <c r="B56" t="s">
        <v>1578</v>
      </c>
      <c r="C56" t="s">
        <v>1579</v>
      </c>
      <c r="D56" t="s">
        <v>1580</v>
      </c>
      <c r="E56" t="s">
        <v>1581</v>
      </c>
      <c r="K56" t="s">
        <v>953</v>
      </c>
      <c r="L56">
        <v>2</v>
      </c>
      <c r="M56" t="s">
        <v>1582</v>
      </c>
      <c r="N56" t="s">
        <v>1257</v>
      </c>
      <c r="O56" t="s">
        <v>1583</v>
      </c>
      <c r="S56" t="s">
        <v>1584</v>
      </c>
    </row>
    <row r="57" spans="1:20" hidden="1">
      <c r="A57" t="s">
        <v>1585</v>
      </c>
      <c r="B57" t="s">
        <v>1586</v>
      </c>
      <c r="C57" t="s">
        <v>1587</v>
      </c>
      <c r="D57" t="s">
        <v>1588</v>
      </c>
      <c r="E57" t="s">
        <v>1589</v>
      </c>
      <c r="K57" t="s">
        <v>954</v>
      </c>
      <c r="L57">
        <v>2</v>
      </c>
      <c r="M57" t="s">
        <v>1268</v>
      </c>
      <c r="N57" t="s">
        <v>1263</v>
      </c>
      <c r="S57" t="s">
        <v>1590</v>
      </c>
    </row>
    <row r="58" spans="1:20" hidden="1">
      <c r="A58" t="s">
        <v>1591</v>
      </c>
      <c r="B58" t="s">
        <v>1592</v>
      </c>
      <c r="C58" t="s">
        <v>1593</v>
      </c>
      <c r="D58" t="s">
        <v>1594</v>
      </c>
      <c r="E58" t="s">
        <v>1595</v>
      </c>
      <c r="K58" t="s">
        <v>954</v>
      </c>
      <c r="L58">
        <v>2</v>
      </c>
      <c r="M58" t="s">
        <v>1596</v>
      </c>
      <c r="N58" t="s">
        <v>1264</v>
      </c>
      <c r="O58" t="s">
        <v>1597</v>
      </c>
      <c r="S58" t="s">
        <v>1598</v>
      </c>
      <c r="T58" t="s">
        <v>1599</v>
      </c>
    </row>
    <row r="59" spans="1:20" hidden="1">
      <c r="A59" t="s">
        <v>1600</v>
      </c>
      <c r="B59" t="s">
        <v>1601</v>
      </c>
      <c r="C59" t="s">
        <v>1602</v>
      </c>
      <c r="D59" t="s">
        <v>1603</v>
      </c>
      <c r="E59" t="s">
        <v>1604</v>
      </c>
      <c r="K59" t="s">
        <v>954</v>
      </c>
      <c r="L59">
        <v>2</v>
      </c>
      <c r="M59" t="s">
        <v>1605</v>
      </c>
      <c r="N59" t="s">
        <v>1265</v>
      </c>
      <c r="S59" t="s">
        <v>1606</v>
      </c>
      <c r="T59" t="s">
        <v>1607</v>
      </c>
    </row>
    <row r="60" spans="1:20" hidden="1">
      <c r="A60" t="s">
        <v>1608</v>
      </c>
      <c r="B60" t="s">
        <v>1609</v>
      </c>
      <c r="C60" t="s">
        <v>1610</v>
      </c>
      <c r="D60" t="s">
        <v>1611</v>
      </c>
      <c r="E60" t="s">
        <v>1612</v>
      </c>
      <c r="K60" t="s">
        <v>954</v>
      </c>
      <c r="L60">
        <v>2</v>
      </c>
      <c r="M60" t="s">
        <v>1613</v>
      </c>
      <c r="N60" t="s">
        <v>1266</v>
      </c>
      <c r="S60" t="s">
        <v>1614</v>
      </c>
      <c r="T60" t="s">
        <v>1615</v>
      </c>
    </row>
    <row r="61" spans="1:20" hidden="1">
      <c r="A61" t="s">
        <v>1616</v>
      </c>
      <c r="B61" t="s">
        <v>1617</v>
      </c>
      <c r="C61" t="s">
        <v>1618</v>
      </c>
      <c r="D61" t="s">
        <v>1619</v>
      </c>
      <c r="E61" t="s">
        <v>1620</v>
      </c>
      <c r="K61" t="s">
        <v>955</v>
      </c>
      <c r="L61">
        <v>2</v>
      </c>
      <c r="M61" t="s">
        <v>1275</v>
      </c>
      <c r="N61" t="s">
        <v>1270</v>
      </c>
      <c r="O61" t="s">
        <v>28</v>
      </c>
      <c r="S61" t="s">
        <v>1621</v>
      </c>
    </row>
    <row r="62" spans="1:20" hidden="1">
      <c r="A62" t="s">
        <v>1622</v>
      </c>
      <c r="B62" t="s">
        <v>1623</v>
      </c>
      <c r="C62" t="s">
        <v>1624</v>
      </c>
      <c r="D62" t="s">
        <v>1625</v>
      </c>
      <c r="E62" t="s">
        <v>1626</v>
      </c>
      <c r="K62" t="s">
        <v>955</v>
      </c>
      <c r="L62">
        <v>2</v>
      </c>
      <c r="M62" t="s">
        <v>1627</v>
      </c>
      <c r="N62" t="s">
        <v>1271</v>
      </c>
      <c r="O62" t="s">
        <v>1628</v>
      </c>
      <c r="S62" t="s">
        <v>1629</v>
      </c>
      <c r="T62" t="s">
        <v>1630</v>
      </c>
    </row>
    <row r="63" spans="1:20" hidden="1">
      <c r="A63" t="s">
        <v>1631</v>
      </c>
      <c r="B63" t="s">
        <v>1632</v>
      </c>
      <c r="C63" t="s">
        <v>1633</v>
      </c>
      <c r="D63" t="s">
        <v>1634</v>
      </c>
      <c r="E63" t="s">
        <v>1635</v>
      </c>
      <c r="K63" t="s">
        <v>955</v>
      </c>
      <c r="L63">
        <v>2</v>
      </c>
      <c r="M63" t="s">
        <v>1636</v>
      </c>
      <c r="N63" t="s">
        <v>1272</v>
      </c>
      <c r="O63" t="s">
        <v>1637</v>
      </c>
      <c r="S63" t="s">
        <v>1638</v>
      </c>
      <c r="T63" t="s">
        <v>1639</v>
      </c>
    </row>
    <row r="64" spans="1:20" hidden="1">
      <c r="A64" t="s">
        <v>1640</v>
      </c>
      <c r="B64" t="s">
        <v>1641</v>
      </c>
      <c r="C64" t="s">
        <v>1642</v>
      </c>
      <c r="D64" t="s">
        <v>1643</v>
      </c>
      <c r="E64" t="s">
        <v>1644</v>
      </c>
      <c r="K64" t="s">
        <v>955</v>
      </c>
      <c r="L64">
        <v>2</v>
      </c>
      <c r="M64" t="s">
        <v>1645</v>
      </c>
      <c r="N64" t="s">
        <v>1273</v>
      </c>
      <c r="S64" t="s">
        <v>1646</v>
      </c>
      <c r="T64" s="602">
        <v>7006702570347060</v>
      </c>
    </row>
    <row r="65" spans="1:20" hidden="1">
      <c r="A65" t="s">
        <v>1647</v>
      </c>
      <c r="B65" t="s">
        <v>1648</v>
      </c>
      <c r="C65" t="s">
        <v>1649</v>
      </c>
      <c r="D65" t="s">
        <v>1650</v>
      </c>
      <c r="E65" t="s">
        <v>705</v>
      </c>
      <c r="G65">
        <v>2</v>
      </c>
      <c r="H65" t="s">
        <v>924</v>
      </c>
      <c r="I65" t="s">
        <v>1651</v>
      </c>
      <c r="K65" t="s">
        <v>924</v>
      </c>
      <c r="L65">
        <v>3</v>
      </c>
      <c r="M65" t="s">
        <v>1281</v>
      </c>
      <c r="N65" t="s">
        <v>1277</v>
      </c>
      <c r="O65" t="s">
        <v>1282</v>
      </c>
      <c r="S65" t="s">
        <v>1652</v>
      </c>
      <c r="T65">
        <v>7017</v>
      </c>
    </row>
    <row r="66" spans="1:20" hidden="1">
      <c r="A66" t="s">
        <v>1653</v>
      </c>
      <c r="B66" t="s">
        <v>1654</v>
      </c>
      <c r="C66" t="s">
        <v>1655</v>
      </c>
      <c r="D66" t="s">
        <v>1656</v>
      </c>
      <c r="E66" t="s">
        <v>1657</v>
      </c>
      <c r="G66">
        <v>2</v>
      </c>
      <c r="H66" t="s">
        <v>937</v>
      </c>
      <c r="I66" t="s">
        <v>1658</v>
      </c>
      <c r="K66" t="s">
        <v>924</v>
      </c>
      <c r="L66">
        <v>3</v>
      </c>
      <c r="M66" t="s">
        <v>1659</v>
      </c>
      <c r="N66" t="s">
        <v>1278</v>
      </c>
      <c r="O66">
        <v>7057</v>
      </c>
      <c r="S66" t="s">
        <v>1660</v>
      </c>
      <c r="T66" t="s">
        <v>26</v>
      </c>
    </row>
    <row r="67" spans="1:20" hidden="1">
      <c r="A67" t="s">
        <v>1661</v>
      </c>
      <c r="B67" t="s">
        <v>1662</v>
      </c>
      <c r="C67" t="s">
        <v>1663</v>
      </c>
      <c r="D67" t="s">
        <v>1664</v>
      </c>
      <c r="E67" t="s">
        <v>1665</v>
      </c>
      <c r="G67">
        <v>2</v>
      </c>
      <c r="H67" t="s">
        <v>950</v>
      </c>
      <c r="I67" t="s">
        <v>1666</v>
      </c>
      <c r="K67" t="s">
        <v>924</v>
      </c>
      <c r="L67">
        <v>3</v>
      </c>
      <c r="M67" t="s">
        <v>1667</v>
      </c>
      <c r="N67" t="s">
        <v>1279</v>
      </c>
      <c r="S67" t="s">
        <v>1668</v>
      </c>
      <c r="T67" t="s">
        <v>1669</v>
      </c>
    </row>
    <row r="68" spans="1:20" hidden="1">
      <c r="A68" t="s">
        <v>1670</v>
      </c>
      <c r="B68" t="s">
        <v>1671</v>
      </c>
      <c r="C68" t="s">
        <v>1672</v>
      </c>
      <c r="D68" t="s">
        <v>1673</v>
      </c>
      <c r="E68" t="s">
        <v>1674</v>
      </c>
      <c r="G68">
        <v>2</v>
      </c>
      <c r="H68" t="s">
        <v>951</v>
      </c>
      <c r="I68" t="s">
        <v>1675</v>
      </c>
      <c r="K68" t="s">
        <v>924</v>
      </c>
      <c r="L68">
        <v>3</v>
      </c>
      <c r="M68" t="s">
        <v>1676</v>
      </c>
      <c r="N68" t="s">
        <v>1280</v>
      </c>
      <c r="S68" t="s">
        <v>1677</v>
      </c>
      <c r="T68" t="s">
        <v>1311</v>
      </c>
    </row>
    <row r="69" spans="1:20" hidden="1">
      <c r="A69" t="s">
        <v>1678</v>
      </c>
      <c r="B69" t="s">
        <v>1679</v>
      </c>
      <c r="C69" t="s">
        <v>1680</v>
      </c>
      <c r="D69" t="s">
        <v>1681</v>
      </c>
      <c r="E69" t="s">
        <v>1682</v>
      </c>
      <c r="G69">
        <v>8</v>
      </c>
      <c r="H69" t="s">
        <v>924</v>
      </c>
      <c r="I69" t="s">
        <v>1683</v>
      </c>
      <c r="K69" t="s">
        <v>937</v>
      </c>
      <c r="L69">
        <v>3</v>
      </c>
      <c r="M69" t="s">
        <v>1289</v>
      </c>
      <c r="N69" t="s">
        <v>1284</v>
      </c>
      <c r="O69" t="s">
        <v>203</v>
      </c>
      <c r="S69" t="s">
        <v>1684</v>
      </c>
    </row>
    <row r="70" spans="1:20" hidden="1">
      <c r="A70" t="s">
        <v>1685</v>
      </c>
      <c r="B70" t="s">
        <v>1686</v>
      </c>
      <c r="C70" t="s">
        <v>1687</v>
      </c>
      <c r="D70" t="s">
        <v>1688</v>
      </c>
      <c r="E70" t="s">
        <v>1689</v>
      </c>
      <c r="G70">
        <v>8</v>
      </c>
      <c r="H70" t="s">
        <v>937</v>
      </c>
      <c r="I70" t="s">
        <v>1690</v>
      </c>
      <c r="K70" t="s">
        <v>937</v>
      </c>
      <c r="L70">
        <v>3</v>
      </c>
      <c r="M70" t="s">
        <v>1691</v>
      </c>
      <c r="N70" t="s">
        <v>1285</v>
      </c>
      <c r="S70" t="s">
        <v>1692</v>
      </c>
      <c r="T70" t="s">
        <v>1402</v>
      </c>
    </row>
    <row r="71" spans="1:20" hidden="1">
      <c r="A71" t="s">
        <v>1693</v>
      </c>
      <c r="B71" t="s">
        <v>1694</v>
      </c>
      <c r="C71" t="s">
        <v>1695</v>
      </c>
      <c r="D71" t="s">
        <v>1696</v>
      </c>
      <c r="E71" t="s">
        <v>1697</v>
      </c>
      <c r="G71">
        <v>8</v>
      </c>
      <c r="H71" t="s">
        <v>950</v>
      </c>
      <c r="I71" t="s">
        <v>1698</v>
      </c>
      <c r="K71" t="s">
        <v>937</v>
      </c>
      <c r="L71">
        <v>3</v>
      </c>
      <c r="M71" t="s">
        <v>1699</v>
      </c>
      <c r="N71" t="s">
        <v>1286</v>
      </c>
      <c r="O71" t="s">
        <v>1700</v>
      </c>
      <c r="S71" t="s">
        <v>1701</v>
      </c>
      <c r="T71" t="s">
        <v>1702</v>
      </c>
    </row>
    <row r="72" spans="1:20" hidden="1">
      <c r="A72" t="s">
        <v>1703</v>
      </c>
      <c r="B72" t="s">
        <v>1704</v>
      </c>
      <c r="C72" t="s">
        <v>1705</v>
      </c>
      <c r="D72" t="s">
        <v>1706</v>
      </c>
      <c r="E72" t="s">
        <v>1707</v>
      </c>
      <c r="G72">
        <v>8</v>
      </c>
      <c r="H72" t="s">
        <v>951</v>
      </c>
      <c r="I72" t="s">
        <v>1708</v>
      </c>
      <c r="K72" t="s">
        <v>937</v>
      </c>
      <c r="L72">
        <v>3</v>
      </c>
      <c r="M72" t="s">
        <v>1709</v>
      </c>
      <c r="N72" t="s">
        <v>1287</v>
      </c>
      <c r="O72">
        <v>7062</v>
      </c>
      <c r="S72" t="s">
        <v>1710</v>
      </c>
      <c r="T72" t="s">
        <v>1711</v>
      </c>
    </row>
    <row r="73" spans="1:20" hidden="1">
      <c r="A73" t="s">
        <v>1712</v>
      </c>
      <c r="B73" t="s">
        <v>1713</v>
      </c>
      <c r="C73" t="s">
        <v>1714</v>
      </c>
      <c r="D73" t="s">
        <v>1715</v>
      </c>
      <c r="E73" t="s">
        <v>1716</v>
      </c>
      <c r="K73" t="s">
        <v>950</v>
      </c>
      <c r="L73">
        <v>3</v>
      </c>
      <c r="M73" t="s">
        <v>1297</v>
      </c>
      <c r="N73" t="s">
        <v>1291</v>
      </c>
      <c r="O73">
        <v>7081</v>
      </c>
      <c r="S73" t="s">
        <v>1717</v>
      </c>
    </row>
    <row r="74" spans="1:20" hidden="1">
      <c r="A74" t="s">
        <v>1718</v>
      </c>
      <c r="B74" t="s">
        <v>1719</v>
      </c>
      <c r="C74" t="s">
        <v>1720</v>
      </c>
      <c r="D74" t="s">
        <v>1721</v>
      </c>
      <c r="E74" t="s">
        <v>1722</v>
      </c>
      <c r="K74" t="s">
        <v>950</v>
      </c>
      <c r="L74">
        <v>3</v>
      </c>
      <c r="M74" t="s">
        <v>1723</v>
      </c>
      <c r="N74" t="s">
        <v>1292</v>
      </c>
      <c r="O74" t="s">
        <v>169</v>
      </c>
      <c r="S74" t="s">
        <v>1724</v>
      </c>
    </row>
    <row r="75" spans="1:20" hidden="1">
      <c r="A75" t="s">
        <v>1725</v>
      </c>
      <c r="B75" t="s">
        <v>1726</v>
      </c>
      <c r="C75" t="s">
        <v>1727</v>
      </c>
      <c r="D75" t="s">
        <v>1728</v>
      </c>
      <c r="E75" t="s">
        <v>1729</v>
      </c>
      <c r="K75" t="s">
        <v>950</v>
      </c>
      <c r="L75">
        <v>3</v>
      </c>
      <c r="M75" t="s">
        <v>1730</v>
      </c>
      <c r="N75" t="s">
        <v>1293</v>
      </c>
      <c r="S75" t="s">
        <v>1731</v>
      </c>
      <c r="T75" t="s">
        <v>1259</v>
      </c>
    </row>
    <row r="76" spans="1:20" hidden="1">
      <c r="A76" t="s">
        <v>1732</v>
      </c>
      <c r="B76" t="s">
        <v>1733</v>
      </c>
      <c r="C76" t="s">
        <v>1734</v>
      </c>
      <c r="D76" t="s">
        <v>1735</v>
      </c>
      <c r="E76" t="s">
        <v>1736</v>
      </c>
      <c r="K76" t="s">
        <v>950</v>
      </c>
      <c r="L76">
        <v>3</v>
      </c>
      <c r="M76" t="s">
        <v>1737</v>
      </c>
      <c r="N76" t="s">
        <v>1294</v>
      </c>
      <c r="S76" t="s">
        <v>1738</v>
      </c>
    </row>
    <row r="77" spans="1:20" hidden="1">
      <c r="A77" t="s">
        <v>1739</v>
      </c>
      <c r="B77" t="s">
        <v>1740</v>
      </c>
      <c r="C77" t="s">
        <v>1741</v>
      </c>
      <c r="D77" t="s">
        <v>1742</v>
      </c>
      <c r="E77" t="s">
        <v>1743</v>
      </c>
      <c r="K77" t="s">
        <v>951</v>
      </c>
      <c r="L77">
        <v>3</v>
      </c>
      <c r="M77" t="s">
        <v>1304</v>
      </c>
      <c r="N77" t="s">
        <v>1299</v>
      </c>
      <c r="O77">
        <v>7005</v>
      </c>
      <c r="S77" t="s">
        <v>1744</v>
      </c>
      <c r="T77" t="s">
        <v>1745</v>
      </c>
    </row>
    <row r="78" spans="1:20" hidden="1">
      <c r="A78" t="s">
        <v>1746</v>
      </c>
      <c r="B78" t="s">
        <v>1747</v>
      </c>
      <c r="C78" t="s">
        <v>1748</v>
      </c>
      <c r="D78" t="s">
        <v>1749</v>
      </c>
      <c r="E78" t="s">
        <v>1750</v>
      </c>
      <c r="K78" t="s">
        <v>951</v>
      </c>
      <c r="L78">
        <v>3</v>
      </c>
      <c r="M78" t="s">
        <v>1751</v>
      </c>
      <c r="N78" t="s">
        <v>1300</v>
      </c>
      <c r="S78" t="s">
        <v>1752</v>
      </c>
      <c r="T78">
        <v>7047</v>
      </c>
    </row>
    <row r="79" spans="1:20" hidden="1">
      <c r="A79" t="s">
        <v>1753</v>
      </c>
      <c r="B79" t="s">
        <v>1754</v>
      </c>
      <c r="C79" t="s">
        <v>1755</v>
      </c>
      <c r="D79" t="s">
        <v>1756</v>
      </c>
      <c r="E79" t="s">
        <v>1757</v>
      </c>
      <c r="K79" t="s">
        <v>951</v>
      </c>
      <c r="L79">
        <v>3</v>
      </c>
      <c r="M79" t="s">
        <v>1758</v>
      </c>
      <c r="N79" t="s">
        <v>1301</v>
      </c>
      <c r="S79" t="s">
        <v>1759</v>
      </c>
    </row>
    <row r="80" spans="1:20" hidden="1">
      <c r="A80" t="s">
        <v>1760</v>
      </c>
      <c r="B80" t="s">
        <v>1761</v>
      </c>
      <c r="C80" t="s">
        <v>1762</v>
      </c>
      <c r="D80" t="s">
        <v>1763</v>
      </c>
      <c r="E80" t="s">
        <v>1764</v>
      </c>
      <c r="K80" t="s">
        <v>951</v>
      </c>
      <c r="L80">
        <v>3</v>
      </c>
      <c r="M80" t="s">
        <v>1765</v>
      </c>
      <c r="N80" t="s">
        <v>1302</v>
      </c>
      <c r="S80" t="s">
        <v>1766</v>
      </c>
    </row>
    <row r="81" spans="1:20" hidden="1">
      <c r="A81" t="s">
        <v>1767</v>
      </c>
      <c r="B81" t="s">
        <v>1768</v>
      </c>
      <c r="C81" t="s">
        <v>1769</v>
      </c>
      <c r="D81" t="s">
        <v>1770</v>
      </c>
      <c r="E81" t="s">
        <v>1771</v>
      </c>
      <c r="K81" t="s">
        <v>952</v>
      </c>
      <c r="L81">
        <v>3</v>
      </c>
      <c r="M81" t="s">
        <v>1310</v>
      </c>
      <c r="N81" t="s">
        <v>1306</v>
      </c>
      <c r="O81" t="s">
        <v>1311</v>
      </c>
      <c r="S81" t="s">
        <v>1772</v>
      </c>
    </row>
    <row r="82" spans="1:20" hidden="1">
      <c r="A82" t="s">
        <v>1773</v>
      </c>
      <c r="B82" t="s">
        <v>1774</v>
      </c>
      <c r="C82" t="s">
        <v>1775</v>
      </c>
      <c r="D82" t="s">
        <v>1776</v>
      </c>
      <c r="E82" t="s">
        <v>1777</v>
      </c>
      <c r="K82" t="s">
        <v>952</v>
      </c>
      <c r="L82">
        <v>3</v>
      </c>
      <c r="M82" t="s">
        <v>1778</v>
      </c>
      <c r="N82" t="s">
        <v>1307</v>
      </c>
      <c r="O82" t="s">
        <v>1779</v>
      </c>
      <c r="S82" t="s">
        <v>1780</v>
      </c>
      <c r="T82" t="s">
        <v>1781</v>
      </c>
    </row>
    <row r="83" spans="1:20" hidden="1">
      <c r="A83" t="s">
        <v>1782</v>
      </c>
      <c r="B83" t="s">
        <v>1783</v>
      </c>
      <c r="C83" t="s">
        <v>1784</v>
      </c>
      <c r="D83" t="s">
        <v>1785</v>
      </c>
      <c r="E83" t="s">
        <v>1786</v>
      </c>
      <c r="K83" t="s">
        <v>952</v>
      </c>
      <c r="L83">
        <v>3</v>
      </c>
      <c r="M83" t="s">
        <v>1787</v>
      </c>
      <c r="N83" t="s">
        <v>1308</v>
      </c>
      <c r="O83" t="s">
        <v>1788</v>
      </c>
      <c r="S83" t="s">
        <v>1789</v>
      </c>
      <c r="T83" t="s">
        <v>1790</v>
      </c>
    </row>
    <row r="84" spans="1:20" hidden="1">
      <c r="A84" t="s">
        <v>1791</v>
      </c>
      <c r="B84" t="s">
        <v>1792</v>
      </c>
      <c r="C84" t="s">
        <v>1793</v>
      </c>
      <c r="D84" t="s">
        <v>1794</v>
      </c>
      <c r="E84" t="s">
        <v>1795</v>
      </c>
      <c r="K84" t="s">
        <v>952</v>
      </c>
      <c r="L84">
        <v>3</v>
      </c>
      <c r="M84" t="s">
        <v>1796</v>
      </c>
      <c r="N84" t="s">
        <v>1309</v>
      </c>
      <c r="O84" t="s">
        <v>1797</v>
      </c>
      <c r="S84" t="s">
        <v>1798</v>
      </c>
    </row>
    <row r="85" spans="1:20" hidden="1">
      <c r="A85" t="s">
        <v>1799</v>
      </c>
      <c r="B85" t="s">
        <v>1800</v>
      </c>
      <c r="C85" t="s">
        <v>1801</v>
      </c>
      <c r="D85" t="s">
        <v>1802</v>
      </c>
      <c r="E85" t="s">
        <v>1803</v>
      </c>
      <c r="K85" t="s">
        <v>953</v>
      </c>
      <c r="L85">
        <v>3</v>
      </c>
      <c r="M85" t="s">
        <v>1318</v>
      </c>
      <c r="N85" t="s">
        <v>1313</v>
      </c>
      <c r="S85" t="s">
        <v>1804</v>
      </c>
      <c r="T85" t="s">
        <v>1805</v>
      </c>
    </row>
    <row r="86" spans="1:20" hidden="1">
      <c r="A86" t="s">
        <v>1806</v>
      </c>
      <c r="B86" t="s">
        <v>1807</v>
      </c>
      <c r="C86" t="s">
        <v>1808</v>
      </c>
      <c r="D86" t="s">
        <v>1809</v>
      </c>
      <c r="E86" t="s">
        <v>1810</v>
      </c>
      <c r="K86" t="s">
        <v>953</v>
      </c>
      <c r="L86">
        <v>3</v>
      </c>
      <c r="M86" t="s">
        <v>1811</v>
      </c>
      <c r="N86" t="s">
        <v>1314</v>
      </c>
      <c r="O86" t="s">
        <v>1812</v>
      </c>
      <c r="S86" t="s">
        <v>1813</v>
      </c>
      <c r="T86" t="s">
        <v>1814</v>
      </c>
    </row>
    <row r="87" spans="1:20" hidden="1">
      <c r="A87" t="s">
        <v>1815</v>
      </c>
      <c r="B87" t="s">
        <v>1816</v>
      </c>
      <c r="C87" t="s">
        <v>1817</v>
      </c>
      <c r="D87" t="s">
        <v>1818</v>
      </c>
      <c r="E87" t="s">
        <v>1819</v>
      </c>
      <c r="K87" t="s">
        <v>953</v>
      </c>
      <c r="L87">
        <v>3</v>
      </c>
      <c r="M87" t="s">
        <v>1820</v>
      </c>
      <c r="N87" t="s">
        <v>1315</v>
      </c>
      <c r="O87" t="s">
        <v>171</v>
      </c>
      <c r="S87" t="s">
        <v>1821</v>
      </c>
      <c r="T87">
        <v>42</v>
      </c>
    </row>
    <row r="88" spans="1:20" hidden="1">
      <c r="A88" t="s">
        <v>1822</v>
      </c>
      <c r="B88" t="s">
        <v>1823</v>
      </c>
      <c r="C88" t="s">
        <v>1824</v>
      </c>
      <c r="D88" t="s">
        <v>1825</v>
      </c>
      <c r="E88" t="s">
        <v>1826</v>
      </c>
      <c r="K88" t="s">
        <v>953</v>
      </c>
      <c r="L88">
        <v>3</v>
      </c>
      <c r="M88" t="s">
        <v>1827</v>
      </c>
      <c r="N88" t="s">
        <v>1316</v>
      </c>
      <c r="O88" t="s">
        <v>1828</v>
      </c>
      <c r="S88" t="s">
        <v>1829</v>
      </c>
      <c r="T88" t="s">
        <v>1830</v>
      </c>
    </row>
    <row r="89" spans="1:20" hidden="1">
      <c r="A89" t="s">
        <v>1831</v>
      </c>
      <c r="B89" t="s">
        <v>1832</v>
      </c>
      <c r="C89" t="s">
        <v>1833</v>
      </c>
      <c r="D89" t="s">
        <v>1834</v>
      </c>
      <c r="E89" t="s">
        <v>1835</v>
      </c>
      <c r="K89" t="s">
        <v>954</v>
      </c>
      <c r="L89">
        <v>3</v>
      </c>
      <c r="M89" t="s">
        <v>1325</v>
      </c>
      <c r="N89" t="s">
        <v>1320</v>
      </c>
      <c r="O89" t="s">
        <v>1326</v>
      </c>
      <c r="S89" t="s">
        <v>1836</v>
      </c>
      <c r="T89">
        <v>7069</v>
      </c>
    </row>
    <row r="90" spans="1:20" hidden="1">
      <c r="A90" t="s">
        <v>1837</v>
      </c>
      <c r="B90" t="s">
        <v>1838</v>
      </c>
      <c r="C90" t="s">
        <v>1839</v>
      </c>
      <c r="D90" t="s">
        <v>1840</v>
      </c>
      <c r="E90" t="s">
        <v>1841</v>
      </c>
      <c r="K90" t="s">
        <v>954</v>
      </c>
      <c r="L90">
        <v>3</v>
      </c>
      <c r="M90" t="s">
        <v>1842</v>
      </c>
      <c r="N90" t="s">
        <v>1321</v>
      </c>
      <c r="O90" t="s">
        <v>1843</v>
      </c>
      <c r="S90" t="s">
        <v>1844</v>
      </c>
    </row>
    <row r="91" spans="1:20" hidden="1">
      <c r="A91" t="s">
        <v>1845</v>
      </c>
      <c r="B91" t="s">
        <v>1846</v>
      </c>
      <c r="C91" t="s">
        <v>1847</v>
      </c>
      <c r="D91" t="s">
        <v>1848</v>
      </c>
      <c r="E91" t="s">
        <v>1849</v>
      </c>
      <c r="K91" t="s">
        <v>954</v>
      </c>
      <c r="L91">
        <v>3</v>
      </c>
      <c r="M91" t="s">
        <v>1850</v>
      </c>
      <c r="N91" t="s">
        <v>1322</v>
      </c>
      <c r="O91" t="s">
        <v>1851</v>
      </c>
      <c r="S91" t="s">
        <v>1852</v>
      </c>
    </row>
    <row r="92" spans="1:20" hidden="1">
      <c r="A92" t="s">
        <v>1853</v>
      </c>
      <c r="B92" t="s">
        <v>1854</v>
      </c>
      <c r="C92" t="s">
        <v>1855</v>
      </c>
      <c r="D92" t="s">
        <v>1856</v>
      </c>
      <c r="E92" t="s">
        <v>1857</v>
      </c>
      <c r="K92" t="s">
        <v>954</v>
      </c>
      <c r="L92">
        <v>3</v>
      </c>
      <c r="M92" t="s">
        <v>1858</v>
      </c>
      <c r="N92" t="s">
        <v>1323</v>
      </c>
      <c r="O92" t="s">
        <v>1859</v>
      </c>
      <c r="S92" t="s">
        <v>1860</v>
      </c>
      <c r="T92" t="s">
        <v>1861</v>
      </c>
    </row>
    <row r="93" spans="1:20" hidden="1">
      <c r="A93" t="s">
        <v>1862</v>
      </c>
      <c r="B93" t="s">
        <v>1863</v>
      </c>
      <c r="C93" t="s">
        <v>1864</v>
      </c>
      <c r="D93" t="s">
        <v>1865</v>
      </c>
      <c r="E93" t="s">
        <v>1866</v>
      </c>
      <c r="K93" t="s">
        <v>955</v>
      </c>
      <c r="L93">
        <v>3</v>
      </c>
      <c r="M93" t="s">
        <v>1334</v>
      </c>
      <c r="N93" t="s">
        <v>1328</v>
      </c>
      <c r="O93" t="s">
        <v>1335</v>
      </c>
      <c r="S93" t="s">
        <v>1867</v>
      </c>
      <c r="T93" t="s">
        <v>1868</v>
      </c>
    </row>
    <row r="94" spans="1:20" hidden="1">
      <c r="A94" t="s">
        <v>1869</v>
      </c>
      <c r="B94" t="s">
        <v>1870</v>
      </c>
      <c r="C94" t="s">
        <v>1871</v>
      </c>
      <c r="D94" t="s">
        <v>1872</v>
      </c>
      <c r="E94" t="s">
        <v>1873</v>
      </c>
      <c r="K94" t="s">
        <v>955</v>
      </c>
      <c r="L94">
        <v>3</v>
      </c>
      <c r="M94" t="s">
        <v>1874</v>
      </c>
      <c r="N94" t="s">
        <v>1329</v>
      </c>
      <c r="S94" t="s">
        <v>1875</v>
      </c>
      <c r="T94" t="s">
        <v>1876</v>
      </c>
    </row>
    <row r="95" spans="1:20" hidden="1">
      <c r="A95" t="s">
        <v>1877</v>
      </c>
      <c r="B95" t="s">
        <v>1878</v>
      </c>
      <c r="C95" t="s">
        <v>1879</v>
      </c>
      <c r="D95" t="s">
        <v>1880</v>
      </c>
      <c r="E95" t="s">
        <v>1881</v>
      </c>
      <c r="K95" t="s">
        <v>955</v>
      </c>
      <c r="L95">
        <v>3</v>
      </c>
      <c r="M95" t="s">
        <v>1882</v>
      </c>
      <c r="N95" t="s">
        <v>1330</v>
      </c>
      <c r="O95" t="s">
        <v>1883</v>
      </c>
      <c r="S95" t="s">
        <v>1884</v>
      </c>
      <c r="T95" t="s">
        <v>1885</v>
      </c>
    </row>
    <row r="96" spans="1:20" hidden="1">
      <c r="A96" t="s">
        <v>1886</v>
      </c>
      <c r="B96" t="s">
        <v>1887</v>
      </c>
      <c r="C96" t="s">
        <v>1888</v>
      </c>
      <c r="D96" t="s">
        <v>1889</v>
      </c>
      <c r="E96" t="s">
        <v>1890</v>
      </c>
      <c r="K96" t="s">
        <v>955</v>
      </c>
      <c r="L96">
        <v>3</v>
      </c>
      <c r="M96" t="s">
        <v>1891</v>
      </c>
      <c r="N96" t="s">
        <v>1331</v>
      </c>
      <c r="S96" t="s">
        <v>1892</v>
      </c>
      <c r="T96" t="s">
        <v>1893</v>
      </c>
    </row>
    <row r="97" spans="7:20" hidden="1">
      <c r="G97">
        <v>2</v>
      </c>
      <c r="H97" t="s">
        <v>952</v>
      </c>
      <c r="I97" t="s">
        <v>1894</v>
      </c>
      <c r="K97" t="s">
        <v>924</v>
      </c>
      <c r="L97">
        <v>4</v>
      </c>
      <c r="M97" t="s">
        <v>1341</v>
      </c>
      <c r="N97" t="s">
        <v>1337</v>
      </c>
      <c r="S97" t="s">
        <v>1159</v>
      </c>
    </row>
    <row r="98" spans="7:20" hidden="1">
      <c r="G98">
        <v>2</v>
      </c>
      <c r="H98" t="s">
        <v>953</v>
      </c>
      <c r="I98" t="s">
        <v>1895</v>
      </c>
      <c r="K98" t="s">
        <v>924</v>
      </c>
      <c r="L98">
        <v>4</v>
      </c>
      <c r="M98" t="s">
        <v>1896</v>
      </c>
      <c r="N98" t="s">
        <v>1338</v>
      </c>
      <c r="O98" t="s">
        <v>1897</v>
      </c>
      <c r="S98" t="s">
        <v>1193</v>
      </c>
      <c r="T98" t="s">
        <v>1194</v>
      </c>
    </row>
    <row r="99" spans="7:20" hidden="1">
      <c r="G99">
        <v>2</v>
      </c>
      <c r="H99" t="s">
        <v>954</v>
      </c>
      <c r="I99" t="s">
        <v>1898</v>
      </c>
      <c r="K99" t="s">
        <v>924</v>
      </c>
      <c r="L99">
        <v>4</v>
      </c>
      <c r="M99" t="s">
        <v>1899</v>
      </c>
      <c r="N99" t="s">
        <v>1339</v>
      </c>
      <c r="O99" t="s">
        <v>1900</v>
      </c>
      <c r="S99" t="s">
        <v>1226</v>
      </c>
      <c r="T99" t="s">
        <v>1227</v>
      </c>
    </row>
    <row r="100" spans="7:20" hidden="1">
      <c r="G100">
        <v>2</v>
      </c>
      <c r="H100" t="s">
        <v>955</v>
      </c>
      <c r="I100" t="s">
        <v>1901</v>
      </c>
      <c r="K100" t="s">
        <v>924</v>
      </c>
      <c r="L100">
        <v>4</v>
      </c>
      <c r="M100" t="s">
        <v>1902</v>
      </c>
      <c r="N100" t="s">
        <v>1340</v>
      </c>
      <c r="S100" t="s">
        <v>1258</v>
      </c>
      <c r="T100" t="s">
        <v>1259</v>
      </c>
    </row>
    <row r="101" spans="7:20" hidden="1">
      <c r="G101">
        <v>8</v>
      </c>
      <c r="H101" t="s">
        <v>952</v>
      </c>
      <c r="I101" t="s">
        <v>1903</v>
      </c>
      <c r="K101" t="s">
        <v>937</v>
      </c>
      <c r="L101">
        <v>4</v>
      </c>
      <c r="M101" t="s">
        <v>1348</v>
      </c>
      <c r="N101" t="s">
        <v>1343</v>
      </c>
      <c r="S101" t="s">
        <v>1288</v>
      </c>
    </row>
    <row r="102" spans="7:20" hidden="1">
      <c r="G102">
        <v>8</v>
      </c>
      <c r="H102" t="s">
        <v>953</v>
      </c>
      <c r="I102" t="s">
        <v>1904</v>
      </c>
      <c r="K102" t="s">
        <v>937</v>
      </c>
      <c r="L102">
        <v>4</v>
      </c>
      <c r="M102" t="s">
        <v>1905</v>
      </c>
      <c r="N102" t="s">
        <v>1344</v>
      </c>
      <c r="O102" t="s">
        <v>1906</v>
      </c>
      <c r="S102" t="s">
        <v>1317</v>
      </c>
    </row>
    <row r="103" spans="7:20" hidden="1">
      <c r="G103">
        <v>8</v>
      </c>
      <c r="H103" t="s">
        <v>954</v>
      </c>
      <c r="I103" t="s">
        <v>1907</v>
      </c>
      <c r="K103" t="s">
        <v>937</v>
      </c>
      <c r="L103">
        <v>4</v>
      </c>
      <c r="M103" t="s">
        <v>1908</v>
      </c>
      <c r="N103" t="s">
        <v>1345</v>
      </c>
      <c r="O103" t="s">
        <v>1909</v>
      </c>
      <c r="S103" t="s">
        <v>1347</v>
      </c>
      <c r="T103">
        <v>7002</v>
      </c>
    </row>
    <row r="104" spans="7:20" hidden="1">
      <c r="G104">
        <v>8</v>
      </c>
      <c r="H104" t="s">
        <v>955</v>
      </c>
      <c r="I104" t="s">
        <v>1910</v>
      </c>
      <c r="K104" t="s">
        <v>937</v>
      </c>
      <c r="L104">
        <v>4</v>
      </c>
      <c r="M104" t="s">
        <v>1911</v>
      </c>
      <c r="N104" t="s">
        <v>1346</v>
      </c>
      <c r="O104" t="s">
        <v>1912</v>
      </c>
      <c r="S104" t="s">
        <v>1376</v>
      </c>
    </row>
    <row r="105" spans="7:20" hidden="1">
      <c r="K105" t="s">
        <v>950</v>
      </c>
      <c r="L105">
        <v>4</v>
      </c>
      <c r="M105" t="s">
        <v>1355</v>
      </c>
      <c r="N105" t="s">
        <v>1350</v>
      </c>
      <c r="S105" t="s">
        <v>1409</v>
      </c>
      <c r="T105" t="s">
        <v>1410</v>
      </c>
    </row>
    <row r="106" spans="7:20" hidden="1">
      <c r="K106" t="s">
        <v>950</v>
      </c>
      <c r="L106">
        <v>4</v>
      </c>
      <c r="M106" t="s">
        <v>1913</v>
      </c>
      <c r="N106" t="s">
        <v>1351</v>
      </c>
      <c r="O106" t="s">
        <v>1914</v>
      </c>
      <c r="S106" t="s">
        <v>1445</v>
      </c>
      <c r="T106" t="s">
        <v>208</v>
      </c>
    </row>
    <row r="107" spans="7:20" hidden="1">
      <c r="K107" t="s">
        <v>950</v>
      </c>
      <c r="L107">
        <v>4</v>
      </c>
      <c r="M107" t="s">
        <v>1915</v>
      </c>
      <c r="N107" t="s">
        <v>1352</v>
      </c>
      <c r="O107">
        <v>7002</v>
      </c>
      <c r="S107" t="s">
        <v>1479</v>
      </c>
      <c r="T107" t="s">
        <v>172</v>
      </c>
    </row>
    <row r="108" spans="7:20" hidden="1">
      <c r="K108" t="s">
        <v>950</v>
      </c>
      <c r="L108">
        <v>4</v>
      </c>
      <c r="M108" t="s">
        <v>1916</v>
      </c>
      <c r="N108" t="s">
        <v>1353</v>
      </c>
      <c r="O108" t="s">
        <v>1917</v>
      </c>
      <c r="S108" t="s">
        <v>1509</v>
      </c>
    </row>
    <row r="109" spans="7:20" hidden="1">
      <c r="K109" t="s">
        <v>951</v>
      </c>
      <c r="L109">
        <v>4</v>
      </c>
      <c r="M109" t="s">
        <v>1363</v>
      </c>
      <c r="N109" t="s">
        <v>1357</v>
      </c>
      <c r="O109" t="s">
        <v>1364</v>
      </c>
      <c r="S109" t="s">
        <v>1538</v>
      </c>
      <c r="T109">
        <v>7083</v>
      </c>
    </row>
    <row r="110" spans="7:20" hidden="1">
      <c r="K110" t="s">
        <v>951</v>
      </c>
      <c r="L110">
        <v>4</v>
      </c>
      <c r="M110" t="s">
        <v>1918</v>
      </c>
      <c r="N110" t="s">
        <v>1358</v>
      </c>
      <c r="O110" t="s">
        <v>1919</v>
      </c>
      <c r="S110" t="s">
        <v>1567</v>
      </c>
      <c r="T110" t="s">
        <v>1568</v>
      </c>
    </row>
    <row r="111" spans="7:20" hidden="1">
      <c r="K111" t="s">
        <v>951</v>
      </c>
      <c r="L111">
        <v>4</v>
      </c>
      <c r="M111" t="s">
        <v>1920</v>
      </c>
      <c r="N111" t="s">
        <v>1359</v>
      </c>
      <c r="O111" t="s">
        <v>1921</v>
      </c>
      <c r="S111" t="s">
        <v>1596</v>
      </c>
      <c r="T111" t="s">
        <v>1597</v>
      </c>
    </row>
    <row r="112" spans="7:20" hidden="1">
      <c r="K112" t="s">
        <v>951</v>
      </c>
      <c r="L112">
        <v>4</v>
      </c>
      <c r="M112" t="s">
        <v>1922</v>
      </c>
      <c r="N112" t="s">
        <v>1360</v>
      </c>
      <c r="O112" t="s">
        <v>1923</v>
      </c>
      <c r="S112" t="s">
        <v>1627</v>
      </c>
      <c r="T112" t="s">
        <v>1628</v>
      </c>
    </row>
    <row r="113" spans="11:20" hidden="1">
      <c r="K113" t="s">
        <v>952</v>
      </c>
      <c r="L113">
        <v>4</v>
      </c>
      <c r="M113" t="s">
        <v>1370</v>
      </c>
      <c r="N113" t="s">
        <v>1366</v>
      </c>
      <c r="S113" t="s">
        <v>1659</v>
      </c>
      <c r="T113">
        <v>7057</v>
      </c>
    </row>
    <row r="114" spans="11:20" hidden="1">
      <c r="K114" t="s">
        <v>952</v>
      </c>
      <c r="L114">
        <v>4</v>
      </c>
      <c r="M114" t="s">
        <v>1924</v>
      </c>
      <c r="N114" t="s">
        <v>1367</v>
      </c>
      <c r="S114" t="s">
        <v>1691</v>
      </c>
    </row>
    <row r="115" spans="11:20" hidden="1">
      <c r="K115" t="s">
        <v>952</v>
      </c>
      <c r="L115">
        <v>4</v>
      </c>
      <c r="M115" t="s">
        <v>1925</v>
      </c>
      <c r="N115" t="s">
        <v>1368</v>
      </c>
      <c r="O115" t="s">
        <v>1926</v>
      </c>
      <c r="S115" t="s">
        <v>1723</v>
      </c>
      <c r="T115" t="s">
        <v>169</v>
      </c>
    </row>
    <row r="116" spans="11:20" hidden="1">
      <c r="K116" t="s">
        <v>952</v>
      </c>
      <c r="L116">
        <v>4</v>
      </c>
      <c r="M116" t="s">
        <v>1927</v>
      </c>
      <c r="N116" t="s">
        <v>1369</v>
      </c>
      <c r="O116">
        <v>7068</v>
      </c>
      <c r="S116" t="s">
        <v>1751</v>
      </c>
    </row>
    <row r="117" spans="11:20" hidden="1">
      <c r="K117" t="s">
        <v>953</v>
      </c>
      <c r="L117">
        <v>4</v>
      </c>
      <c r="M117" t="s">
        <v>1377</v>
      </c>
      <c r="N117" t="s">
        <v>1372</v>
      </c>
      <c r="O117" t="s">
        <v>1378</v>
      </c>
      <c r="S117" t="s">
        <v>1778</v>
      </c>
      <c r="T117" t="s">
        <v>1779</v>
      </c>
    </row>
    <row r="118" spans="11:20" hidden="1">
      <c r="K118" t="s">
        <v>953</v>
      </c>
      <c r="L118">
        <v>4</v>
      </c>
      <c r="M118" t="s">
        <v>1928</v>
      </c>
      <c r="N118" t="s">
        <v>1373</v>
      </c>
      <c r="O118" t="s">
        <v>1929</v>
      </c>
      <c r="S118" t="s">
        <v>1811</v>
      </c>
      <c r="T118" t="s">
        <v>1812</v>
      </c>
    </row>
    <row r="119" spans="11:20" hidden="1">
      <c r="K119" t="s">
        <v>953</v>
      </c>
      <c r="L119">
        <v>4</v>
      </c>
      <c r="M119" t="s">
        <v>1930</v>
      </c>
      <c r="N119" t="s">
        <v>1374</v>
      </c>
      <c r="O119" t="s">
        <v>1931</v>
      </c>
      <c r="S119" t="s">
        <v>1842</v>
      </c>
      <c r="T119" t="s">
        <v>1843</v>
      </c>
    </row>
    <row r="120" spans="11:20" hidden="1">
      <c r="K120" t="s">
        <v>953</v>
      </c>
      <c r="L120">
        <v>4</v>
      </c>
      <c r="M120" t="s">
        <v>1932</v>
      </c>
      <c r="N120" t="s">
        <v>1375</v>
      </c>
      <c r="S120" t="s">
        <v>1874</v>
      </c>
    </row>
    <row r="121" spans="11:20" hidden="1">
      <c r="K121" t="s">
        <v>954</v>
      </c>
      <c r="L121">
        <v>4</v>
      </c>
      <c r="M121" t="s">
        <v>1386</v>
      </c>
      <c r="N121" t="s">
        <v>1380</v>
      </c>
      <c r="S121" t="s">
        <v>1896</v>
      </c>
      <c r="T121" t="s">
        <v>1897</v>
      </c>
    </row>
    <row r="122" spans="11:20" hidden="1">
      <c r="K122" t="s">
        <v>954</v>
      </c>
      <c r="L122">
        <v>4</v>
      </c>
      <c r="M122" t="s">
        <v>1933</v>
      </c>
      <c r="N122" t="s">
        <v>1381</v>
      </c>
      <c r="O122">
        <v>7033</v>
      </c>
      <c r="S122" t="s">
        <v>1905</v>
      </c>
      <c r="T122" t="s">
        <v>1906</v>
      </c>
    </row>
    <row r="123" spans="11:20" hidden="1">
      <c r="K123" t="s">
        <v>954</v>
      </c>
      <c r="L123">
        <v>4</v>
      </c>
      <c r="M123" t="s">
        <v>1934</v>
      </c>
      <c r="N123" t="s">
        <v>1382</v>
      </c>
      <c r="O123" t="s">
        <v>1935</v>
      </c>
      <c r="S123" t="s">
        <v>1913</v>
      </c>
      <c r="T123" t="s">
        <v>1914</v>
      </c>
    </row>
    <row r="124" spans="11:20" hidden="1">
      <c r="K124" t="s">
        <v>954</v>
      </c>
      <c r="L124">
        <v>4</v>
      </c>
      <c r="M124" t="s">
        <v>1936</v>
      </c>
      <c r="N124" t="s">
        <v>1383</v>
      </c>
      <c r="O124" t="s">
        <v>205</v>
      </c>
      <c r="S124" t="s">
        <v>1918</v>
      </c>
      <c r="T124" t="s">
        <v>1919</v>
      </c>
    </row>
    <row r="125" spans="11:20" hidden="1">
      <c r="K125" t="s">
        <v>955</v>
      </c>
      <c r="L125">
        <v>4</v>
      </c>
      <c r="M125" t="s">
        <v>1393</v>
      </c>
      <c r="N125" t="s">
        <v>1388</v>
      </c>
      <c r="O125" t="s">
        <v>1394</v>
      </c>
      <c r="S125" t="s">
        <v>1924</v>
      </c>
    </row>
    <row r="126" spans="11:20" hidden="1">
      <c r="K126" t="s">
        <v>955</v>
      </c>
      <c r="L126">
        <v>4</v>
      </c>
      <c r="M126" t="s">
        <v>1937</v>
      </c>
      <c r="N126" t="s">
        <v>1389</v>
      </c>
      <c r="O126">
        <v>7027</v>
      </c>
      <c r="S126" t="s">
        <v>1928</v>
      </c>
      <c r="T126" t="s">
        <v>1929</v>
      </c>
    </row>
    <row r="127" spans="11:20" hidden="1">
      <c r="K127" t="s">
        <v>955</v>
      </c>
      <c r="L127">
        <v>4</v>
      </c>
      <c r="M127" t="s">
        <v>1938</v>
      </c>
      <c r="N127" t="s">
        <v>1390</v>
      </c>
      <c r="S127" t="s">
        <v>1933</v>
      </c>
      <c r="T127">
        <v>7033</v>
      </c>
    </row>
    <row r="128" spans="11:20" hidden="1">
      <c r="K128" t="s">
        <v>955</v>
      </c>
      <c r="L128">
        <v>4</v>
      </c>
      <c r="M128" t="s">
        <v>1939</v>
      </c>
      <c r="N128" t="s">
        <v>1391</v>
      </c>
      <c r="O128" t="s">
        <v>1940</v>
      </c>
      <c r="S128" t="s">
        <v>1937</v>
      </c>
      <c r="T128">
        <v>7027</v>
      </c>
    </row>
    <row r="129" spans="7:20" hidden="1">
      <c r="G129">
        <v>3</v>
      </c>
      <c r="H129" t="s">
        <v>924</v>
      </c>
      <c r="I129" t="s">
        <v>1941</v>
      </c>
      <c r="K129" t="s">
        <v>924</v>
      </c>
      <c r="L129">
        <v>5</v>
      </c>
      <c r="M129" t="s">
        <v>1401</v>
      </c>
      <c r="N129" t="s">
        <v>1396</v>
      </c>
      <c r="O129" t="s">
        <v>1402</v>
      </c>
      <c r="S129" t="s">
        <v>1942</v>
      </c>
      <c r="T129" t="s">
        <v>1943</v>
      </c>
    </row>
    <row r="130" spans="7:20" hidden="1">
      <c r="G130">
        <v>3</v>
      </c>
      <c r="H130" t="s">
        <v>937</v>
      </c>
      <c r="I130" t="s">
        <v>1944</v>
      </c>
      <c r="K130" t="s">
        <v>924</v>
      </c>
      <c r="L130">
        <v>5</v>
      </c>
      <c r="M130" t="s">
        <v>1942</v>
      </c>
      <c r="N130" t="s">
        <v>1397</v>
      </c>
      <c r="O130" t="s">
        <v>1943</v>
      </c>
      <c r="S130" t="s">
        <v>1945</v>
      </c>
    </row>
    <row r="131" spans="7:20" hidden="1">
      <c r="G131">
        <v>3</v>
      </c>
      <c r="H131" t="s">
        <v>950</v>
      </c>
      <c r="I131" t="s">
        <v>1946</v>
      </c>
      <c r="K131" t="s">
        <v>924</v>
      </c>
      <c r="L131">
        <v>5</v>
      </c>
      <c r="M131" t="s">
        <v>1947</v>
      </c>
      <c r="N131" t="s">
        <v>1398</v>
      </c>
      <c r="O131" t="s">
        <v>1948</v>
      </c>
      <c r="S131" t="s">
        <v>1949</v>
      </c>
      <c r="T131">
        <v>43</v>
      </c>
    </row>
    <row r="132" spans="7:20" hidden="1">
      <c r="G132">
        <v>3</v>
      </c>
      <c r="H132" t="s">
        <v>951</v>
      </c>
      <c r="I132" t="s">
        <v>1950</v>
      </c>
      <c r="K132" t="s">
        <v>924</v>
      </c>
      <c r="L132">
        <v>5</v>
      </c>
      <c r="M132" t="s">
        <v>1951</v>
      </c>
      <c r="N132" t="s">
        <v>1399</v>
      </c>
      <c r="S132" t="s">
        <v>1952</v>
      </c>
      <c r="T132">
        <v>9</v>
      </c>
    </row>
    <row r="133" spans="7:20" hidden="1">
      <c r="G133">
        <v>9</v>
      </c>
      <c r="H133" t="s">
        <v>924</v>
      </c>
      <c r="I133" t="s">
        <v>1953</v>
      </c>
      <c r="K133" t="s">
        <v>937</v>
      </c>
      <c r="L133">
        <v>5</v>
      </c>
      <c r="M133" t="s">
        <v>1411</v>
      </c>
      <c r="N133" t="s">
        <v>1404</v>
      </c>
      <c r="O133" t="s">
        <v>1412</v>
      </c>
      <c r="S133" t="s">
        <v>1954</v>
      </c>
      <c r="T133" t="s">
        <v>1955</v>
      </c>
    </row>
    <row r="134" spans="7:20" hidden="1">
      <c r="G134">
        <v>9</v>
      </c>
      <c r="H134" t="s">
        <v>937</v>
      </c>
      <c r="I134" t="s">
        <v>1956</v>
      </c>
      <c r="K134" t="s">
        <v>937</v>
      </c>
      <c r="L134">
        <v>5</v>
      </c>
      <c r="M134" t="s">
        <v>1945</v>
      </c>
      <c r="N134" t="s">
        <v>1405</v>
      </c>
      <c r="S134" t="s">
        <v>1957</v>
      </c>
      <c r="T134">
        <v>38</v>
      </c>
    </row>
    <row r="135" spans="7:20" hidden="1">
      <c r="G135">
        <v>9</v>
      </c>
      <c r="H135" t="s">
        <v>950</v>
      </c>
      <c r="I135" t="s">
        <v>1958</v>
      </c>
      <c r="K135" t="s">
        <v>937</v>
      </c>
      <c r="L135">
        <v>5</v>
      </c>
      <c r="M135" t="s">
        <v>1959</v>
      </c>
      <c r="N135" t="s">
        <v>1406</v>
      </c>
      <c r="O135" s="602">
        <v>7016704270537060</v>
      </c>
      <c r="S135" t="s">
        <v>1960</v>
      </c>
      <c r="T135" t="s">
        <v>1961</v>
      </c>
    </row>
    <row r="136" spans="7:20" hidden="1">
      <c r="G136">
        <v>9</v>
      </c>
      <c r="H136" t="s">
        <v>951</v>
      </c>
      <c r="I136" t="s">
        <v>1962</v>
      </c>
      <c r="K136" t="s">
        <v>937</v>
      </c>
      <c r="L136">
        <v>5</v>
      </c>
      <c r="M136" t="s">
        <v>1963</v>
      </c>
      <c r="N136" t="s">
        <v>1407</v>
      </c>
      <c r="O136" t="s">
        <v>1964</v>
      </c>
      <c r="S136" t="s">
        <v>1965</v>
      </c>
    </row>
    <row r="137" spans="7:20" hidden="1">
      <c r="K137" t="s">
        <v>950</v>
      </c>
      <c r="L137">
        <v>5</v>
      </c>
      <c r="M137" t="s">
        <v>1421</v>
      </c>
      <c r="N137" t="s">
        <v>1414</v>
      </c>
      <c r="O137" t="s">
        <v>1422</v>
      </c>
      <c r="S137" t="s">
        <v>1966</v>
      </c>
      <c r="T137" t="s">
        <v>1967</v>
      </c>
    </row>
    <row r="138" spans="7:20" hidden="1">
      <c r="K138" t="s">
        <v>950</v>
      </c>
      <c r="L138">
        <v>5</v>
      </c>
      <c r="M138" t="s">
        <v>1949</v>
      </c>
      <c r="N138" t="s">
        <v>1415</v>
      </c>
      <c r="O138">
        <v>43</v>
      </c>
      <c r="S138" t="s">
        <v>1968</v>
      </c>
      <c r="T138">
        <v>7078</v>
      </c>
    </row>
    <row r="139" spans="7:20" hidden="1">
      <c r="K139" t="s">
        <v>950</v>
      </c>
      <c r="L139">
        <v>5</v>
      </c>
      <c r="M139" t="s">
        <v>1969</v>
      </c>
      <c r="N139" t="s">
        <v>1416</v>
      </c>
      <c r="S139" t="s">
        <v>1970</v>
      </c>
      <c r="T139" t="s">
        <v>1971</v>
      </c>
    </row>
    <row r="140" spans="7:20" hidden="1">
      <c r="K140" t="s">
        <v>950</v>
      </c>
      <c r="L140">
        <v>5</v>
      </c>
      <c r="M140" t="s">
        <v>1972</v>
      </c>
      <c r="N140" t="s">
        <v>1417</v>
      </c>
      <c r="S140" t="s">
        <v>1973</v>
      </c>
    </row>
    <row r="141" spans="7:20" hidden="1">
      <c r="K141" t="s">
        <v>951</v>
      </c>
      <c r="L141">
        <v>5</v>
      </c>
      <c r="M141" t="s">
        <v>1430</v>
      </c>
      <c r="N141" t="s">
        <v>1424</v>
      </c>
      <c r="O141" t="s">
        <v>1431</v>
      </c>
      <c r="S141" t="s">
        <v>1974</v>
      </c>
      <c r="T141">
        <v>32</v>
      </c>
    </row>
    <row r="142" spans="7:20" hidden="1">
      <c r="K142" t="s">
        <v>951</v>
      </c>
      <c r="L142">
        <v>5</v>
      </c>
      <c r="M142" t="s">
        <v>1952</v>
      </c>
      <c r="N142" t="s">
        <v>1425</v>
      </c>
      <c r="O142">
        <v>9</v>
      </c>
      <c r="S142" t="s">
        <v>1975</v>
      </c>
    </row>
    <row r="143" spans="7:20" hidden="1">
      <c r="K143" t="s">
        <v>951</v>
      </c>
      <c r="L143">
        <v>5</v>
      </c>
      <c r="M143" t="s">
        <v>1976</v>
      </c>
      <c r="N143" t="s">
        <v>1426</v>
      </c>
      <c r="O143" t="s">
        <v>1977</v>
      </c>
      <c r="S143" t="s">
        <v>1978</v>
      </c>
    </row>
    <row r="144" spans="7:20" hidden="1">
      <c r="K144" t="s">
        <v>951</v>
      </c>
      <c r="L144">
        <v>5</v>
      </c>
      <c r="M144" t="s">
        <v>1979</v>
      </c>
      <c r="N144" t="s">
        <v>1427</v>
      </c>
      <c r="S144" t="s">
        <v>1980</v>
      </c>
      <c r="T144" t="s">
        <v>1981</v>
      </c>
    </row>
    <row r="145" spans="11:20" hidden="1">
      <c r="K145" t="s">
        <v>952</v>
      </c>
      <c r="L145">
        <v>5</v>
      </c>
      <c r="M145" t="s">
        <v>1438</v>
      </c>
      <c r="N145" t="s">
        <v>1433</v>
      </c>
      <c r="S145" t="s">
        <v>1982</v>
      </c>
    </row>
    <row r="146" spans="11:20" hidden="1">
      <c r="K146" t="s">
        <v>952</v>
      </c>
      <c r="L146">
        <v>5</v>
      </c>
      <c r="M146" t="s">
        <v>1954</v>
      </c>
      <c r="N146" t="s">
        <v>1434</v>
      </c>
      <c r="O146" t="s">
        <v>1955</v>
      </c>
      <c r="S146" t="s">
        <v>1983</v>
      </c>
    </row>
    <row r="147" spans="11:20" hidden="1">
      <c r="K147" t="s">
        <v>952</v>
      </c>
      <c r="L147">
        <v>5</v>
      </c>
      <c r="M147" t="s">
        <v>1984</v>
      </c>
      <c r="N147" t="s">
        <v>1435</v>
      </c>
      <c r="O147" t="s">
        <v>1985</v>
      </c>
      <c r="S147" t="s">
        <v>1986</v>
      </c>
    </row>
    <row r="148" spans="11:20" hidden="1">
      <c r="K148" t="s">
        <v>952</v>
      </c>
      <c r="L148">
        <v>5</v>
      </c>
      <c r="M148" t="s">
        <v>1987</v>
      </c>
      <c r="N148" t="s">
        <v>1436</v>
      </c>
      <c r="S148" t="s">
        <v>1988</v>
      </c>
    </row>
    <row r="149" spans="11:20" hidden="1">
      <c r="K149" t="s">
        <v>953</v>
      </c>
      <c r="L149">
        <v>5</v>
      </c>
      <c r="M149" t="s">
        <v>1446</v>
      </c>
      <c r="N149" t="s">
        <v>1440</v>
      </c>
      <c r="O149" t="s">
        <v>1447</v>
      </c>
      <c r="S149" t="s">
        <v>1989</v>
      </c>
    </row>
    <row r="150" spans="11:20" hidden="1">
      <c r="K150" t="s">
        <v>953</v>
      </c>
      <c r="L150">
        <v>5</v>
      </c>
      <c r="M150" t="s">
        <v>1957</v>
      </c>
      <c r="N150" t="s">
        <v>1441</v>
      </c>
      <c r="O150">
        <v>38</v>
      </c>
      <c r="S150">
        <v>7080</v>
      </c>
      <c r="T150" t="s">
        <v>1990</v>
      </c>
    </row>
    <row r="151" spans="11:20" hidden="1">
      <c r="K151" t="s">
        <v>953</v>
      </c>
      <c r="L151">
        <v>5</v>
      </c>
      <c r="M151" t="s">
        <v>1991</v>
      </c>
      <c r="N151" t="s">
        <v>1442</v>
      </c>
      <c r="O151" t="s">
        <v>1992</v>
      </c>
      <c r="S151" t="s">
        <v>1993</v>
      </c>
      <c r="T151" t="s">
        <v>1994</v>
      </c>
    </row>
    <row r="152" spans="11:20" hidden="1">
      <c r="K152" t="s">
        <v>953</v>
      </c>
      <c r="L152">
        <v>5</v>
      </c>
      <c r="M152" t="s">
        <v>1995</v>
      </c>
      <c r="N152" t="s">
        <v>1443</v>
      </c>
      <c r="S152" t="s">
        <v>1996</v>
      </c>
      <c r="T152" t="s">
        <v>1997</v>
      </c>
    </row>
    <row r="153" spans="11:20" hidden="1">
      <c r="K153" t="s">
        <v>954</v>
      </c>
      <c r="L153">
        <v>5</v>
      </c>
      <c r="M153" t="s">
        <v>1456</v>
      </c>
      <c r="N153" t="s">
        <v>1449</v>
      </c>
      <c r="S153" t="s">
        <v>1998</v>
      </c>
    </row>
    <row r="154" spans="11:20" hidden="1">
      <c r="K154" t="s">
        <v>954</v>
      </c>
      <c r="L154">
        <v>5</v>
      </c>
      <c r="M154" t="s">
        <v>1960</v>
      </c>
      <c r="N154" t="s">
        <v>1450</v>
      </c>
      <c r="O154" t="s">
        <v>1961</v>
      </c>
      <c r="S154" t="s">
        <v>1999</v>
      </c>
    </row>
    <row r="155" spans="11:20" hidden="1">
      <c r="K155" t="s">
        <v>954</v>
      </c>
      <c r="L155">
        <v>5</v>
      </c>
      <c r="M155" t="s">
        <v>2000</v>
      </c>
      <c r="N155" t="s">
        <v>1451</v>
      </c>
      <c r="S155" t="s">
        <v>2001</v>
      </c>
    </row>
    <row r="156" spans="11:20" hidden="1">
      <c r="K156" t="s">
        <v>954</v>
      </c>
      <c r="L156">
        <v>5</v>
      </c>
      <c r="M156" t="s">
        <v>2002</v>
      </c>
      <c r="N156" t="s">
        <v>1452</v>
      </c>
      <c r="O156">
        <v>7056</v>
      </c>
      <c r="S156" t="s">
        <v>2003</v>
      </c>
    </row>
    <row r="157" spans="11:20" hidden="1">
      <c r="K157" t="s">
        <v>955</v>
      </c>
      <c r="L157">
        <v>5</v>
      </c>
      <c r="M157" t="s">
        <v>1465</v>
      </c>
      <c r="N157" t="s">
        <v>1458</v>
      </c>
      <c r="O157" t="s">
        <v>1466</v>
      </c>
      <c r="S157" t="s">
        <v>2004</v>
      </c>
      <c r="T157" t="s">
        <v>2005</v>
      </c>
    </row>
    <row r="158" spans="11:20" hidden="1">
      <c r="K158" t="s">
        <v>955</v>
      </c>
      <c r="L158">
        <v>5</v>
      </c>
      <c r="M158" t="s">
        <v>1965</v>
      </c>
      <c r="N158" t="s">
        <v>1459</v>
      </c>
      <c r="S158" t="s">
        <v>2006</v>
      </c>
      <c r="T158" t="s">
        <v>2007</v>
      </c>
    </row>
    <row r="159" spans="11:20" hidden="1">
      <c r="K159" t="s">
        <v>955</v>
      </c>
      <c r="L159">
        <v>5</v>
      </c>
      <c r="M159" t="s">
        <v>2008</v>
      </c>
      <c r="N159" t="s">
        <v>1460</v>
      </c>
      <c r="O159" t="s">
        <v>211</v>
      </c>
      <c r="S159" t="s">
        <v>2009</v>
      </c>
      <c r="T159" t="s">
        <v>1992</v>
      </c>
    </row>
    <row r="160" spans="11:20" hidden="1">
      <c r="K160" t="s">
        <v>955</v>
      </c>
      <c r="L160">
        <v>5</v>
      </c>
      <c r="M160" t="s">
        <v>2010</v>
      </c>
      <c r="N160" t="s">
        <v>1461</v>
      </c>
      <c r="O160">
        <v>7012</v>
      </c>
      <c r="S160" t="s">
        <v>2011</v>
      </c>
      <c r="T160" t="s">
        <v>2012</v>
      </c>
    </row>
    <row r="161" spans="7:20" hidden="1">
      <c r="G161">
        <v>3</v>
      </c>
      <c r="H161" t="s">
        <v>952</v>
      </c>
      <c r="I161" t="s">
        <v>2013</v>
      </c>
      <c r="K161" t="s">
        <v>924</v>
      </c>
      <c r="L161">
        <v>6</v>
      </c>
      <c r="M161" t="s">
        <v>1472</v>
      </c>
      <c r="N161" t="s">
        <v>1468</v>
      </c>
      <c r="O161" t="s">
        <v>1473</v>
      </c>
      <c r="S161" t="s">
        <v>2014</v>
      </c>
      <c r="T161" t="s">
        <v>168</v>
      </c>
    </row>
    <row r="162" spans="7:20" hidden="1">
      <c r="G162">
        <v>3</v>
      </c>
      <c r="H162" t="s">
        <v>953</v>
      </c>
      <c r="I162" t="s">
        <v>2015</v>
      </c>
      <c r="K162" t="s">
        <v>924</v>
      </c>
      <c r="L162">
        <v>6</v>
      </c>
      <c r="M162" t="s">
        <v>1966</v>
      </c>
      <c r="N162" t="s">
        <v>1469</v>
      </c>
      <c r="O162" t="s">
        <v>1967</v>
      </c>
      <c r="S162" t="s">
        <v>2016</v>
      </c>
      <c r="T162" t="s">
        <v>34</v>
      </c>
    </row>
    <row r="163" spans="7:20" hidden="1">
      <c r="G163">
        <v>3</v>
      </c>
      <c r="H163" t="s">
        <v>954</v>
      </c>
      <c r="I163" t="s">
        <v>2017</v>
      </c>
      <c r="K163" t="s">
        <v>924</v>
      </c>
      <c r="L163">
        <v>6</v>
      </c>
      <c r="M163" t="s">
        <v>2018</v>
      </c>
      <c r="N163" t="s">
        <v>1470</v>
      </c>
      <c r="S163" t="s">
        <v>2019</v>
      </c>
      <c r="T163" t="s">
        <v>2020</v>
      </c>
    </row>
    <row r="164" spans="7:20" hidden="1">
      <c r="G164">
        <v>3</v>
      </c>
      <c r="H164" t="s">
        <v>955</v>
      </c>
      <c r="I164" t="s">
        <v>2021</v>
      </c>
      <c r="K164" t="s">
        <v>924</v>
      </c>
      <c r="L164">
        <v>6</v>
      </c>
      <c r="M164" t="s">
        <v>2022</v>
      </c>
      <c r="N164" t="s">
        <v>1471</v>
      </c>
      <c r="O164">
        <v>7014</v>
      </c>
      <c r="S164" t="s">
        <v>2023</v>
      </c>
      <c r="T164">
        <v>7061</v>
      </c>
    </row>
    <row r="165" spans="7:20" hidden="1">
      <c r="G165">
        <v>9</v>
      </c>
      <c r="H165" t="s">
        <v>952</v>
      </c>
      <c r="I165" t="s">
        <v>2024</v>
      </c>
      <c r="K165" t="s">
        <v>937</v>
      </c>
      <c r="L165">
        <v>6</v>
      </c>
      <c r="M165" t="s">
        <v>1480</v>
      </c>
      <c r="N165" t="s">
        <v>1475</v>
      </c>
      <c r="S165" t="s">
        <v>2025</v>
      </c>
    </row>
    <row r="166" spans="7:20" hidden="1">
      <c r="G166">
        <v>9</v>
      </c>
      <c r="H166" t="s">
        <v>953</v>
      </c>
      <c r="I166" t="s">
        <v>2026</v>
      </c>
      <c r="K166" t="s">
        <v>937</v>
      </c>
      <c r="L166">
        <v>6</v>
      </c>
      <c r="M166" t="s">
        <v>1968</v>
      </c>
      <c r="N166" t="s">
        <v>1476</v>
      </c>
      <c r="O166">
        <v>7078</v>
      </c>
      <c r="S166" t="s">
        <v>2027</v>
      </c>
      <c r="T166" t="s">
        <v>1261</v>
      </c>
    </row>
    <row r="167" spans="7:20" hidden="1">
      <c r="G167">
        <v>9</v>
      </c>
      <c r="H167" t="s">
        <v>954</v>
      </c>
      <c r="I167" t="s">
        <v>2028</v>
      </c>
      <c r="K167" t="s">
        <v>937</v>
      </c>
      <c r="L167">
        <v>6</v>
      </c>
      <c r="M167" t="s">
        <v>2029</v>
      </c>
      <c r="N167" t="s">
        <v>1477</v>
      </c>
      <c r="S167" t="s">
        <v>2030</v>
      </c>
      <c r="T167" t="s">
        <v>1781</v>
      </c>
    </row>
    <row r="168" spans="7:20" hidden="1">
      <c r="G168">
        <v>9</v>
      </c>
      <c r="H168" t="s">
        <v>955</v>
      </c>
      <c r="I168" t="s">
        <v>2031</v>
      </c>
      <c r="K168" t="s">
        <v>937</v>
      </c>
      <c r="L168">
        <v>6</v>
      </c>
      <c r="M168" t="s">
        <v>2032</v>
      </c>
      <c r="N168" t="s">
        <v>1478</v>
      </c>
      <c r="S168" t="s">
        <v>2033</v>
      </c>
    </row>
    <row r="169" spans="7:20" hidden="1">
      <c r="K169" t="s">
        <v>950</v>
      </c>
      <c r="L169">
        <v>6</v>
      </c>
      <c r="M169" t="s">
        <v>1487</v>
      </c>
      <c r="N169" t="s">
        <v>1482</v>
      </c>
      <c r="O169" t="s">
        <v>1488</v>
      </c>
      <c r="S169" t="s">
        <v>2034</v>
      </c>
    </row>
    <row r="170" spans="7:20" hidden="1">
      <c r="K170" t="s">
        <v>950</v>
      </c>
      <c r="L170">
        <v>6</v>
      </c>
      <c r="M170" t="s">
        <v>1970</v>
      </c>
      <c r="N170" t="s">
        <v>1483</v>
      </c>
      <c r="O170" t="s">
        <v>1971</v>
      </c>
      <c r="S170" t="s">
        <v>2035</v>
      </c>
      <c r="T170" t="s">
        <v>2036</v>
      </c>
    </row>
    <row r="171" spans="7:20" hidden="1">
      <c r="K171" t="s">
        <v>950</v>
      </c>
      <c r="L171">
        <v>6</v>
      </c>
      <c r="M171" t="s">
        <v>2037</v>
      </c>
      <c r="N171" t="s">
        <v>1484</v>
      </c>
      <c r="O171" t="s">
        <v>24</v>
      </c>
      <c r="S171" t="s">
        <v>2038</v>
      </c>
      <c r="T171" t="s">
        <v>2039</v>
      </c>
    </row>
    <row r="172" spans="7:20" hidden="1">
      <c r="K172" t="s">
        <v>950</v>
      </c>
      <c r="L172">
        <v>6</v>
      </c>
      <c r="M172" t="s">
        <v>2040</v>
      </c>
      <c r="N172" t="s">
        <v>1485</v>
      </c>
      <c r="O172" t="s">
        <v>2041</v>
      </c>
      <c r="S172" t="s">
        <v>2042</v>
      </c>
      <c r="T172" t="s">
        <v>30</v>
      </c>
    </row>
    <row r="173" spans="7:20" hidden="1">
      <c r="K173" t="s">
        <v>951</v>
      </c>
      <c r="L173">
        <v>6</v>
      </c>
      <c r="M173" t="s">
        <v>1496</v>
      </c>
      <c r="N173" t="s">
        <v>1490</v>
      </c>
      <c r="O173" t="s">
        <v>1497</v>
      </c>
      <c r="S173" t="s">
        <v>2043</v>
      </c>
      <c r="T173" t="s">
        <v>2044</v>
      </c>
    </row>
    <row r="174" spans="7:20" hidden="1">
      <c r="K174" t="s">
        <v>951</v>
      </c>
      <c r="L174">
        <v>6</v>
      </c>
      <c r="M174" t="s">
        <v>1973</v>
      </c>
      <c r="N174" t="s">
        <v>1491</v>
      </c>
      <c r="S174" t="s">
        <v>2045</v>
      </c>
      <c r="T174" t="s">
        <v>2046</v>
      </c>
    </row>
    <row r="175" spans="7:20" hidden="1">
      <c r="K175" t="s">
        <v>951</v>
      </c>
      <c r="L175">
        <v>6</v>
      </c>
      <c r="M175" t="s">
        <v>2047</v>
      </c>
      <c r="N175" t="s">
        <v>1492</v>
      </c>
      <c r="O175" t="s">
        <v>2048</v>
      </c>
      <c r="S175" t="s">
        <v>2049</v>
      </c>
    </row>
    <row r="176" spans="7:20" hidden="1">
      <c r="K176" t="s">
        <v>951</v>
      </c>
      <c r="L176">
        <v>6</v>
      </c>
      <c r="M176" t="s">
        <v>2050</v>
      </c>
      <c r="N176" t="s">
        <v>1493</v>
      </c>
      <c r="S176" t="s">
        <v>2051</v>
      </c>
      <c r="T176" t="s">
        <v>2052</v>
      </c>
    </row>
    <row r="177" spans="11:20" hidden="1">
      <c r="K177" t="s">
        <v>952</v>
      </c>
      <c r="L177">
        <v>6</v>
      </c>
      <c r="M177" t="s">
        <v>1503</v>
      </c>
      <c r="N177" t="s">
        <v>1499</v>
      </c>
      <c r="O177" t="s">
        <v>26</v>
      </c>
      <c r="S177" t="s">
        <v>2053</v>
      </c>
      <c r="T177" t="s">
        <v>2054</v>
      </c>
    </row>
    <row r="178" spans="11:20" hidden="1">
      <c r="K178" t="s">
        <v>952</v>
      </c>
      <c r="L178">
        <v>6</v>
      </c>
      <c r="M178" t="s">
        <v>1974</v>
      </c>
      <c r="N178" t="s">
        <v>1500</v>
      </c>
      <c r="O178">
        <v>32</v>
      </c>
      <c r="S178" t="s">
        <v>2055</v>
      </c>
    </row>
    <row r="179" spans="11:20" hidden="1">
      <c r="K179" t="s">
        <v>952</v>
      </c>
      <c r="L179">
        <v>6</v>
      </c>
      <c r="M179" t="s">
        <v>2056</v>
      </c>
      <c r="N179" t="s">
        <v>1501</v>
      </c>
      <c r="S179" t="s">
        <v>2057</v>
      </c>
      <c r="T179">
        <v>7088</v>
      </c>
    </row>
    <row r="180" spans="11:20" hidden="1">
      <c r="K180" t="s">
        <v>952</v>
      </c>
      <c r="L180">
        <v>6</v>
      </c>
      <c r="M180" t="s">
        <v>2058</v>
      </c>
      <c r="N180" t="s">
        <v>1502</v>
      </c>
      <c r="O180" t="s">
        <v>2059</v>
      </c>
      <c r="S180" t="s">
        <v>2060</v>
      </c>
      <c r="T180">
        <v>7004</v>
      </c>
    </row>
    <row r="181" spans="11:20" hidden="1">
      <c r="K181" t="s">
        <v>953</v>
      </c>
      <c r="L181">
        <v>6</v>
      </c>
      <c r="M181" t="s">
        <v>1510</v>
      </c>
      <c r="N181" t="s">
        <v>1505</v>
      </c>
      <c r="O181" t="s">
        <v>204</v>
      </c>
      <c r="S181" t="s">
        <v>2061</v>
      </c>
      <c r="T181" t="s">
        <v>2062</v>
      </c>
    </row>
    <row r="182" spans="11:20" hidden="1">
      <c r="K182" t="s">
        <v>953</v>
      </c>
      <c r="L182">
        <v>6</v>
      </c>
      <c r="M182" t="s">
        <v>1975</v>
      </c>
      <c r="N182" t="s">
        <v>1506</v>
      </c>
      <c r="S182" t="s">
        <v>2063</v>
      </c>
      <c r="T182" t="s">
        <v>1212</v>
      </c>
    </row>
    <row r="183" spans="11:20" hidden="1">
      <c r="K183" t="s">
        <v>953</v>
      </c>
      <c r="L183">
        <v>6</v>
      </c>
      <c r="M183" t="s">
        <v>2064</v>
      </c>
      <c r="N183" t="s">
        <v>1507</v>
      </c>
      <c r="O183" t="s">
        <v>2065</v>
      </c>
      <c r="S183" t="s">
        <v>2066</v>
      </c>
      <c r="T183" t="s">
        <v>2067</v>
      </c>
    </row>
    <row r="184" spans="11:20" hidden="1">
      <c r="K184" t="s">
        <v>953</v>
      </c>
      <c r="L184">
        <v>6</v>
      </c>
      <c r="M184" t="s">
        <v>2068</v>
      </c>
      <c r="N184" t="s">
        <v>1508</v>
      </c>
      <c r="O184" t="s">
        <v>2069</v>
      </c>
      <c r="S184" t="s">
        <v>2070</v>
      </c>
      <c r="T184" t="s">
        <v>2071</v>
      </c>
    </row>
    <row r="185" spans="11:20" hidden="1">
      <c r="K185" t="s">
        <v>954</v>
      </c>
      <c r="L185">
        <v>6</v>
      </c>
      <c r="M185" t="s">
        <v>1518</v>
      </c>
      <c r="N185" t="s">
        <v>1512</v>
      </c>
      <c r="O185" t="s">
        <v>26</v>
      </c>
      <c r="S185" t="s">
        <v>2072</v>
      </c>
      <c r="T185" t="s">
        <v>2073</v>
      </c>
    </row>
    <row r="186" spans="11:20" hidden="1">
      <c r="K186" t="s">
        <v>954</v>
      </c>
      <c r="L186">
        <v>6</v>
      </c>
      <c r="M186" t="s">
        <v>1978</v>
      </c>
      <c r="N186" t="s">
        <v>1513</v>
      </c>
      <c r="S186" t="s">
        <v>2074</v>
      </c>
    </row>
    <row r="187" spans="11:20" hidden="1">
      <c r="K187" t="s">
        <v>954</v>
      </c>
      <c r="L187">
        <v>6</v>
      </c>
      <c r="M187" t="s">
        <v>2075</v>
      </c>
      <c r="N187" t="s">
        <v>1514</v>
      </c>
      <c r="O187" t="s">
        <v>2076</v>
      </c>
      <c r="S187" t="s">
        <v>2077</v>
      </c>
    </row>
    <row r="188" spans="11:20" hidden="1">
      <c r="K188" t="s">
        <v>954</v>
      </c>
      <c r="L188">
        <v>6</v>
      </c>
      <c r="M188" t="s">
        <v>2078</v>
      </c>
      <c r="N188" t="s">
        <v>1515</v>
      </c>
      <c r="S188" t="s">
        <v>2079</v>
      </c>
      <c r="T188" t="s">
        <v>2080</v>
      </c>
    </row>
    <row r="189" spans="11:20" hidden="1">
      <c r="K189" t="s">
        <v>955</v>
      </c>
      <c r="L189">
        <v>6</v>
      </c>
      <c r="M189" t="s">
        <v>1525</v>
      </c>
      <c r="N189" t="s">
        <v>1520</v>
      </c>
      <c r="O189">
        <v>7045</v>
      </c>
      <c r="S189" t="s">
        <v>2081</v>
      </c>
      <c r="T189" t="s">
        <v>24</v>
      </c>
    </row>
    <row r="190" spans="11:20" hidden="1">
      <c r="K190" t="s">
        <v>955</v>
      </c>
      <c r="L190">
        <v>6</v>
      </c>
      <c r="M190" t="s">
        <v>1980</v>
      </c>
      <c r="N190" t="s">
        <v>1521</v>
      </c>
      <c r="O190" t="s">
        <v>1981</v>
      </c>
      <c r="S190" t="s">
        <v>2082</v>
      </c>
      <c r="T190" t="s">
        <v>171</v>
      </c>
    </row>
    <row r="191" spans="11:20" hidden="1">
      <c r="K191" t="s">
        <v>955</v>
      </c>
      <c r="L191">
        <v>6</v>
      </c>
      <c r="M191" t="s">
        <v>2083</v>
      </c>
      <c r="N191" t="s">
        <v>1522</v>
      </c>
      <c r="S191" t="s">
        <v>2084</v>
      </c>
      <c r="T191" t="s">
        <v>2085</v>
      </c>
    </row>
    <row r="192" spans="11:20" hidden="1">
      <c r="K192" t="s">
        <v>955</v>
      </c>
      <c r="L192">
        <v>6</v>
      </c>
      <c r="M192" t="s">
        <v>2086</v>
      </c>
      <c r="N192" t="s">
        <v>1523</v>
      </c>
      <c r="O192" t="s">
        <v>2087</v>
      </c>
      <c r="S192" t="s">
        <v>2088</v>
      </c>
    </row>
    <row r="193" spans="7:20" hidden="1">
      <c r="G193">
        <v>4</v>
      </c>
      <c r="H193" t="s">
        <v>924</v>
      </c>
      <c r="I193" t="s">
        <v>2089</v>
      </c>
      <c r="K193" t="s">
        <v>924</v>
      </c>
      <c r="L193">
        <v>7</v>
      </c>
      <c r="M193" t="s">
        <v>1531</v>
      </c>
      <c r="N193" t="s">
        <v>1527</v>
      </c>
      <c r="O193" t="s">
        <v>1532</v>
      </c>
      <c r="S193" t="s">
        <v>1167</v>
      </c>
      <c r="T193" t="s">
        <v>212</v>
      </c>
    </row>
    <row r="194" spans="7:20" hidden="1">
      <c r="G194">
        <v>4</v>
      </c>
      <c r="H194" t="s">
        <v>937</v>
      </c>
      <c r="I194" t="s">
        <v>2090</v>
      </c>
      <c r="K194" t="s">
        <v>924</v>
      </c>
      <c r="L194">
        <v>7</v>
      </c>
      <c r="M194" t="s">
        <v>1982</v>
      </c>
      <c r="N194" t="s">
        <v>1528</v>
      </c>
      <c r="S194" t="s">
        <v>1202</v>
      </c>
    </row>
    <row r="195" spans="7:20" hidden="1">
      <c r="G195">
        <v>4</v>
      </c>
      <c r="H195" t="s">
        <v>950</v>
      </c>
      <c r="I195" t="s">
        <v>2091</v>
      </c>
      <c r="K195" t="s">
        <v>924</v>
      </c>
      <c r="L195">
        <v>7</v>
      </c>
      <c r="M195" t="s">
        <v>2092</v>
      </c>
      <c r="N195" t="s">
        <v>1529</v>
      </c>
      <c r="S195" t="s">
        <v>1235</v>
      </c>
      <c r="T195" t="s">
        <v>1236</v>
      </c>
    </row>
    <row r="196" spans="7:20" hidden="1">
      <c r="G196">
        <v>4</v>
      </c>
      <c r="H196" t="s">
        <v>951</v>
      </c>
      <c r="I196" t="s">
        <v>2093</v>
      </c>
      <c r="K196" t="s">
        <v>924</v>
      </c>
      <c r="L196">
        <v>7</v>
      </c>
      <c r="M196" t="s">
        <v>2094</v>
      </c>
      <c r="N196" t="s">
        <v>1530</v>
      </c>
      <c r="O196" t="s">
        <v>2095</v>
      </c>
      <c r="S196" t="s">
        <v>1267</v>
      </c>
    </row>
    <row r="197" spans="7:20" hidden="1">
      <c r="G197">
        <v>10</v>
      </c>
      <c r="H197" t="s">
        <v>924</v>
      </c>
      <c r="I197" t="s">
        <v>2096</v>
      </c>
      <c r="K197" t="s">
        <v>937</v>
      </c>
      <c r="L197">
        <v>7</v>
      </c>
      <c r="M197" t="s">
        <v>1539</v>
      </c>
      <c r="N197" t="s">
        <v>1534</v>
      </c>
      <c r="S197" t="s">
        <v>1295</v>
      </c>
      <c r="T197" t="s">
        <v>1296</v>
      </c>
    </row>
    <row r="198" spans="7:20" hidden="1">
      <c r="G198">
        <v>10</v>
      </c>
      <c r="H198" t="s">
        <v>937</v>
      </c>
      <c r="I198" t="s">
        <v>2097</v>
      </c>
      <c r="K198" t="s">
        <v>937</v>
      </c>
      <c r="L198">
        <v>7</v>
      </c>
      <c r="M198" t="s">
        <v>1983</v>
      </c>
      <c r="N198" t="s">
        <v>1535</v>
      </c>
      <c r="S198" t="s">
        <v>1324</v>
      </c>
      <c r="T198">
        <v>7062</v>
      </c>
    </row>
    <row r="199" spans="7:20" hidden="1">
      <c r="G199">
        <v>10</v>
      </c>
      <c r="H199" t="s">
        <v>950</v>
      </c>
      <c r="I199" t="s">
        <v>2098</v>
      </c>
      <c r="K199" t="s">
        <v>937</v>
      </c>
      <c r="L199">
        <v>7</v>
      </c>
      <c r="M199" t="s">
        <v>2099</v>
      </c>
      <c r="N199" t="s">
        <v>1536</v>
      </c>
      <c r="O199" t="s">
        <v>2100</v>
      </c>
      <c r="S199" t="s">
        <v>1354</v>
      </c>
    </row>
    <row r="200" spans="7:20" hidden="1">
      <c r="G200">
        <v>10</v>
      </c>
      <c r="H200" t="s">
        <v>951</v>
      </c>
      <c r="I200" t="s">
        <v>2101</v>
      </c>
      <c r="K200" t="s">
        <v>937</v>
      </c>
      <c r="L200">
        <v>7</v>
      </c>
      <c r="M200" t="s">
        <v>2102</v>
      </c>
      <c r="N200" t="s">
        <v>1537</v>
      </c>
      <c r="O200" t="s">
        <v>2103</v>
      </c>
      <c r="S200" t="s">
        <v>1384</v>
      </c>
      <c r="T200" t="s">
        <v>1385</v>
      </c>
    </row>
    <row r="201" spans="7:20" hidden="1">
      <c r="K201" t="s">
        <v>950</v>
      </c>
      <c r="L201">
        <v>7</v>
      </c>
      <c r="M201" t="s">
        <v>1546</v>
      </c>
      <c r="N201" t="s">
        <v>1541</v>
      </c>
      <c r="S201" t="s">
        <v>1419</v>
      </c>
      <c r="T201" t="s">
        <v>1420</v>
      </c>
    </row>
    <row r="202" spans="7:20" hidden="1">
      <c r="K202" t="s">
        <v>950</v>
      </c>
      <c r="L202">
        <v>7</v>
      </c>
      <c r="M202" t="s">
        <v>1986</v>
      </c>
      <c r="N202" t="s">
        <v>1542</v>
      </c>
      <c r="S202" t="s">
        <v>1454</v>
      </c>
      <c r="T202" t="s">
        <v>1455</v>
      </c>
    </row>
    <row r="203" spans="7:20" hidden="1">
      <c r="K203" t="s">
        <v>950</v>
      </c>
      <c r="L203">
        <v>7</v>
      </c>
      <c r="M203" t="s">
        <v>2104</v>
      </c>
      <c r="N203" t="s">
        <v>1543</v>
      </c>
      <c r="S203" t="s">
        <v>1486</v>
      </c>
      <c r="T203" t="s">
        <v>207</v>
      </c>
    </row>
    <row r="204" spans="7:20" hidden="1">
      <c r="K204" t="s">
        <v>950</v>
      </c>
      <c r="L204">
        <v>7</v>
      </c>
      <c r="M204" t="s">
        <v>2105</v>
      </c>
      <c r="N204" t="s">
        <v>1544</v>
      </c>
      <c r="O204" t="s">
        <v>2106</v>
      </c>
      <c r="S204" t="s">
        <v>1516</v>
      </c>
      <c r="T204" t="s">
        <v>1517</v>
      </c>
    </row>
    <row r="205" spans="7:20" hidden="1">
      <c r="K205" t="s">
        <v>951</v>
      </c>
      <c r="L205">
        <v>7</v>
      </c>
      <c r="M205" t="s">
        <v>1554</v>
      </c>
      <c r="N205" t="s">
        <v>1548</v>
      </c>
      <c r="O205" t="s">
        <v>201</v>
      </c>
      <c r="S205" t="s">
        <v>1545</v>
      </c>
    </row>
    <row r="206" spans="7:20" hidden="1">
      <c r="K206" t="s">
        <v>951</v>
      </c>
      <c r="L206">
        <v>7</v>
      </c>
      <c r="M206" t="s">
        <v>1988</v>
      </c>
      <c r="N206" t="s">
        <v>1549</v>
      </c>
      <c r="S206" t="s">
        <v>1575</v>
      </c>
    </row>
    <row r="207" spans="7:20" hidden="1">
      <c r="K207" t="s">
        <v>951</v>
      </c>
      <c r="L207">
        <v>7</v>
      </c>
      <c r="M207" t="s">
        <v>2107</v>
      </c>
      <c r="N207" t="s">
        <v>1550</v>
      </c>
      <c r="O207" t="s">
        <v>1861</v>
      </c>
      <c r="S207" t="s">
        <v>1605</v>
      </c>
    </row>
    <row r="208" spans="7:20" hidden="1">
      <c r="K208" t="s">
        <v>951</v>
      </c>
      <c r="L208">
        <v>7</v>
      </c>
      <c r="M208" t="s">
        <v>2108</v>
      </c>
      <c r="N208" t="s">
        <v>1551</v>
      </c>
      <c r="O208" s="602">
        <v>70227066</v>
      </c>
      <c r="S208" t="s">
        <v>1636</v>
      </c>
      <c r="T208" t="s">
        <v>1637</v>
      </c>
    </row>
    <row r="209" spans="11:20" hidden="1">
      <c r="K209" t="s">
        <v>952</v>
      </c>
      <c r="L209">
        <v>7</v>
      </c>
      <c r="M209" t="s">
        <v>1560</v>
      </c>
      <c r="N209" t="s">
        <v>1556</v>
      </c>
      <c r="O209" t="s">
        <v>1561</v>
      </c>
      <c r="S209" t="s">
        <v>1667</v>
      </c>
    </row>
    <row r="210" spans="11:20" hidden="1">
      <c r="K210" t="s">
        <v>952</v>
      </c>
      <c r="L210">
        <v>7</v>
      </c>
      <c r="M210" t="s">
        <v>1989</v>
      </c>
      <c r="N210" t="s">
        <v>1557</v>
      </c>
      <c r="S210" t="s">
        <v>1699</v>
      </c>
      <c r="T210" t="s">
        <v>1700</v>
      </c>
    </row>
    <row r="211" spans="11:20" hidden="1">
      <c r="K211" t="s">
        <v>952</v>
      </c>
      <c r="L211">
        <v>7</v>
      </c>
      <c r="M211" t="s">
        <v>2109</v>
      </c>
      <c r="N211" t="s">
        <v>1558</v>
      </c>
      <c r="O211" t="s">
        <v>34</v>
      </c>
      <c r="S211" t="s">
        <v>1730</v>
      </c>
    </row>
    <row r="212" spans="11:20" hidden="1">
      <c r="K212" t="s">
        <v>952</v>
      </c>
      <c r="L212">
        <v>7</v>
      </c>
      <c r="M212" t="s">
        <v>2110</v>
      </c>
      <c r="N212" t="s">
        <v>1559</v>
      </c>
      <c r="O212" t="s">
        <v>2111</v>
      </c>
      <c r="S212" t="s">
        <v>1758</v>
      </c>
    </row>
    <row r="213" spans="11:20" hidden="1">
      <c r="K213" t="s">
        <v>953</v>
      </c>
      <c r="L213">
        <v>7</v>
      </c>
      <c r="M213" t="s">
        <v>1569</v>
      </c>
      <c r="N213" t="s">
        <v>1563</v>
      </c>
      <c r="S213" t="s">
        <v>1787</v>
      </c>
      <c r="T213" t="s">
        <v>1788</v>
      </c>
    </row>
    <row r="214" spans="11:20" hidden="1">
      <c r="K214" t="s">
        <v>953</v>
      </c>
      <c r="L214">
        <v>7</v>
      </c>
      <c r="M214" t="s">
        <v>2112</v>
      </c>
      <c r="N214" t="s">
        <v>1564</v>
      </c>
      <c r="O214" t="e">
        <v>#N/A</v>
      </c>
      <c r="S214" t="s">
        <v>1820</v>
      </c>
      <c r="T214" t="s">
        <v>171</v>
      </c>
    </row>
    <row r="215" spans="11:20" hidden="1">
      <c r="K215" t="s">
        <v>953</v>
      </c>
      <c r="L215">
        <v>7</v>
      </c>
      <c r="M215" t="s">
        <v>2113</v>
      </c>
      <c r="N215" t="s">
        <v>1565</v>
      </c>
      <c r="O215" t="s">
        <v>2114</v>
      </c>
      <c r="S215" t="s">
        <v>1850</v>
      </c>
      <c r="T215" t="s">
        <v>1851</v>
      </c>
    </row>
    <row r="216" spans="11:20" hidden="1">
      <c r="K216" t="s">
        <v>953</v>
      </c>
      <c r="L216">
        <v>7</v>
      </c>
      <c r="M216" t="s">
        <v>2115</v>
      </c>
      <c r="N216" t="s">
        <v>1566</v>
      </c>
      <c r="S216" t="s">
        <v>1882</v>
      </c>
      <c r="T216" t="s">
        <v>1883</v>
      </c>
    </row>
    <row r="217" spans="11:20" hidden="1">
      <c r="K217" t="s">
        <v>954</v>
      </c>
      <c r="L217">
        <v>7</v>
      </c>
      <c r="M217" t="s">
        <v>1576</v>
      </c>
      <c r="N217" t="s">
        <v>1571</v>
      </c>
      <c r="S217" t="s">
        <v>1899</v>
      </c>
      <c r="T217" t="s">
        <v>1900</v>
      </c>
    </row>
    <row r="218" spans="11:20" hidden="1">
      <c r="K218" t="s">
        <v>954</v>
      </c>
      <c r="L218">
        <v>7</v>
      </c>
      <c r="M218" t="s">
        <v>1993</v>
      </c>
      <c r="N218" t="s">
        <v>1572</v>
      </c>
      <c r="O218" t="s">
        <v>1994</v>
      </c>
      <c r="S218" t="s">
        <v>1908</v>
      </c>
      <c r="T218" t="s">
        <v>1909</v>
      </c>
    </row>
    <row r="219" spans="11:20" hidden="1">
      <c r="K219" t="s">
        <v>954</v>
      </c>
      <c r="L219">
        <v>7</v>
      </c>
      <c r="M219" t="s">
        <v>2116</v>
      </c>
      <c r="N219" t="s">
        <v>1573</v>
      </c>
      <c r="O219" t="s">
        <v>2117</v>
      </c>
      <c r="S219" t="s">
        <v>1915</v>
      </c>
      <c r="T219">
        <v>7002</v>
      </c>
    </row>
    <row r="220" spans="11:20" hidden="1">
      <c r="K220" t="s">
        <v>954</v>
      </c>
      <c r="L220">
        <v>7</v>
      </c>
      <c r="M220" t="s">
        <v>2118</v>
      </c>
      <c r="N220" t="s">
        <v>1574</v>
      </c>
      <c r="O220" t="s">
        <v>2119</v>
      </c>
      <c r="S220" t="s">
        <v>1920</v>
      </c>
      <c r="T220" t="s">
        <v>1921</v>
      </c>
    </row>
    <row r="221" spans="11:20" hidden="1">
      <c r="K221" t="s">
        <v>955</v>
      </c>
      <c r="L221">
        <v>7</v>
      </c>
      <c r="M221" t="s">
        <v>1584</v>
      </c>
      <c r="N221" t="s">
        <v>1578</v>
      </c>
      <c r="S221" t="s">
        <v>1925</v>
      </c>
      <c r="T221" t="s">
        <v>1926</v>
      </c>
    </row>
    <row r="222" spans="11:20" hidden="1">
      <c r="K222" t="s">
        <v>955</v>
      </c>
      <c r="L222">
        <v>7</v>
      </c>
      <c r="M222" t="s">
        <v>1996</v>
      </c>
      <c r="N222" t="s">
        <v>1579</v>
      </c>
      <c r="O222" t="s">
        <v>1997</v>
      </c>
      <c r="S222" t="s">
        <v>1930</v>
      </c>
      <c r="T222" t="s">
        <v>1931</v>
      </c>
    </row>
    <row r="223" spans="11:20" hidden="1">
      <c r="K223" t="s">
        <v>955</v>
      </c>
      <c r="L223">
        <v>7</v>
      </c>
      <c r="M223" t="s">
        <v>2120</v>
      </c>
      <c r="N223" t="s">
        <v>1580</v>
      </c>
      <c r="S223" t="s">
        <v>1934</v>
      </c>
      <c r="T223" t="s">
        <v>1935</v>
      </c>
    </row>
    <row r="224" spans="11:20" hidden="1">
      <c r="K224" t="s">
        <v>955</v>
      </c>
      <c r="L224">
        <v>7</v>
      </c>
      <c r="M224" t="s">
        <v>2121</v>
      </c>
      <c r="N224" t="s">
        <v>1581</v>
      </c>
      <c r="O224" t="s">
        <v>2122</v>
      </c>
      <c r="S224" t="s">
        <v>1938</v>
      </c>
    </row>
    <row r="225" spans="7:20" hidden="1">
      <c r="G225">
        <v>4</v>
      </c>
      <c r="H225" t="s">
        <v>952</v>
      </c>
      <c r="I225" t="s">
        <v>2123</v>
      </c>
      <c r="K225" t="s">
        <v>924</v>
      </c>
      <c r="L225">
        <v>8</v>
      </c>
      <c r="M225" t="s">
        <v>1590</v>
      </c>
      <c r="N225" t="s">
        <v>1586</v>
      </c>
      <c r="S225" t="s">
        <v>1947</v>
      </c>
      <c r="T225" t="s">
        <v>1948</v>
      </c>
    </row>
    <row r="226" spans="7:20" hidden="1">
      <c r="G226">
        <v>4</v>
      </c>
      <c r="H226" t="s">
        <v>953</v>
      </c>
      <c r="I226" t="s">
        <v>2124</v>
      </c>
      <c r="K226" t="s">
        <v>924</v>
      </c>
      <c r="L226">
        <v>8</v>
      </c>
      <c r="M226" t="s">
        <v>1998</v>
      </c>
      <c r="N226" t="s">
        <v>1587</v>
      </c>
      <c r="S226" t="s">
        <v>1959</v>
      </c>
      <c r="T226" s="602">
        <v>7016704270537060</v>
      </c>
    </row>
    <row r="227" spans="7:20" hidden="1">
      <c r="G227">
        <v>4</v>
      </c>
      <c r="H227" t="s">
        <v>954</v>
      </c>
      <c r="I227" t="s">
        <v>2125</v>
      </c>
      <c r="K227" t="s">
        <v>924</v>
      </c>
      <c r="L227">
        <v>8</v>
      </c>
      <c r="M227" t="s">
        <v>2126</v>
      </c>
      <c r="N227" t="s">
        <v>1588</v>
      </c>
      <c r="O227" t="s">
        <v>30</v>
      </c>
      <c r="S227" t="s">
        <v>1969</v>
      </c>
    </row>
    <row r="228" spans="7:20" hidden="1">
      <c r="G228">
        <v>4</v>
      </c>
      <c r="H228" t="s">
        <v>955</v>
      </c>
      <c r="I228" t="s">
        <v>2127</v>
      </c>
      <c r="K228" t="s">
        <v>924</v>
      </c>
      <c r="L228">
        <v>8</v>
      </c>
      <c r="M228" t="s">
        <v>2128</v>
      </c>
      <c r="N228" t="s">
        <v>1589</v>
      </c>
      <c r="O228">
        <v>7026</v>
      </c>
      <c r="S228" t="s">
        <v>1976</v>
      </c>
      <c r="T228" t="s">
        <v>1977</v>
      </c>
    </row>
    <row r="229" spans="7:20" hidden="1">
      <c r="G229">
        <v>10</v>
      </c>
      <c r="H229" t="s">
        <v>952</v>
      </c>
      <c r="I229" t="s">
        <v>2129</v>
      </c>
      <c r="K229" t="s">
        <v>937</v>
      </c>
      <c r="L229">
        <v>8</v>
      </c>
      <c r="M229" t="s">
        <v>1598</v>
      </c>
      <c r="N229" t="s">
        <v>1592</v>
      </c>
      <c r="O229" t="s">
        <v>1599</v>
      </c>
      <c r="S229" t="s">
        <v>1984</v>
      </c>
      <c r="T229" t="s">
        <v>1985</v>
      </c>
    </row>
    <row r="230" spans="7:20" hidden="1">
      <c r="G230">
        <v>10</v>
      </c>
      <c r="H230" t="s">
        <v>953</v>
      </c>
      <c r="I230" t="s">
        <v>2130</v>
      </c>
      <c r="K230" t="s">
        <v>937</v>
      </c>
      <c r="L230">
        <v>8</v>
      </c>
      <c r="M230" t="s">
        <v>1999</v>
      </c>
      <c r="N230" t="s">
        <v>1593</v>
      </c>
      <c r="S230" t="s">
        <v>1991</v>
      </c>
      <c r="T230" t="s">
        <v>1992</v>
      </c>
    </row>
    <row r="231" spans="7:20" hidden="1">
      <c r="G231">
        <v>10</v>
      </c>
      <c r="H231" t="s">
        <v>954</v>
      </c>
      <c r="I231" t="s">
        <v>2131</v>
      </c>
      <c r="K231" t="s">
        <v>937</v>
      </c>
      <c r="L231">
        <v>8</v>
      </c>
      <c r="M231" t="s">
        <v>2132</v>
      </c>
      <c r="N231" t="s">
        <v>1594</v>
      </c>
      <c r="O231" t="s">
        <v>2133</v>
      </c>
      <c r="S231" t="s">
        <v>2000</v>
      </c>
    </row>
    <row r="232" spans="7:20" hidden="1">
      <c r="G232">
        <v>10</v>
      </c>
      <c r="H232" t="s">
        <v>955</v>
      </c>
      <c r="I232" t="s">
        <v>2134</v>
      </c>
      <c r="K232" t="s">
        <v>937</v>
      </c>
      <c r="L232">
        <v>8</v>
      </c>
      <c r="M232" t="s">
        <v>2135</v>
      </c>
      <c r="N232" t="s">
        <v>1595</v>
      </c>
      <c r="O232" t="s">
        <v>2136</v>
      </c>
      <c r="S232" t="s">
        <v>2008</v>
      </c>
      <c r="T232" t="s">
        <v>211</v>
      </c>
    </row>
    <row r="233" spans="7:20" hidden="1">
      <c r="K233" t="s">
        <v>950</v>
      </c>
      <c r="L233">
        <v>8</v>
      </c>
      <c r="M233" t="s">
        <v>1606</v>
      </c>
      <c r="N233" t="s">
        <v>1601</v>
      </c>
      <c r="O233" t="s">
        <v>1607</v>
      </c>
      <c r="S233" t="s">
        <v>2018</v>
      </c>
    </row>
    <row r="234" spans="7:20" hidden="1">
      <c r="K234" t="s">
        <v>950</v>
      </c>
      <c r="L234">
        <v>8</v>
      </c>
      <c r="M234" t="s">
        <v>2001</v>
      </c>
      <c r="N234" t="s">
        <v>1602</v>
      </c>
      <c r="S234" t="s">
        <v>2029</v>
      </c>
    </row>
    <row r="235" spans="7:20" hidden="1">
      <c r="K235" t="s">
        <v>950</v>
      </c>
      <c r="L235">
        <v>8</v>
      </c>
      <c r="M235" t="s">
        <v>2137</v>
      </c>
      <c r="N235" t="s">
        <v>1603</v>
      </c>
      <c r="S235" t="s">
        <v>2037</v>
      </c>
      <c r="T235" t="s">
        <v>24</v>
      </c>
    </row>
    <row r="236" spans="7:20" hidden="1">
      <c r="K236" t="s">
        <v>950</v>
      </c>
      <c r="L236">
        <v>8</v>
      </c>
      <c r="M236" t="s">
        <v>2138</v>
      </c>
      <c r="N236" t="s">
        <v>1604</v>
      </c>
      <c r="O236" t="s">
        <v>207</v>
      </c>
      <c r="S236" t="s">
        <v>2047</v>
      </c>
      <c r="T236" t="s">
        <v>2048</v>
      </c>
    </row>
    <row r="237" spans="7:20" hidden="1">
      <c r="K237" t="s">
        <v>951</v>
      </c>
      <c r="L237">
        <v>8</v>
      </c>
      <c r="M237" t="s">
        <v>1614</v>
      </c>
      <c r="N237" t="s">
        <v>1609</v>
      </c>
      <c r="O237" t="s">
        <v>1615</v>
      </c>
      <c r="S237" t="s">
        <v>2056</v>
      </c>
    </row>
    <row r="238" spans="7:20" hidden="1">
      <c r="K238" t="s">
        <v>951</v>
      </c>
      <c r="L238">
        <v>8</v>
      </c>
      <c r="M238" t="s">
        <v>2003</v>
      </c>
      <c r="N238" t="s">
        <v>1610</v>
      </c>
      <c r="S238" t="s">
        <v>2064</v>
      </c>
      <c r="T238" t="s">
        <v>2065</v>
      </c>
    </row>
    <row r="239" spans="7:20" hidden="1">
      <c r="K239" t="s">
        <v>951</v>
      </c>
      <c r="L239">
        <v>8</v>
      </c>
      <c r="M239" t="s">
        <v>2139</v>
      </c>
      <c r="N239" t="s">
        <v>1611</v>
      </c>
      <c r="S239" t="s">
        <v>2075</v>
      </c>
      <c r="T239" t="s">
        <v>2076</v>
      </c>
    </row>
    <row r="240" spans="7:20" hidden="1">
      <c r="K240" t="s">
        <v>951</v>
      </c>
      <c r="L240">
        <v>8</v>
      </c>
      <c r="M240" t="s">
        <v>2140</v>
      </c>
      <c r="N240" t="s">
        <v>1612</v>
      </c>
      <c r="O240">
        <v>7077</v>
      </c>
      <c r="S240" t="s">
        <v>2083</v>
      </c>
    </row>
    <row r="241" spans="11:20" hidden="1">
      <c r="K241" t="s">
        <v>952</v>
      </c>
      <c r="L241">
        <v>8</v>
      </c>
      <c r="M241" t="s">
        <v>1621</v>
      </c>
      <c r="N241" t="s">
        <v>1617</v>
      </c>
      <c r="S241" t="s">
        <v>2092</v>
      </c>
    </row>
    <row r="242" spans="11:20" hidden="1">
      <c r="K242" t="s">
        <v>952</v>
      </c>
      <c r="L242">
        <v>8</v>
      </c>
      <c r="M242" t="s">
        <v>2004</v>
      </c>
      <c r="N242" t="s">
        <v>1618</v>
      </c>
      <c r="O242" t="s">
        <v>2005</v>
      </c>
      <c r="S242" t="s">
        <v>2099</v>
      </c>
      <c r="T242" t="s">
        <v>2100</v>
      </c>
    </row>
    <row r="243" spans="11:20" hidden="1">
      <c r="K243" t="s">
        <v>952</v>
      </c>
      <c r="L243">
        <v>8</v>
      </c>
      <c r="M243" t="s">
        <v>2141</v>
      </c>
      <c r="N243" t="s">
        <v>1619</v>
      </c>
      <c r="O243" t="s">
        <v>2142</v>
      </c>
      <c r="S243" t="s">
        <v>2104</v>
      </c>
    </row>
    <row r="244" spans="11:20" hidden="1">
      <c r="K244" t="s">
        <v>952</v>
      </c>
      <c r="L244">
        <v>8</v>
      </c>
      <c r="M244" t="s">
        <v>2143</v>
      </c>
      <c r="N244" t="s">
        <v>1620</v>
      </c>
      <c r="O244" t="s">
        <v>2144</v>
      </c>
      <c r="S244" t="s">
        <v>2107</v>
      </c>
      <c r="T244" t="s">
        <v>1861</v>
      </c>
    </row>
    <row r="245" spans="11:20" hidden="1">
      <c r="K245" t="s">
        <v>953</v>
      </c>
      <c r="L245">
        <v>8</v>
      </c>
      <c r="M245" t="s">
        <v>1629</v>
      </c>
      <c r="N245" t="s">
        <v>1623</v>
      </c>
      <c r="O245" t="s">
        <v>1630</v>
      </c>
      <c r="S245" t="s">
        <v>2109</v>
      </c>
      <c r="T245" t="s">
        <v>34</v>
      </c>
    </row>
    <row r="246" spans="11:20" hidden="1">
      <c r="K246" t="s">
        <v>953</v>
      </c>
      <c r="L246">
        <v>8</v>
      </c>
      <c r="M246" t="s">
        <v>2006</v>
      </c>
      <c r="N246" t="s">
        <v>1624</v>
      </c>
      <c r="O246" t="s">
        <v>2007</v>
      </c>
      <c r="S246" t="s">
        <v>2113</v>
      </c>
      <c r="T246" t="s">
        <v>2114</v>
      </c>
    </row>
    <row r="247" spans="11:20" hidden="1">
      <c r="K247" t="s">
        <v>953</v>
      </c>
      <c r="L247">
        <v>8</v>
      </c>
      <c r="M247" t="s">
        <v>2145</v>
      </c>
      <c r="N247" t="s">
        <v>1625</v>
      </c>
      <c r="O247" s="602">
        <v>7015703370697080</v>
      </c>
      <c r="S247" t="s">
        <v>2116</v>
      </c>
      <c r="T247" t="s">
        <v>2117</v>
      </c>
    </row>
    <row r="248" spans="11:20" hidden="1">
      <c r="K248" t="s">
        <v>953</v>
      </c>
      <c r="L248">
        <v>8</v>
      </c>
      <c r="M248" t="s">
        <v>2146</v>
      </c>
      <c r="N248" t="s">
        <v>1626</v>
      </c>
      <c r="S248" t="s">
        <v>2120</v>
      </c>
    </row>
    <row r="249" spans="11:20" hidden="1">
      <c r="K249" t="s">
        <v>954</v>
      </c>
      <c r="L249">
        <v>8</v>
      </c>
      <c r="M249" t="s">
        <v>1638</v>
      </c>
      <c r="N249" t="s">
        <v>1632</v>
      </c>
      <c r="O249" t="s">
        <v>1639</v>
      </c>
      <c r="S249" t="s">
        <v>2126</v>
      </c>
      <c r="T249" t="s">
        <v>30</v>
      </c>
    </row>
    <row r="250" spans="11:20" hidden="1">
      <c r="K250" t="s">
        <v>954</v>
      </c>
      <c r="L250">
        <v>8</v>
      </c>
      <c r="M250" t="s">
        <v>2009</v>
      </c>
      <c r="N250" t="s">
        <v>1633</v>
      </c>
      <c r="O250" t="s">
        <v>1992</v>
      </c>
      <c r="S250" t="s">
        <v>2132</v>
      </c>
      <c r="T250" t="s">
        <v>2133</v>
      </c>
    </row>
    <row r="251" spans="11:20" hidden="1">
      <c r="K251" t="s">
        <v>954</v>
      </c>
      <c r="L251">
        <v>8</v>
      </c>
      <c r="M251" t="s">
        <v>2147</v>
      </c>
      <c r="N251" t="s">
        <v>1634</v>
      </c>
      <c r="O251">
        <v>7056</v>
      </c>
      <c r="S251" t="s">
        <v>2137</v>
      </c>
    </row>
    <row r="252" spans="11:20" hidden="1">
      <c r="K252" t="s">
        <v>954</v>
      </c>
      <c r="L252">
        <v>8</v>
      </c>
      <c r="M252" t="s">
        <v>2148</v>
      </c>
      <c r="N252" t="s">
        <v>1635</v>
      </c>
      <c r="S252" t="s">
        <v>2139</v>
      </c>
    </row>
    <row r="253" spans="11:20" hidden="1">
      <c r="K253" t="s">
        <v>955</v>
      </c>
      <c r="L253">
        <v>8</v>
      </c>
      <c r="M253" t="s">
        <v>1646</v>
      </c>
      <c r="N253" t="s">
        <v>1641</v>
      </c>
      <c r="O253" s="602">
        <v>7006702570347060</v>
      </c>
      <c r="S253" t="s">
        <v>2141</v>
      </c>
      <c r="T253" t="s">
        <v>2142</v>
      </c>
    </row>
    <row r="254" spans="11:20" hidden="1">
      <c r="K254" t="s">
        <v>955</v>
      </c>
      <c r="L254">
        <v>8</v>
      </c>
      <c r="M254" t="s">
        <v>2011</v>
      </c>
      <c r="N254" t="s">
        <v>1642</v>
      </c>
      <c r="O254" t="s">
        <v>2012</v>
      </c>
      <c r="S254" t="s">
        <v>2145</v>
      </c>
      <c r="T254" s="602">
        <v>7015703370697080</v>
      </c>
    </row>
    <row r="255" spans="11:20" hidden="1">
      <c r="K255" t="s">
        <v>955</v>
      </c>
      <c r="L255">
        <v>8</v>
      </c>
      <c r="M255" t="s">
        <v>2149</v>
      </c>
      <c r="N255" t="s">
        <v>1643</v>
      </c>
      <c r="O255" t="s">
        <v>2150</v>
      </c>
      <c r="S255" t="s">
        <v>2147</v>
      </c>
      <c r="T255">
        <v>7056</v>
      </c>
    </row>
    <row r="256" spans="11:20" hidden="1">
      <c r="K256" t="s">
        <v>955</v>
      </c>
      <c r="L256">
        <v>8</v>
      </c>
      <c r="M256" t="s">
        <v>2151</v>
      </c>
      <c r="N256" t="s">
        <v>1644</v>
      </c>
      <c r="O256" t="s">
        <v>2152</v>
      </c>
      <c r="S256" t="s">
        <v>2149</v>
      </c>
      <c r="T256" t="s">
        <v>2150</v>
      </c>
    </row>
    <row r="257" spans="7:20" hidden="1">
      <c r="G257">
        <v>5</v>
      </c>
      <c r="H257" t="s">
        <v>924</v>
      </c>
      <c r="I257" t="s">
        <v>2153</v>
      </c>
      <c r="K257" t="s">
        <v>924</v>
      </c>
      <c r="L257">
        <v>9</v>
      </c>
      <c r="M257" t="s">
        <v>1652</v>
      </c>
      <c r="N257" t="s">
        <v>1648</v>
      </c>
      <c r="O257">
        <v>7017</v>
      </c>
      <c r="S257" t="s">
        <v>2154</v>
      </c>
    </row>
    <row r="258" spans="7:20" hidden="1">
      <c r="G258">
        <v>5</v>
      </c>
      <c r="H258" t="s">
        <v>937</v>
      </c>
      <c r="I258" t="s">
        <v>2155</v>
      </c>
      <c r="K258" t="s">
        <v>924</v>
      </c>
      <c r="L258">
        <v>9</v>
      </c>
      <c r="M258" t="s">
        <v>2014</v>
      </c>
      <c r="N258" t="s">
        <v>1649</v>
      </c>
      <c r="O258" t="s">
        <v>168</v>
      </c>
      <c r="S258" t="s">
        <v>2156</v>
      </c>
    </row>
    <row r="259" spans="7:20" hidden="1">
      <c r="G259">
        <v>5</v>
      </c>
      <c r="H259" t="s">
        <v>950</v>
      </c>
      <c r="I259" t="s">
        <v>2157</v>
      </c>
      <c r="K259" t="s">
        <v>924</v>
      </c>
      <c r="L259">
        <v>9</v>
      </c>
      <c r="M259" t="s">
        <v>2154</v>
      </c>
      <c r="N259" t="s">
        <v>1650</v>
      </c>
      <c r="S259" t="s">
        <v>2158</v>
      </c>
    </row>
    <row r="260" spans="7:20" hidden="1">
      <c r="G260">
        <v>5</v>
      </c>
      <c r="H260" t="s">
        <v>951</v>
      </c>
      <c r="I260" t="s">
        <v>2159</v>
      </c>
      <c r="K260" t="s">
        <v>924</v>
      </c>
      <c r="L260">
        <v>9</v>
      </c>
      <c r="M260" t="s">
        <v>2160</v>
      </c>
      <c r="N260" t="s">
        <v>705</v>
      </c>
      <c r="O260" t="s">
        <v>2161</v>
      </c>
      <c r="S260" t="s">
        <v>2162</v>
      </c>
      <c r="T260" t="s">
        <v>2163</v>
      </c>
    </row>
    <row r="261" spans="7:20" hidden="1">
      <c r="G261">
        <v>11</v>
      </c>
      <c r="H261" t="s">
        <v>924</v>
      </c>
      <c r="I261" t="s">
        <v>2164</v>
      </c>
      <c r="K261" t="s">
        <v>937</v>
      </c>
      <c r="L261">
        <v>9</v>
      </c>
      <c r="M261" t="s">
        <v>1660</v>
      </c>
      <c r="N261" t="s">
        <v>1654</v>
      </c>
      <c r="O261" t="s">
        <v>26</v>
      </c>
      <c r="S261" t="s">
        <v>2165</v>
      </c>
      <c r="T261" t="s">
        <v>2166</v>
      </c>
    </row>
    <row r="262" spans="7:20" hidden="1">
      <c r="G262">
        <v>11</v>
      </c>
      <c r="H262" t="s">
        <v>937</v>
      </c>
      <c r="I262" t="s">
        <v>2167</v>
      </c>
      <c r="K262" t="s">
        <v>937</v>
      </c>
      <c r="L262">
        <v>9</v>
      </c>
      <c r="M262" t="s">
        <v>2016</v>
      </c>
      <c r="N262" t="s">
        <v>1655</v>
      </c>
      <c r="O262" t="s">
        <v>34</v>
      </c>
      <c r="S262" t="s">
        <v>2168</v>
      </c>
      <c r="T262" t="s">
        <v>2169</v>
      </c>
    </row>
    <row r="263" spans="7:20" hidden="1">
      <c r="G263">
        <v>11</v>
      </c>
      <c r="H263" t="s">
        <v>950</v>
      </c>
      <c r="I263" t="s">
        <v>2170</v>
      </c>
      <c r="K263" t="s">
        <v>937</v>
      </c>
      <c r="L263">
        <v>9</v>
      </c>
      <c r="M263" t="s">
        <v>2156</v>
      </c>
      <c r="N263" t="s">
        <v>1656</v>
      </c>
      <c r="S263" t="s">
        <v>2171</v>
      </c>
    </row>
    <row r="264" spans="7:20" hidden="1">
      <c r="G264">
        <v>11</v>
      </c>
      <c r="H264" t="s">
        <v>951</v>
      </c>
      <c r="I264" t="s">
        <v>2172</v>
      </c>
      <c r="K264" t="s">
        <v>937</v>
      </c>
      <c r="L264">
        <v>9</v>
      </c>
      <c r="M264" t="s">
        <v>2173</v>
      </c>
      <c r="N264" t="s">
        <v>1657</v>
      </c>
      <c r="O264" t="s">
        <v>2174</v>
      </c>
      <c r="S264" t="s">
        <v>2175</v>
      </c>
      <c r="T264" t="s">
        <v>2176</v>
      </c>
    </row>
    <row r="265" spans="7:20" hidden="1">
      <c r="K265" t="s">
        <v>950</v>
      </c>
      <c r="L265">
        <v>9</v>
      </c>
      <c r="M265" t="s">
        <v>1668</v>
      </c>
      <c r="N265" t="s">
        <v>1662</v>
      </c>
      <c r="O265" t="s">
        <v>1669</v>
      </c>
      <c r="S265" t="s">
        <v>2177</v>
      </c>
    </row>
    <row r="266" spans="7:20" hidden="1">
      <c r="K266" t="s">
        <v>950</v>
      </c>
      <c r="L266">
        <v>9</v>
      </c>
      <c r="M266" t="s">
        <v>2019</v>
      </c>
      <c r="N266" t="s">
        <v>1663</v>
      </c>
      <c r="O266" t="s">
        <v>2020</v>
      </c>
      <c r="S266" t="s">
        <v>2178</v>
      </c>
      <c r="T266" t="s">
        <v>2179</v>
      </c>
    </row>
    <row r="267" spans="7:20" hidden="1">
      <c r="K267" t="s">
        <v>950</v>
      </c>
      <c r="L267">
        <v>9</v>
      </c>
      <c r="M267" t="s">
        <v>2158</v>
      </c>
      <c r="N267" t="s">
        <v>1664</v>
      </c>
      <c r="S267" t="s">
        <v>2180</v>
      </c>
    </row>
    <row r="268" spans="7:20" hidden="1">
      <c r="K268" t="s">
        <v>950</v>
      </c>
      <c r="L268">
        <v>9</v>
      </c>
      <c r="M268" t="s">
        <v>2181</v>
      </c>
      <c r="N268" t="s">
        <v>1665</v>
      </c>
      <c r="O268" t="s">
        <v>2182</v>
      </c>
      <c r="S268" t="s">
        <v>2183</v>
      </c>
      <c r="T268" t="s">
        <v>2184</v>
      </c>
    </row>
    <row r="269" spans="7:20" hidden="1">
      <c r="K269" t="s">
        <v>951</v>
      </c>
      <c r="L269">
        <v>9</v>
      </c>
      <c r="M269" t="s">
        <v>1677</v>
      </c>
      <c r="N269" t="s">
        <v>1671</v>
      </c>
      <c r="O269" t="s">
        <v>1311</v>
      </c>
      <c r="S269" t="s">
        <v>2185</v>
      </c>
      <c r="T269" t="s">
        <v>2186</v>
      </c>
    </row>
    <row r="270" spans="7:20" hidden="1">
      <c r="K270" t="s">
        <v>951</v>
      </c>
      <c r="L270">
        <v>9</v>
      </c>
      <c r="M270" t="s">
        <v>2023</v>
      </c>
      <c r="N270" t="s">
        <v>1672</v>
      </c>
      <c r="O270">
        <v>7061</v>
      </c>
      <c r="S270" t="s">
        <v>2187</v>
      </c>
    </row>
    <row r="271" spans="7:20" hidden="1">
      <c r="K271" t="s">
        <v>951</v>
      </c>
      <c r="L271">
        <v>9</v>
      </c>
      <c r="M271" t="s">
        <v>2162</v>
      </c>
      <c r="N271" t="s">
        <v>1673</v>
      </c>
      <c r="O271" t="s">
        <v>2163</v>
      </c>
      <c r="S271" t="s">
        <v>2188</v>
      </c>
      <c r="T271">
        <v>7033</v>
      </c>
    </row>
    <row r="272" spans="7:20" hidden="1">
      <c r="K272" t="s">
        <v>951</v>
      </c>
      <c r="L272">
        <v>9</v>
      </c>
      <c r="M272" t="s">
        <v>2189</v>
      </c>
      <c r="N272" t="s">
        <v>1674</v>
      </c>
      <c r="O272" t="s">
        <v>32</v>
      </c>
      <c r="S272" t="s">
        <v>2190</v>
      </c>
      <c r="T272" t="s">
        <v>2191</v>
      </c>
    </row>
    <row r="273" spans="11:20" hidden="1">
      <c r="K273" t="s">
        <v>952</v>
      </c>
      <c r="L273">
        <v>9</v>
      </c>
      <c r="M273" t="s">
        <v>1684</v>
      </c>
      <c r="N273" t="s">
        <v>1679</v>
      </c>
      <c r="S273" t="s">
        <v>2192</v>
      </c>
    </row>
    <row r="274" spans="11:20" hidden="1">
      <c r="K274" t="s">
        <v>952</v>
      </c>
      <c r="L274">
        <v>9</v>
      </c>
      <c r="M274" t="s">
        <v>2025</v>
      </c>
      <c r="N274" t="s">
        <v>1680</v>
      </c>
      <c r="S274" t="s">
        <v>2193</v>
      </c>
      <c r="T274" t="s">
        <v>190</v>
      </c>
    </row>
    <row r="275" spans="11:20" hidden="1">
      <c r="K275" t="s">
        <v>952</v>
      </c>
      <c r="L275">
        <v>9</v>
      </c>
      <c r="M275" t="s">
        <v>2165</v>
      </c>
      <c r="N275" t="s">
        <v>1681</v>
      </c>
      <c r="O275" t="s">
        <v>2166</v>
      </c>
      <c r="S275" t="s">
        <v>2194</v>
      </c>
      <c r="T275" t="s">
        <v>2195</v>
      </c>
    </row>
    <row r="276" spans="11:20" hidden="1">
      <c r="K276" t="s">
        <v>952</v>
      </c>
      <c r="L276">
        <v>9</v>
      </c>
      <c r="M276" t="s">
        <v>2196</v>
      </c>
      <c r="N276" t="s">
        <v>1682</v>
      </c>
      <c r="O276" t="s">
        <v>2197</v>
      </c>
      <c r="S276" t="s">
        <v>2198</v>
      </c>
      <c r="T276" t="s">
        <v>2144</v>
      </c>
    </row>
    <row r="277" spans="11:20" hidden="1">
      <c r="K277" t="s">
        <v>953</v>
      </c>
      <c r="L277">
        <v>9</v>
      </c>
      <c r="M277" t="s">
        <v>1692</v>
      </c>
      <c r="N277" t="s">
        <v>1686</v>
      </c>
      <c r="O277" t="s">
        <v>1402</v>
      </c>
      <c r="S277" t="s">
        <v>2199</v>
      </c>
      <c r="T277" t="s">
        <v>2200</v>
      </c>
    </row>
    <row r="278" spans="11:20" hidden="1">
      <c r="K278" t="s">
        <v>953</v>
      </c>
      <c r="L278">
        <v>9</v>
      </c>
      <c r="M278" t="s">
        <v>2027</v>
      </c>
      <c r="N278" t="s">
        <v>1687</v>
      </c>
      <c r="O278" t="s">
        <v>1261</v>
      </c>
      <c r="S278" t="s">
        <v>2201</v>
      </c>
      <c r="T278" t="s">
        <v>2202</v>
      </c>
    </row>
    <row r="279" spans="11:20" hidden="1">
      <c r="K279" t="s">
        <v>953</v>
      </c>
      <c r="L279">
        <v>9</v>
      </c>
      <c r="M279" t="s">
        <v>2168</v>
      </c>
      <c r="N279" t="s">
        <v>1688</v>
      </c>
      <c r="O279" t="s">
        <v>2169</v>
      </c>
      <c r="S279" t="s">
        <v>2203</v>
      </c>
      <c r="T279" t="s">
        <v>2204</v>
      </c>
    </row>
    <row r="280" spans="11:20" hidden="1">
      <c r="K280" t="s">
        <v>953</v>
      </c>
      <c r="L280">
        <v>9</v>
      </c>
      <c r="M280" t="s">
        <v>2205</v>
      </c>
      <c r="N280" t="s">
        <v>1689</v>
      </c>
      <c r="O280" t="s">
        <v>2206</v>
      </c>
      <c r="S280" t="s">
        <v>2207</v>
      </c>
    </row>
    <row r="281" spans="11:20" hidden="1">
      <c r="K281" t="s">
        <v>954</v>
      </c>
      <c r="L281">
        <v>9</v>
      </c>
      <c r="M281" t="s">
        <v>1701</v>
      </c>
      <c r="N281" t="s">
        <v>1694</v>
      </c>
      <c r="O281" t="s">
        <v>1702</v>
      </c>
      <c r="S281" t="s">
        <v>2208</v>
      </c>
      <c r="T281" t="s">
        <v>1466</v>
      </c>
    </row>
    <row r="282" spans="11:20" hidden="1">
      <c r="K282" t="s">
        <v>954</v>
      </c>
      <c r="L282">
        <v>9</v>
      </c>
      <c r="M282" t="s">
        <v>2030</v>
      </c>
      <c r="N282" t="s">
        <v>1695</v>
      </c>
      <c r="O282" t="s">
        <v>1781</v>
      </c>
      <c r="S282" t="s">
        <v>2209</v>
      </c>
    </row>
    <row r="283" spans="11:20" hidden="1">
      <c r="K283" t="s">
        <v>954</v>
      </c>
      <c r="L283">
        <v>9</v>
      </c>
      <c r="M283" t="s">
        <v>2171</v>
      </c>
      <c r="N283" t="s">
        <v>1696</v>
      </c>
      <c r="S283" t="s">
        <v>2210</v>
      </c>
      <c r="T283" t="s">
        <v>2211</v>
      </c>
    </row>
    <row r="284" spans="11:20" hidden="1">
      <c r="K284" t="s">
        <v>954</v>
      </c>
      <c r="L284">
        <v>9</v>
      </c>
      <c r="M284" t="s">
        <v>2212</v>
      </c>
      <c r="N284" t="s">
        <v>1697</v>
      </c>
      <c r="O284" t="s">
        <v>2150</v>
      </c>
      <c r="S284" t="s">
        <v>2213</v>
      </c>
      <c r="T284">
        <v>7004</v>
      </c>
    </row>
    <row r="285" spans="11:20" hidden="1">
      <c r="K285" t="s">
        <v>955</v>
      </c>
      <c r="L285">
        <v>9</v>
      </c>
      <c r="M285" t="s">
        <v>1710</v>
      </c>
      <c r="N285" t="s">
        <v>1704</v>
      </c>
      <c r="O285" t="s">
        <v>1711</v>
      </c>
      <c r="S285" t="s">
        <v>2214</v>
      </c>
      <c r="T285" t="s">
        <v>2215</v>
      </c>
    </row>
    <row r="286" spans="11:20" hidden="1">
      <c r="K286" t="s">
        <v>955</v>
      </c>
      <c r="L286">
        <v>9</v>
      </c>
      <c r="M286" t="s">
        <v>2033</v>
      </c>
      <c r="N286" t="s">
        <v>1705</v>
      </c>
      <c r="S286" t="s">
        <v>2216</v>
      </c>
      <c r="T286" t="s">
        <v>1227</v>
      </c>
    </row>
    <row r="287" spans="11:20" hidden="1">
      <c r="K287" t="s">
        <v>955</v>
      </c>
      <c r="L287">
        <v>9</v>
      </c>
      <c r="M287" t="s">
        <v>2175</v>
      </c>
      <c r="N287" t="s">
        <v>1706</v>
      </c>
      <c r="O287" t="s">
        <v>2176</v>
      </c>
      <c r="S287" t="s">
        <v>2217</v>
      </c>
      <c r="T287" t="s">
        <v>2218</v>
      </c>
    </row>
    <row r="288" spans="11:20" hidden="1">
      <c r="K288" t="s">
        <v>955</v>
      </c>
      <c r="L288">
        <v>9</v>
      </c>
      <c r="M288" t="s">
        <v>2219</v>
      </c>
      <c r="N288" t="s">
        <v>1707</v>
      </c>
      <c r="O288" t="s">
        <v>2220</v>
      </c>
      <c r="S288" t="s">
        <v>2221</v>
      </c>
      <c r="T288" t="s">
        <v>1311</v>
      </c>
    </row>
    <row r="289" spans="7:20" hidden="1">
      <c r="G289">
        <v>5</v>
      </c>
      <c r="H289" t="s">
        <v>952</v>
      </c>
      <c r="I289" t="s">
        <v>2222</v>
      </c>
      <c r="K289" t="s">
        <v>924</v>
      </c>
      <c r="L289">
        <v>10</v>
      </c>
      <c r="M289" t="s">
        <v>1717</v>
      </c>
      <c r="N289" t="s">
        <v>1713</v>
      </c>
      <c r="S289" t="s">
        <v>1176</v>
      </c>
      <c r="T289" t="s">
        <v>1177</v>
      </c>
    </row>
    <row r="290" spans="7:20" hidden="1">
      <c r="G290">
        <v>5</v>
      </c>
      <c r="H290" t="s">
        <v>953</v>
      </c>
      <c r="I290" t="s">
        <v>2223</v>
      </c>
      <c r="K290" t="s">
        <v>924</v>
      </c>
      <c r="L290">
        <v>10</v>
      </c>
      <c r="M290" t="s">
        <v>2034</v>
      </c>
      <c r="N290" t="s">
        <v>1714</v>
      </c>
      <c r="S290" t="s">
        <v>1211</v>
      </c>
      <c r="T290" t="s">
        <v>1212</v>
      </c>
    </row>
    <row r="291" spans="7:20" hidden="1">
      <c r="G291">
        <v>5</v>
      </c>
      <c r="H291" t="s">
        <v>954</v>
      </c>
      <c r="I291" t="s">
        <v>2224</v>
      </c>
      <c r="K291" t="s">
        <v>924</v>
      </c>
      <c r="L291">
        <v>10</v>
      </c>
      <c r="M291" t="s">
        <v>2177</v>
      </c>
      <c r="N291" t="s">
        <v>1715</v>
      </c>
      <c r="S291" t="s">
        <v>1244</v>
      </c>
    </row>
    <row r="292" spans="7:20" hidden="1">
      <c r="G292">
        <v>5</v>
      </c>
      <c r="H292" t="s">
        <v>955</v>
      </c>
      <c r="I292" t="s">
        <v>2225</v>
      </c>
      <c r="K292" t="s">
        <v>924</v>
      </c>
      <c r="L292">
        <v>10</v>
      </c>
      <c r="M292" t="s">
        <v>2226</v>
      </c>
      <c r="N292" t="s">
        <v>1716</v>
      </c>
      <c r="O292" t="s">
        <v>36</v>
      </c>
      <c r="S292" t="s">
        <v>1274</v>
      </c>
      <c r="T292" t="s">
        <v>206</v>
      </c>
    </row>
    <row r="293" spans="7:20" hidden="1">
      <c r="G293">
        <v>11</v>
      </c>
      <c r="H293" t="s">
        <v>952</v>
      </c>
      <c r="I293" t="s">
        <v>2227</v>
      </c>
      <c r="K293" t="s">
        <v>937</v>
      </c>
      <c r="L293">
        <v>10</v>
      </c>
      <c r="M293" t="s">
        <v>1724</v>
      </c>
      <c r="N293" t="s">
        <v>1719</v>
      </c>
      <c r="S293" t="s">
        <v>1303</v>
      </c>
    </row>
    <row r="294" spans="7:20" hidden="1">
      <c r="G294">
        <v>11</v>
      </c>
      <c r="H294" t="s">
        <v>953</v>
      </c>
      <c r="I294" t="s">
        <v>2228</v>
      </c>
      <c r="K294" t="s">
        <v>937</v>
      </c>
      <c r="L294">
        <v>10</v>
      </c>
      <c r="M294" t="s">
        <v>2035</v>
      </c>
      <c r="N294" t="s">
        <v>1720</v>
      </c>
      <c r="O294" t="s">
        <v>2036</v>
      </c>
      <c r="S294" t="s">
        <v>1332</v>
      </c>
      <c r="T294" t="s">
        <v>1333</v>
      </c>
    </row>
    <row r="295" spans="7:20" hidden="1">
      <c r="G295">
        <v>11</v>
      </c>
      <c r="H295" t="s">
        <v>954</v>
      </c>
      <c r="I295" t="s">
        <v>2229</v>
      </c>
      <c r="K295" t="s">
        <v>937</v>
      </c>
      <c r="L295">
        <v>10</v>
      </c>
      <c r="M295" t="s">
        <v>2178</v>
      </c>
      <c r="N295" t="s">
        <v>1721</v>
      </c>
      <c r="O295" t="s">
        <v>2179</v>
      </c>
      <c r="S295" t="s">
        <v>1361</v>
      </c>
      <c r="T295" t="s">
        <v>1362</v>
      </c>
    </row>
    <row r="296" spans="7:20" hidden="1">
      <c r="G296">
        <v>11</v>
      </c>
      <c r="H296" t="s">
        <v>955</v>
      </c>
      <c r="I296" t="s">
        <v>2230</v>
      </c>
      <c r="K296" t="s">
        <v>937</v>
      </c>
      <c r="L296">
        <v>10</v>
      </c>
      <c r="M296" t="s">
        <v>2231</v>
      </c>
      <c r="N296" t="s">
        <v>1722</v>
      </c>
      <c r="O296" t="s">
        <v>2232</v>
      </c>
      <c r="S296" t="s">
        <v>1392</v>
      </c>
      <c r="T296">
        <v>7043</v>
      </c>
    </row>
    <row r="297" spans="7:20" hidden="1">
      <c r="K297" t="s">
        <v>950</v>
      </c>
      <c r="L297">
        <v>10</v>
      </c>
      <c r="M297" t="s">
        <v>1731</v>
      </c>
      <c r="N297" t="s">
        <v>1726</v>
      </c>
      <c r="O297" t="s">
        <v>1259</v>
      </c>
      <c r="S297" t="s">
        <v>1429</v>
      </c>
    </row>
    <row r="298" spans="7:20" hidden="1">
      <c r="K298" t="s">
        <v>950</v>
      </c>
      <c r="L298">
        <v>10</v>
      </c>
      <c r="M298" t="s">
        <v>2038</v>
      </c>
      <c r="N298" t="s">
        <v>1727</v>
      </c>
      <c r="O298" t="s">
        <v>2039</v>
      </c>
      <c r="S298" t="s">
        <v>1463</v>
      </c>
      <c r="T298" t="s">
        <v>1464</v>
      </c>
    </row>
    <row r="299" spans="7:20" hidden="1">
      <c r="K299" t="s">
        <v>950</v>
      </c>
      <c r="L299">
        <v>10</v>
      </c>
      <c r="M299" t="s">
        <v>2180</v>
      </c>
      <c r="N299" t="s">
        <v>1728</v>
      </c>
      <c r="S299" t="s">
        <v>1494</v>
      </c>
      <c r="T299" t="s">
        <v>1495</v>
      </c>
    </row>
    <row r="300" spans="7:20" hidden="1">
      <c r="K300" t="s">
        <v>950</v>
      </c>
      <c r="L300">
        <v>10</v>
      </c>
      <c r="M300" t="s">
        <v>2233</v>
      </c>
      <c r="N300" t="s">
        <v>1729</v>
      </c>
      <c r="S300" t="s">
        <v>1524</v>
      </c>
      <c r="T300" s="602">
        <v>70017090</v>
      </c>
    </row>
    <row r="301" spans="7:20" hidden="1">
      <c r="K301" t="s">
        <v>951</v>
      </c>
      <c r="L301">
        <v>10</v>
      </c>
      <c r="M301" t="s">
        <v>1738</v>
      </c>
      <c r="N301" t="s">
        <v>1733</v>
      </c>
      <c r="S301" t="s">
        <v>1552</v>
      </c>
      <c r="T301" t="s">
        <v>1553</v>
      </c>
    </row>
    <row r="302" spans="7:20" hidden="1">
      <c r="K302" t="s">
        <v>951</v>
      </c>
      <c r="L302">
        <v>10</v>
      </c>
      <c r="M302" t="s">
        <v>2042</v>
      </c>
      <c r="N302" t="s">
        <v>1734</v>
      </c>
      <c r="O302" t="s">
        <v>30</v>
      </c>
      <c r="S302" t="s">
        <v>1582</v>
      </c>
      <c r="T302" t="s">
        <v>1583</v>
      </c>
    </row>
    <row r="303" spans="7:20" hidden="1">
      <c r="K303" t="s">
        <v>951</v>
      </c>
      <c r="L303">
        <v>10</v>
      </c>
      <c r="M303" t="s">
        <v>2183</v>
      </c>
      <c r="N303" t="s">
        <v>1735</v>
      </c>
      <c r="O303" t="s">
        <v>2184</v>
      </c>
      <c r="S303" t="s">
        <v>1613</v>
      </c>
    </row>
    <row r="304" spans="7:20" hidden="1">
      <c r="K304" t="s">
        <v>951</v>
      </c>
      <c r="L304">
        <v>10</v>
      </c>
      <c r="M304" t="s">
        <v>2234</v>
      </c>
      <c r="N304" t="s">
        <v>1736</v>
      </c>
      <c r="S304" t="s">
        <v>1645</v>
      </c>
    </row>
    <row r="305" spans="11:20" hidden="1">
      <c r="K305" t="s">
        <v>952</v>
      </c>
      <c r="L305">
        <v>10</v>
      </c>
      <c r="M305" t="s">
        <v>1744</v>
      </c>
      <c r="N305" t="s">
        <v>1740</v>
      </c>
      <c r="O305" t="s">
        <v>1745</v>
      </c>
      <c r="S305" t="s">
        <v>1676</v>
      </c>
    </row>
    <row r="306" spans="11:20" hidden="1">
      <c r="K306" t="s">
        <v>952</v>
      </c>
      <c r="L306">
        <v>10</v>
      </c>
      <c r="M306" t="s">
        <v>2043</v>
      </c>
      <c r="N306" t="s">
        <v>1741</v>
      </c>
      <c r="O306" t="s">
        <v>2044</v>
      </c>
      <c r="S306" t="s">
        <v>1709</v>
      </c>
      <c r="T306">
        <v>7062</v>
      </c>
    </row>
    <row r="307" spans="11:20" hidden="1">
      <c r="K307" t="s">
        <v>952</v>
      </c>
      <c r="L307">
        <v>10</v>
      </c>
      <c r="M307" t="s">
        <v>2185</v>
      </c>
      <c r="N307" t="s">
        <v>1742</v>
      </c>
      <c r="O307" t="s">
        <v>2186</v>
      </c>
      <c r="S307" t="s">
        <v>1737</v>
      </c>
    </row>
    <row r="308" spans="11:20" hidden="1">
      <c r="K308" t="s">
        <v>952</v>
      </c>
      <c r="L308">
        <v>10</v>
      </c>
      <c r="M308" t="s">
        <v>2235</v>
      </c>
      <c r="N308" t="s">
        <v>1743</v>
      </c>
      <c r="S308" t="s">
        <v>1765</v>
      </c>
    </row>
    <row r="309" spans="11:20" hidden="1">
      <c r="K309" t="s">
        <v>953</v>
      </c>
      <c r="L309">
        <v>10</v>
      </c>
      <c r="M309" t="s">
        <v>1752</v>
      </c>
      <c r="N309" t="s">
        <v>1747</v>
      </c>
      <c r="O309">
        <v>7047</v>
      </c>
      <c r="S309" t="s">
        <v>1796</v>
      </c>
      <c r="T309" t="s">
        <v>1797</v>
      </c>
    </row>
    <row r="310" spans="11:20" hidden="1">
      <c r="K310" t="s">
        <v>953</v>
      </c>
      <c r="L310">
        <v>10</v>
      </c>
      <c r="M310" t="s">
        <v>2045</v>
      </c>
      <c r="N310" t="s">
        <v>1748</v>
      </c>
      <c r="O310" t="s">
        <v>2046</v>
      </c>
      <c r="S310" t="s">
        <v>1827</v>
      </c>
      <c r="T310" t="s">
        <v>1828</v>
      </c>
    </row>
    <row r="311" spans="11:20" hidden="1">
      <c r="K311" t="s">
        <v>953</v>
      </c>
      <c r="L311">
        <v>10</v>
      </c>
      <c r="M311" t="s">
        <v>2187</v>
      </c>
      <c r="N311" t="s">
        <v>1749</v>
      </c>
      <c r="S311" t="s">
        <v>1858</v>
      </c>
      <c r="T311" t="s">
        <v>1859</v>
      </c>
    </row>
    <row r="312" spans="11:20" hidden="1">
      <c r="K312" t="s">
        <v>953</v>
      </c>
      <c r="L312">
        <v>10</v>
      </c>
      <c r="M312" t="s">
        <v>2236</v>
      </c>
      <c r="N312" t="s">
        <v>1750</v>
      </c>
      <c r="O312" t="s">
        <v>2237</v>
      </c>
      <c r="S312" t="s">
        <v>1891</v>
      </c>
    </row>
    <row r="313" spans="11:20" hidden="1">
      <c r="K313" t="s">
        <v>954</v>
      </c>
      <c r="L313">
        <v>10</v>
      </c>
      <c r="M313" t="s">
        <v>1759</v>
      </c>
      <c r="N313" t="s">
        <v>1754</v>
      </c>
      <c r="S313" t="s">
        <v>1902</v>
      </c>
    </row>
    <row r="314" spans="11:20" hidden="1">
      <c r="K314" t="s">
        <v>954</v>
      </c>
      <c r="L314">
        <v>10</v>
      </c>
      <c r="M314" t="s">
        <v>2049</v>
      </c>
      <c r="N314" t="s">
        <v>1755</v>
      </c>
      <c r="S314" t="s">
        <v>1911</v>
      </c>
      <c r="T314" t="s">
        <v>1912</v>
      </c>
    </row>
    <row r="315" spans="11:20" hidden="1">
      <c r="K315" t="s">
        <v>954</v>
      </c>
      <c r="L315">
        <v>10</v>
      </c>
      <c r="M315" t="s">
        <v>2188</v>
      </c>
      <c r="N315" t="s">
        <v>1756</v>
      </c>
      <c r="O315">
        <v>7033</v>
      </c>
      <c r="S315" t="s">
        <v>1916</v>
      </c>
      <c r="T315" t="s">
        <v>1917</v>
      </c>
    </row>
    <row r="316" spans="11:20" hidden="1">
      <c r="K316" t="s">
        <v>954</v>
      </c>
      <c r="L316">
        <v>10</v>
      </c>
      <c r="M316" t="s">
        <v>2238</v>
      </c>
      <c r="N316" t="s">
        <v>1757</v>
      </c>
      <c r="O316" t="s">
        <v>211</v>
      </c>
      <c r="S316" t="s">
        <v>1922</v>
      </c>
      <c r="T316" t="s">
        <v>1923</v>
      </c>
    </row>
    <row r="317" spans="11:20" hidden="1">
      <c r="K317" t="s">
        <v>955</v>
      </c>
      <c r="L317">
        <v>10</v>
      </c>
      <c r="M317" t="s">
        <v>1766</v>
      </c>
      <c r="N317" t="s">
        <v>1761</v>
      </c>
      <c r="S317" t="s">
        <v>1927</v>
      </c>
      <c r="T317">
        <v>7068</v>
      </c>
    </row>
    <row r="318" spans="11:20" hidden="1">
      <c r="K318" t="s">
        <v>955</v>
      </c>
      <c r="L318">
        <v>10</v>
      </c>
      <c r="M318" t="s">
        <v>2051</v>
      </c>
      <c r="N318" t="s">
        <v>1762</v>
      </c>
      <c r="O318" t="s">
        <v>2052</v>
      </c>
      <c r="S318" t="s">
        <v>1932</v>
      </c>
    </row>
    <row r="319" spans="11:20" hidden="1">
      <c r="K319" t="s">
        <v>955</v>
      </c>
      <c r="L319">
        <v>10</v>
      </c>
      <c r="M319" t="s">
        <v>2190</v>
      </c>
      <c r="N319" t="s">
        <v>1763</v>
      </c>
      <c r="O319" t="s">
        <v>2191</v>
      </c>
      <c r="S319" t="s">
        <v>1936</v>
      </c>
      <c r="T319" t="s">
        <v>205</v>
      </c>
    </row>
    <row r="320" spans="11:20" hidden="1">
      <c r="K320" t="s">
        <v>955</v>
      </c>
      <c r="L320">
        <v>10</v>
      </c>
      <c r="M320" t="s">
        <v>2239</v>
      </c>
      <c r="N320" t="s">
        <v>1764</v>
      </c>
      <c r="S320" t="s">
        <v>1939</v>
      </c>
      <c r="T320" t="s">
        <v>1940</v>
      </c>
    </row>
    <row r="321" spans="7:20">
      <c r="G321">
        <v>6</v>
      </c>
      <c r="H321" t="s">
        <v>924</v>
      </c>
      <c r="I321" t="s">
        <v>2240</v>
      </c>
      <c r="K321" t="s">
        <v>924</v>
      </c>
      <c r="L321">
        <v>11</v>
      </c>
      <c r="M321" t="s">
        <v>1772</v>
      </c>
      <c r="N321" t="s">
        <v>1768</v>
      </c>
      <c r="S321" t="s">
        <v>1951</v>
      </c>
    </row>
    <row r="322" spans="7:20">
      <c r="G322">
        <v>6</v>
      </c>
      <c r="H322" t="s">
        <v>937</v>
      </c>
      <c r="I322" t="s">
        <v>2241</v>
      </c>
      <c r="K322" t="s">
        <v>924</v>
      </c>
      <c r="L322">
        <v>11</v>
      </c>
      <c r="M322" t="s">
        <v>2053</v>
      </c>
      <c r="N322" t="s">
        <v>1769</v>
      </c>
      <c r="O322" t="s">
        <v>2054</v>
      </c>
      <c r="S322" t="s">
        <v>1963</v>
      </c>
      <c r="T322" t="s">
        <v>1964</v>
      </c>
    </row>
    <row r="323" spans="7:20">
      <c r="G323">
        <v>6</v>
      </c>
      <c r="H323" t="s">
        <v>950</v>
      </c>
      <c r="I323" t="s">
        <v>2242</v>
      </c>
      <c r="K323" t="s">
        <v>924</v>
      </c>
      <c r="L323">
        <v>11</v>
      </c>
      <c r="M323" t="s">
        <v>2192</v>
      </c>
      <c r="N323" t="s">
        <v>1770</v>
      </c>
      <c r="S323" t="s">
        <v>1972</v>
      </c>
    </row>
    <row r="324" spans="7:20">
      <c r="G324">
        <v>6</v>
      </c>
      <c r="H324" t="s">
        <v>951</v>
      </c>
      <c r="I324" t="s">
        <v>2243</v>
      </c>
      <c r="K324" t="s">
        <v>924</v>
      </c>
      <c r="L324">
        <v>11</v>
      </c>
      <c r="M324" t="s">
        <v>2244</v>
      </c>
      <c r="N324" t="s">
        <v>1771</v>
      </c>
      <c r="S324" t="s">
        <v>1979</v>
      </c>
    </row>
    <row r="325" spans="7:20">
      <c r="G325">
        <v>12</v>
      </c>
      <c r="H325" t="s">
        <v>924</v>
      </c>
      <c r="I325" t="s">
        <v>2245</v>
      </c>
      <c r="K325" t="s">
        <v>937</v>
      </c>
      <c r="L325">
        <v>11</v>
      </c>
      <c r="M325" t="s">
        <v>1780</v>
      </c>
      <c r="N325" t="s">
        <v>1774</v>
      </c>
      <c r="O325" t="s">
        <v>1781</v>
      </c>
      <c r="S325" t="s">
        <v>1987</v>
      </c>
    </row>
    <row r="326" spans="7:20">
      <c r="G326">
        <v>12</v>
      </c>
      <c r="H326" t="s">
        <v>937</v>
      </c>
      <c r="I326" t="s">
        <v>2246</v>
      </c>
      <c r="K326" t="s">
        <v>937</v>
      </c>
      <c r="L326">
        <v>11</v>
      </c>
      <c r="M326" t="s">
        <v>2055</v>
      </c>
      <c r="N326" t="s">
        <v>1775</v>
      </c>
      <c r="S326" t="s">
        <v>1995</v>
      </c>
    </row>
    <row r="327" spans="7:20">
      <c r="G327">
        <v>12</v>
      </c>
      <c r="H327" t="s">
        <v>950</v>
      </c>
      <c r="I327" t="s">
        <v>2247</v>
      </c>
      <c r="K327" t="s">
        <v>937</v>
      </c>
      <c r="L327">
        <v>11</v>
      </c>
      <c r="M327" t="s">
        <v>2193</v>
      </c>
      <c r="N327" t="s">
        <v>1776</v>
      </c>
      <c r="O327" t="s">
        <v>190</v>
      </c>
      <c r="S327" t="s">
        <v>2002</v>
      </c>
      <c r="T327">
        <v>7056</v>
      </c>
    </row>
    <row r="328" spans="7:20">
      <c r="G328">
        <v>12</v>
      </c>
      <c r="H328" t="s">
        <v>951</v>
      </c>
      <c r="I328" t="s">
        <v>2248</v>
      </c>
      <c r="K328" t="s">
        <v>937</v>
      </c>
      <c r="L328">
        <v>11</v>
      </c>
      <c r="M328" t="s">
        <v>2249</v>
      </c>
      <c r="N328" t="s">
        <v>1777</v>
      </c>
      <c r="O328" t="s">
        <v>2250</v>
      </c>
      <c r="S328" t="s">
        <v>2010</v>
      </c>
      <c r="T328">
        <v>7012</v>
      </c>
    </row>
    <row r="329" spans="7:20">
      <c r="K329" t="s">
        <v>950</v>
      </c>
      <c r="L329">
        <v>11</v>
      </c>
      <c r="M329" t="s">
        <v>1789</v>
      </c>
      <c r="N329" t="s">
        <v>1783</v>
      </c>
      <c r="O329" t="s">
        <v>1790</v>
      </c>
      <c r="S329" t="s">
        <v>2022</v>
      </c>
      <c r="T329">
        <v>7014</v>
      </c>
    </row>
    <row r="330" spans="7:20">
      <c r="K330" t="s">
        <v>950</v>
      </c>
      <c r="L330">
        <v>11</v>
      </c>
      <c r="M330" t="s">
        <v>2057</v>
      </c>
      <c r="N330" t="s">
        <v>1784</v>
      </c>
      <c r="O330">
        <v>7088</v>
      </c>
      <c r="S330" t="s">
        <v>2032</v>
      </c>
    </row>
    <row r="331" spans="7:20">
      <c r="K331" t="s">
        <v>950</v>
      </c>
      <c r="L331">
        <v>11</v>
      </c>
      <c r="M331" t="s">
        <v>2194</v>
      </c>
      <c r="N331" t="s">
        <v>1785</v>
      </c>
      <c r="O331" t="s">
        <v>2195</v>
      </c>
      <c r="S331" t="s">
        <v>2040</v>
      </c>
      <c r="T331" t="s">
        <v>2041</v>
      </c>
    </row>
    <row r="332" spans="7:20">
      <c r="K332" t="s">
        <v>950</v>
      </c>
      <c r="L332">
        <v>11</v>
      </c>
      <c r="M332" t="s">
        <v>2251</v>
      </c>
      <c r="N332" t="s">
        <v>1786</v>
      </c>
      <c r="O332" t="s">
        <v>2252</v>
      </c>
      <c r="S332" t="s">
        <v>2050</v>
      </c>
    </row>
    <row r="333" spans="7:20">
      <c r="K333" t="s">
        <v>951</v>
      </c>
      <c r="L333">
        <v>11</v>
      </c>
      <c r="M333" t="s">
        <v>1798</v>
      </c>
      <c r="N333" t="s">
        <v>1792</v>
      </c>
      <c r="S333" t="s">
        <v>2058</v>
      </c>
      <c r="T333" t="s">
        <v>2059</v>
      </c>
    </row>
    <row r="334" spans="7:20">
      <c r="K334" t="s">
        <v>951</v>
      </c>
      <c r="L334">
        <v>11</v>
      </c>
      <c r="M334" t="s">
        <v>2060</v>
      </c>
      <c r="N334" t="s">
        <v>1793</v>
      </c>
      <c r="O334">
        <v>7004</v>
      </c>
      <c r="S334" t="s">
        <v>2068</v>
      </c>
      <c r="T334" t="s">
        <v>2069</v>
      </c>
    </row>
    <row r="335" spans="7:20">
      <c r="K335" t="s">
        <v>951</v>
      </c>
      <c r="L335">
        <v>11</v>
      </c>
      <c r="M335" t="s">
        <v>2198</v>
      </c>
      <c r="N335" t="s">
        <v>1794</v>
      </c>
      <c r="O335" t="s">
        <v>2144</v>
      </c>
      <c r="S335" t="s">
        <v>2078</v>
      </c>
    </row>
    <row r="336" spans="7:20">
      <c r="K336" t="s">
        <v>951</v>
      </c>
      <c r="L336">
        <v>11</v>
      </c>
      <c r="M336" t="s">
        <v>2253</v>
      </c>
      <c r="N336" t="s">
        <v>1795</v>
      </c>
      <c r="S336" t="s">
        <v>2086</v>
      </c>
      <c r="T336" t="s">
        <v>2087</v>
      </c>
    </row>
    <row r="337" spans="11:20">
      <c r="K337" t="s">
        <v>952</v>
      </c>
      <c r="L337">
        <v>11</v>
      </c>
      <c r="M337" t="s">
        <v>1804</v>
      </c>
      <c r="N337" t="s">
        <v>1800</v>
      </c>
      <c r="O337" t="s">
        <v>1805</v>
      </c>
      <c r="S337" t="s">
        <v>2094</v>
      </c>
      <c r="T337" t="s">
        <v>2095</v>
      </c>
    </row>
    <row r="338" spans="11:20">
      <c r="K338" t="s">
        <v>952</v>
      </c>
      <c r="L338">
        <v>11</v>
      </c>
      <c r="M338" t="s">
        <v>2061</v>
      </c>
      <c r="N338" t="s">
        <v>1801</v>
      </c>
      <c r="O338" t="s">
        <v>2062</v>
      </c>
      <c r="S338" t="s">
        <v>2102</v>
      </c>
      <c r="T338" t="s">
        <v>2103</v>
      </c>
    </row>
    <row r="339" spans="11:20">
      <c r="K339" t="s">
        <v>952</v>
      </c>
      <c r="L339">
        <v>11</v>
      </c>
      <c r="M339" t="s">
        <v>2199</v>
      </c>
      <c r="N339" t="s">
        <v>1802</v>
      </c>
      <c r="O339" t="s">
        <v>2200</v>
      </c>
      <c r="S339" t="s">
        <v>2105</v>
      </c>
      <c r="T339" t="s">
        <v>2106</v>
      </c>
    </row>
    <row r="340" spans="11:20">
      <c r="K340" t="s">
        <v>952</v>
      </c>
      <c r="L340">
        <v>11</v>
      </c>
      <c r="M340" t="s">
        <v>2254</v>
      </c>
      <c r="N340" t="s">
        <v>1803</v>
      </c>
      <c r="O340" t="s">
        <v>2255</v>
      </c>
      <c r="S340" t="s">
        <v>2108</v>
      </c>
      <c r="T340" s="602">
        <v>70227066</v>
      </c>
    </row>
    <row r="341" spans="11:20">
      <c r="K341" t="s">
        <v>953</v>
      </c>
      <c r="L341">
        <v>11</v>
      </c>
      <c r="M341" t="s">
        <v>1813</v>
      </c>
      <c r="N341" t="s">
        <v>1807</v>
      </c>
      <c r="O341" t="s">
        <v>1814</v>
      </c>
      <c r="S341" t="s">
        <v>2110</v>
      </c>
      <c r="T341" t="s">
        <v>2111</v>
      </c>
    </row>
    <row r="342" spans="11:20">
      <c r="K342" t="s">
        <v>953</v>
      </c>
      <c r="L342">
        <v>11</v>
      </c>
      <c r="M342" t="s">
        <v>2063</v>
      </c>
      <c r="N342" t="s">
        <v>1808</v>
      </c>
      <c r="O342" t="s">
        <v>1212</v>
      </c>
      <c r="S342" t="s">
        <v>2115</v>
      </c>
    </row>
    <row r="343" spans="11:20">
      <c r="K343" t="s">
        <v>953</v>
      </c>
      <c r="L343">
        <v>11</v>
      </c>
      <c r="M343" t="s">
        <v>2201</v>
      </c>
      <c r="N343" t="s">
        <v>1809</v>
      </c>
      <c r="O343" t="s">
        <v>2202</v>
      </c>
      <c r="S343" t="s">
        <v>2118</v>
      </c>
      <c r="T343" t="s">
        <v>2119</v>
      </c>
    </row>
    <row r="344" spans="11:20">
      <c r="K344" t="s">
        <v>953</v>
      </c>
      <c r="L344">
        <v>11</v>
      </c>
      <c r="M344" t="s">
        <v>2256</v>
      </c>
      <c r="N344" t="s">
        <v>1810</v>
      </c>
      <c r="S344" t="s">
        <v>2121</v>
      </c>
      <c r="T344" t="s">
        <v>2122</v>
      </c>
    </row>
    <row r="345" spans="11:20">
      <c r="K345" t="s">
        <v>954</v>
      </c>
      <c r="L345">
        <v>11</v>
      </c>
      <c r="M345" t="s">
        <v>1821</v>
      </c>
      <c r="N345" t="s">
        <v>1816</v>
      </c>
      <c r="O345">
        <v>42</v>
      </c>
      <c r="S345" t="s">
        <v>2128</v>
      </c>
      <c r="T345">
        <v>7026</v>
      </c>
    </row>
    <row r="346" spans="11:20">
      <c r="K346" t="s">
        <v>954</v>
      </c>
      <c r="L346">
        <v>11</v>
      </c>
      <c r="M346" t="s">
        <v>2066</v>
      </c>
      <c r="N346" t="s">
        <v>1817</v>
      </c>
      <c r="O346" t="s">
        <v>2067</v>
      </c>
      <c r="S346" t="s">
        <v>2135</v>
      </c>
      <c r="T346" t="s">
        <v>2136</v>
      </c>
    </row>
    <row r="347" spans="11:20">
      <c r="K347" t="s">
        <v>954</v>
      </c>
      <c r="L347">
        <v>11</v>
      </c>
      <c r="M347" t="s">
        <v>2203</v>
      </c>
      <c r="N347" t="s">
        <v>1818</v>
      </c>
      <c r="O347" t="s">
        <v>2204</v>
      </c>
      <c r="S347" t="s">
        <v>2138</v>
      </c>
      <c r="T347" t="s">
        <v>207</v>
      </c>
    </row>
    <row r="348" spans="11:20">
      <c r="K348" t="s">
        <v>954</v>
      </c>
      <c r="L348">
        <v>11</v>
      </c>
      <c r="M348" t="s">
        <v>2257</v>
      </c>
      <c r="N348" t="s">
        <v>1819</v>
      </c>
      <c r="O348">
        <v>7029</v>
      </c>
      <c r="S348" t="s">
        <v>2140</v>
      </c>
      <c r="T348">
        <v>7077</v>
      </c>
    </row>
    <row r="349" spans="11:20">
      <c r="K349" t="s">
        <v>955</v>
      </c>
      <c r="L349">
        <v>11</v>
      </c>
      <c r="M349" t="s">
        <v>1829</v>
      </c>
      <c r="N349" t="s">
        <v>1823</v>
      </c>
      <c r="O349" t="s">
        <v>1830</v>
      </c>
      <c r="S349" t="s">
        <v>2143</v>
      </c>
      <c r="T349" t="s">
        <v>2144</v>
      </c>
    </row>
    <row r="350" spans="11:20">
      <c r="K350" t="s">
        <v>955</v>
      </c>
      <c r="L350">
        <v>11</v>
      </c>
      <c r="M350" t="s">
        <v>2070</v>
      </c>
      <c r="N350" t="s">
        <v>1824</v>
      </c>
      <c r="O350" t="s">
        <v>2071</v>
      </c>
      <c r="S350" t="s">
        <v>2146</v>
      </c>
    </row>
    <row r="351" spans="11:20">
      <c r="K351" t="s">
        <v>955</v>
      </c>
      <c r="L351">
        <v>11</v>
      </c>
      <c r="M351" t="s">
        <v>2207</v>
      </c>
      <c r="N351" t="s">
        <v>1825</v>
      </c>
      <c r="S351" t="s">
        <v>2148</v>
      </c>
    </row>
    <row r="352" spans="11:20">
      <c r="K352" t="s">
        <v>955</v>
      </c>
      <c r="L352">
        <v>11</v>
      </c>
      <c r="M352" t="s">
        <v>2258</v>
      </c>
      <c r="N352" t="s">
        <v>1826</v>
      </c>
      <c r="O352" t="s">
        <v>2259</v>
      </c>
      <c r="S352" t="s">
        <v>2151</v>
      </c>
      <c r="T352" t="s">
        <v>2152</v>
      </c>
    </row>
    <row r="353" spans="7:20" hidden="1">
      <c r="G353">
        <v>6</v>
      </c>
      <c r="H353" t="s">
        <v>952</v>
      </c>
      <c r="I353" t="s">
        <v>2260</v>
      </c>
      <c r="K353" t="s">
        <v>924</v>
      </c>
      <c r="L353">
        <v>12</v>
      </c>
      <c r="M353" t="s">
        <v>1836</v>
      </c>
      <c r="N353" t="s">
        <v>1832</v>
      </c>
      <c r="O353">
        <v>7069</v>
      </c>
      <c r="S353" t="s">
        <v>2160</v>
      </c>
      <c r="T353" t="s">
        <v>2161</v>
      </c>
    </row>
    <row r="354" spans="7:20" hidden="1">
      <c r="G354">
        <v>6</v>
      </c>
      <c r="H354" t="s">
        <v>953</v>
      </c>
      <c r="I354" t="s">
        <v>2261</v>
      </c>
      <c r="K354" t="s">
        <v>924</v>
      </c>
      <c r="L354">
        <v>12</v>
      </c>
      <c r="M354" t="s">
        <v>2072</v>
      </c>
      <c r="N354" t="s">
        <v>1833</v>
      </c>
      <c r="O354" t="s">
        <v>2073</v>
      </c>
      <c r="S354" t="s">
        <v>2173</v>
      </c>
      <c r="T354" t="s">
        <v>2174</v>
      </c>
    </row>
    <row r="355" spans="7:20" hidden="1">
      <c r="G355">
        <v>6</v>
      </c>
      <c r="H355" t="s">
        <v>954</v>
      </c>
      <c r="I355" t="s">
        <v>2262</v>
      </c>
      <c r="K355" t="s">
        <v>924</v>
      </c>
      <c r="L355">
        <v>12</v>
      </c>
      <c r="M355" t="s">
        <v>2208</v>
      </c>
      <c r="N355" t="s">
        <v>1834</v>
      </c>
      <c r="O355" t="s">
        <v>1466</v>
      </c>
      <c r="S355" t="s">
        <v>2181</v>
      </c>
      <c r="T355" t="s">
        <v>2182</v>
      </c>
    </row>
    <row r="356" spans="7:20" hidden="1">
      <c r="G356">
        <v>6</v>
      </c>
      <c r="H356" t="s">
        <v>955</v>
      </c>
      <c r="I356" t="s">
        <v>2263</v>
      </c>
      <c r="K356" t="s">
        <v>924</v>
      </c>
      <c r="L356">
        <v>12</v>
      </c>
      <c r="M356" t="s">
        <v>2264</v>
      </c>
      <c r="N356" t="s">
        <v>1835</v>
      </c>
      <c r="O356">
        <v>7071</v>
      </c>
      <c r="S356" t="s">
        <v>2189</v>
      </c>
      <c r="T356" t="s">
        <v>32</v>
      </c>
    </row>
    <row r="357" spans="7:20" hidden="1">
      <c r="G357">
        <v>12</v>
      </c>
      <c r="H357" t="s">
        <v>952</v>
      </c>
      <c r="I357" t="s">
        <v>2265</v>
      </c>
      <c r="K357" t="s">
        <v>937</v>
      </c>
      <c r="L357">
        <v>12</v>
      </c>
      <c r="M357" t="s">
        <v>1844</v>
      </c>
      <c r="N357" t="s">
        <v>1838</v>
      </c>
      <c r="S357" t="s">
        <v>2196</v>
      </c>
      <c r="T357" t="s">
        <v>2197</v>
      </c>
    </row>
    <row r="358" spans="7:20" hidden="1">
      <c r="G358">
        <v>12</v>
      </c>
      <c r="H358" t="s">
        <v>953</v>
      </c>
      <c r="I358" t="s">
        <v>2266</v>
      </c>
      <c r="K358" t="s">
        <v>937</v>
      </c>
      <c r="L358">
        <v>12</v>
      </c>
      <c r="M358" t="s">
        <v>2074</v>
      </c>
      <c r="N358" t="s">
        <v>1839</v>
      </c>
      <c r="S358" t="s">
        <v>2205</v>
      </c>
      <c r="T358" t="s">
        <v>2206</v>
      </c>
    </row>
    <row r="359" spans="7:20" hidden="1">
      <c r="G359">
        <v>12</v>
      </c>
      <c r="H359" t="s">
        <v>954</v>
      </c>
      <c r="I359" t="s">
        <v>2267</v>
      </c>
      <c r="K359" t="s">
        <v>937</v>
      </c>
      <c r="L359">
        <v>12</v>
      </c>
      <c r="M359" t="s">
        <v>2209</v>
      </c>
      <c r="N359" t="s">
        <v>1840</v>
      </c>
      <c r="S359" t="s">
        <v>2212</v>
      </c>
      <c r="T359" t="s">
        <v>2150</v>
      </c>
    </row>
    <row r="360" spans="7:20" hidden="1">
      <c r="G360">
        <v>12</v>
      </c>
      <c r="H360" t="s">
        <v>955</v>
      </c>
      <c r="I360" t="s">
        <v>2268</v>
      </c>
      <c r="K360" t="s">
        <v>937</v>
      </c>
      <c r="L360">
        <v>12</v>
      </c>
      <c r="M360" t="s">
        <v>2269</v>
      </c>
      <c r="N360" t="s">
        <v>1841</v>
      </c>
      <c r="S360" t="s">
        <v>2219</v>
      </c>
      <c r="T360" t="s">
        <v>2220</v>
      </c>
    </row>
    <row r="361" spans="7:20" hidden="1">
      <c r="K361" t="s">
        <v>950</v>
      </c>
      <c r="L361">
        <v>12</v>
      </c>
      <c r="M361" t="s">
        <v>1852</v>
      </c>
      <c r="N361" t="s">
        <v>1846</v>
      </c>
      <c r="S361" t="s">
        <v>2226</v>
      </c>
      <c r="T361" t="s">
        <v>36</v>
      </c>
    </row>
    <row r="362" spans="7:20" hidden="1">
      <c r="K362" t="s">
        <v>950</v>
      </c>
      <c r="L362">
        <v>12</v>
      </c>
      <c r="M362" t="s">
        <v>2077</v>
      </c>
      <c r="N362" t="s">
        <v>1847</v>
      </c>
      <c r="S362" t="s">
        <v>2231</v>
      </c>
      <c r="T362" t="s">
        <v>2232</v>
      </c>
    </row>
    <row r="363" spans="7:20" hidden="1">
      <c r="K363" t="s">
        <v>950</v>
      </c>
      <c r="L363">
        <v>12</v>
      </c>
      <c r="M363" t="s">
        <v>2210</v>
      </c>
      <c r="N363" t="s">
        <v>1848</v>
      </c>
      <c r="O363" t="s">
        <v>2211</v>
      </c>
      <c r="S363" t="s">
        <v>2233</v>
      </c>
    </row>
    <row r="364" spans="7:20" hidden="1">
      <c r="K364" t="s">
        <v>950</v>
      </c>
      <c r="L364">
        <v>12</v>
      </c>
      <c r="M364" t="s">
        <v>2270</v>
      </c>
      <c r="N364" t="s">
        <v>1849</v>
      </c>
      <c r="O364" t="s">
        <v>2271</v>
      </c>
      <c r="S364" t="s">
        <v>2234</v>
      </c>
    </row>
    <row r="365" spans="7:20" hidden="1">
      <c r="K365" t="s">
        <v>951</v>
      </c>
      <c r="L365">
        <v>12</v>
      </c>
      <c r="M365" t="s">
        <v>1860</v>
      </c>
      <c r="N365" t="s">
        <v>1854</v>
      </c>
      <c r="O365" t="s">
        <v>1861</v>
      </c>
      <c r="S365" t="s">
        <v>2235</v>
      </c>
    </row>
    <row r="366" spans="7:20" hidden="1">
      <c r="K366" t="s">
        <v>951</v>
      </c>
      <c r="L366">
        <v>12</v>
      </c>
      <c r="M366" t="s">
        <v>2079</v>
      </c>
      <c r="N366" t="s">
        <v>1855</v>
      </c>
      <c r="O366" t="s">
        <v>2080</v>
      </c>
      <c r="S366" t="s">
        <v>2236</v>
      </c>
      <c r="T366" t="s">
        <v>2237</v>
      </c>
    </row>
    <row r="367" spans="7:20" hidden="1">
      <c r="K367" t="s">
        <v>951</v>
      </c>
      <c r="L367">
        <v>12</v>
      </c>
      <c r="M367" t="s">
        <v>2213</v>
      </c>
      <c r="N367" t="s">
        <v>1856</v>
      </c>
      <c r="O367">
        <v>7004</v>
      </c>
      <c r="S367" t="s">
        <v>2238</v>
      </c>
      <c r="T367" t="s">
        <v>211</v>
      </c>
    </row>
    <row r="368" spans="7:20" hidden="1">
      <c r="K368" t="s">
        <v>951</v>
      </c>
      <c r="L368">
        <v>12</v>
      </c>
      <c r="M368" t="s">
        <v>2272</v>
      </c>
      <c r="N368" t="s">
        <v>1857</v>
      </c>
      <c r="O368" t="s">
        <v>2273</v>
      </c>
      <c r="S368" t="s">
        <v>2239</v>
      </c>
    </row>
    <row r="369" spans="11:20" hidden="1">
      <c r="K369" t="s">
        <v>952</v>
      </c>
      <c r="L369">
        <v>12</v>
      </c>
      <c r="M369" t="s">
        <v>1867</v>
      </c>
      <c r="N369" t="s">
        <v>1863</v>
      </c>
      <c r="O369" t="s">
        <v>1868</v>
      </c>
      <c r="S369" t="s">
        <v>2244</v>
      </c>
    </row>
    <row r="370" spans="11:20" hidden="1">
      <c r="K370" t="s">
        <v>952</v>
      </c>
      <c r="L370">
        <v>12</v>
      </c>
      <c r="M370" t="s">
        <v>2081</v>
      </c>
      <c r="N370" t="s">
        <v>1864</v>
      </c>
      <c r="O370" t="s">
        <v>24</v>
      </c>
      <c r="S370" t="s">
        <v>2249</v>
      </c>
      <c r="T370" t="s">
        <v>2250</v>
      </c>
    </row>
    <row r="371" spans="11:20" hidden="1">
      <c r="K371" t="s">
        <v>952</v>
      </c>
      <c r="L371">
        <v>12</v>
      </c>
      <c r="M371" t="s">
        <v>2214</v>
      </c>
      <c r="N371" t="s">
        <v>1865</v>
      </c>
      <c r="O371" t="s">
        <v>2215</v>
      </c>
      <c r="S371" t="s">
        <v>2251</v>
      </c>
      <c r="T371" t="s">
        <v>2252</v>
      </c>
    </row>
    <row r="372" spans="11:20" hidden="1">
      <c r="K372" t="s">
        <v>952</v>
      </c>
      <c r="L372">
        <v>12</v>
      </c>
      <c r="M372" t="s">
        <v>2274</v>
      </c>
      <c r="N372" t="s">
        <v>1866</v>
      </c>
      <c r="S372" t="s">
        <v>2253</v>
      </c>
    </row>
    <row r="373" spans="11:20" hidden="1">
      <c r="K373" t="s">
        <v>953</v>
      </c>
      <c r="L373">
        <v>12</v>
      </c>
      <c r="M373" t="s">
        <v>1875</v>
      </c>
      <c r="N373" t="s">
        <v>1870</v>
      </c>
      <c r="O373" t="s">
        <v>1876</v>
      </c>
      <c r="S373" t="s">
        <v>2254</v>
      </c>
      <c r="T373" t="s">
        <v>2255</v>
      </c>
    </row>
    <row r="374" spans="11:20" hidden="1">
      <c r="K374" t="s">
        <v>953</v>
      </c>
      <c r="L374">
        <v>12</v>
      </c>
      <c r="M374" t="s">
        <v>2082</v>
      </c>
      <c r="N374" t="s">
        <v>1871</v>
      </c>
      <c r="O374" t="s">
        <v>171</v>
      </c>
      <c r="S374" t="s">
        <v>2256</v>
      </c>
    </row>
    <row r="375" spans="11:20" hidden="1">
      <c r="K375" t="s">
        <v>953</v>
      </c>
      <c r="L375">
        <v>12</v>
      </c>
      <c r="M375" t="s">
        <v>2216</v>
      </c>
      <c r="N375" t="s">
        <v>1872</v>
      </c>
      <c r="O375" t="s">
        <v>1227</v>
      </c>
      <c r="S375" t="s">
        <v>2257</v>
      </c>
      <c r="T375">
        <v>7029</v>
      </c>
    </row>
    <row r="376" spans="11:20" hidden="1">
      <c r="K376" t="s">
        <v>953</v>
      </c>
      <c r="L376">
        <v>12</v>
      </c>
      <c r="M376" t="s">
        <v>2275</v>
      </c>
      <c r="N376" t="s">
        <v>1873</v>
      </c>
      <c r="O376" t="s">
        <v>1311</v>
      </c>
      <c r="S376" t="s">
        <v>2258</v>
      </c>
      <c r="T376" t="s">
        <v>2259</v>
      </c>
    </row>
    <row r="377" spans="11:20" hidden="1">
      <c r="K377" t="s">
        <v>954</v>
      </c>
      <c r="L377">
        <v>12</v>
      </c>
      <c r="M377" t="s">
        <v>1884</v>
      </c>
      <c r="N377" t="s">
        <v>1878</v>
      </c>
      <c r="O377" t="s">
        <v>1885</v>
      </c>
      <c r="S377" t="s">
        <v>2264</v>
      </c>
      <c r="T377">
        <v>7071</v>
      </c>
    </row>
    <row r="378" spans="11:20" hidden="1">
      <c r="K378" t="s">
        <v>954</v>
      </c>
      <c r="L378">
        <v>12</v>
      </c>
      <c r="M378" t="s">
        <v>2084</v>
      </c>
      <c r="N378" t="s">
        <v>1879</v>
      </c>
      <c r="O378" t="s">
        <v>2085</v>
      </c>
      <c r="S378" t="s">
        <v>2269</v>
      </c>
    </row>
    <row r="379" spans="11:20" hidden="1">
      <c r="K379" t="s">
        <v>954</v>
      </c>
      <c r="L379">
        <v>12</v>
      </c>
      <c r="M379" t="s">
        <v>2217</v>
      </c>
      <c r="N379" t="s">
        <v>1880</v>
      </c>
      <c r="O379" t="s">
        <v>2218</v>
      </c>
      <c r="S379" t="s">
        <v>2270</v>
      </c>
      <c r="T379" t="s">
        <v>2271</v>
      </c>
    </row>
    <row r="380" spans="11:20" hidden="1">
      <c r="K380" t="s">
        <v>954</v>
      </c>
      <c r="L380">
        <v>12</v>
      </c>
      <c r="M380" t="s">
        <v>2276</v>
      </c>
      <c r="N380" t="s">
        <v>1881</v>
      </c>
      <c r="O380" t="s">
        <v>2277</v>
      </c>
      <c r="S380" t="s">
        <v>2272</v>
      </c>
      <c r="T380" t="s">
        <v>2273</v>
      </c>
    </row>
    <row r="381" spans="11:20" hidden="1">
      <c r="K381" t="s">
        <v>955</v>
      </c>
      <c r="L381">
        <v>12</v>
      </c>
      <c r="M381" t="s">
        <v>1892</v>
      </c>
      <c r="N381" t="s">
        <v>1887</v>
      </c>
      <c r="O381" t="s">
        <v>1893</v>
      </c>
      <c r="S381" t="s">
        <v>2274</v>
      </c>
    </row>
    <row r="382" spans="11:20" hidden="1">
      <c r="K382" t="s">
        <v>955</v>
      </c>
      <c r="L382">
        <v>12</v>
      </c>
      <c r="M382" t="s">
        <v>2088</v>
      </c>
      <c r="N382" t="s">
        <v>1888</v>
      </c>
      <c r="S382" t="s">
        <v>2275</v>
      </c>
      <c r="T382" t="s">
        <v>1311</v>
      </c>
    </row>
    <row r="383" spans="11:20" hidden="1">
      <c r="K383" t="s">
        <v>955</v>
      </c>
      <c r="L383">
        <v>12</v>
      </c>
      <c r="M383" t="s">
        <v>2221</v>
      </c>
      <c r="N383" t="s">
        <v>1889</v>
      </c>
      <c r="O383" t="s">
        <v>1311</v>
      </c>
      <c r="S383" t="s">
        <v>2276</v>
      </c>
      <c r="T383" t="s">
        <v>2277</v>
      </c>
    </row>
    <row r="384" spans="11:20" hidden="1">
      <c r="K384" t="s">
        <v>955</v>
      </c>
      <c r="L384">
        <v>12</v>
      </c>
      <c r="M384" t="s">
        <v>2278</v>
      </c>
      <c r="N384" t="s">
        <v>1890</v>
      </c>
      <c r="S384" t="s">
        <v>2278</v>
      </c>
    </row>
  </sheetData>
  <autoFilter ref="K1:O384" xr:uid="{AD63EBDA-19F2-401F-8967-928A37B2256C}">
    <filterColumn colId="1">
      <filters>
        <filter val="11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1">
    <tabColor rgb="FFEE2D00"/>
  </sheetPr>
  <dimension ref="A1:AE196"/>
  <sheetViews>
    <sheetView view="pageBreakPreview" zoomScale="70" zoomScaleNormal="100" zoomScaleSheetLayoutView="70" workbookViewId="0">
      <selection activeCell="U14" sqref="U14"/>
    </sheetView>
  </sheetViews>
  <sheetFormatPr defaultRowHeight="15"/>
  <cols>
    <col min="1" max="1" width="9.140625" style="150"/>
    <col min="2" max="2" width="9.140625" style="72"/>
    <col min="3" max="3" width="6.42578125" style="21" bestFit="1" customWidth="1"/>
    <col min="4" max="4" width="13.140625" style="21" customWidth="1"/>
    <col min="5" max="5" width="9.140625" style="21"/>
    <col min="6" max="6" width="11.85546875" style="21" bestFit="1" customWidth="1"/>
    <col min="7" max="7" width="11.85546875" style="21" customWidth="1"/>
    <col min="8" max="8" width="9.140625" style="21"/>
    <col min="9" max="9" width="11.85546875" style="21" bestFit="1" customWidth="1"/>
    <col min="10" max="10" width="11.85546875" style="21" customWidth="1"/>
    <col min="11" max="11" width="10.85546875" style="21" bestFit="1" customWidth="1"/>
    <col min="12" max="12" width="16" style="72" customWidth="1"/>
    <col min="13" max="13" width="14.5703125" style="72" customWidth="1"/>
    <col min="14" max="15" width="16.42578125" style="72" customWidth="1"/>
    <col min="16" max="16" width="15.85546875" style="79" customWidth="1"/>
    <col min="17" max="17" width="15.140625" style="79" customWidth="1"/>
    <col min="18" max="18" width="11.7109375" style="67" customWidth="1"/>
    <col min="19" max="19" width="14.28515625" style="86" customWidth="1"/>
    <col min="20" max="20" width="15.7109375" style="92" customWidth="1"/>
    <col min="21" max="22" width="14.42578125" style="86" customWidth="1"/>
    <col min="23" max="25" width="12.42578125" style="94" customWidth="1"/>
    <col min="26" max="26" width="12.42578125" style="99" customWidth="1"/>
    <col min="27" max="27" width="18.85546875" style="99" customWidth="1"/>
    <col min="28" max="28" width="12.7109375" customWidth="1"/>
    <col min="29" max="29" width="21" bestFit="1" customWidth="1"/>
    <col min="30" max="30" width="13" customWidth="1"/>
    <col min="31" max="31" width="12.140625" customWidth="1"/>
  </cols>
  <sheetData>
    <row r="1" spans="1:31" ht="29.25" customHeight="1">
      <c r="A1" s="880" t="s">
        <v>265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</row>
    <row r="2" spans="1:31" ht="59.25" customHeight="1" thickBot="1">
      <c r="A2" s="146"/>
      <c r="B2" s="105"/>
      <c r="C2" s="873" t="s">
        <v>607</v>
      </c>
      <c r="D2" s="874"/>
      <c r="E2" s="874"/>
      <c r="F2" s="874"/>
      <c r="G2" s="874"/>
      <c r="H2" s="874"/>
      <c r="I2" s="874"/>
      <c r="J2" s="874"/>
      <c r="K2" s="874"/>
      <c r="L2" s="875" t="s">
        <v>609</v>
      </c>
      <c r="M2" s="876"/>
      <c r="N2" s="876"/>
      <c r="O2" s="887" t="s">
        <v>608</v>
      </c>
      <c r="P2" s="888"/>
      <c r="Q2" s="888"/>
      <c r="R2" s="889"/>
      <c r="S2" s="877" t="s">
        <v>612</v>
      </c>
      <c r="T2" s="878"/>
      <c r="U2" s="878"/>
      <c r="V2" s="879"/>
      <c r="W2" s="882" t="s">
        <v>604</v>
      </c>
      <c r="X2" s="883"/>
      <c r="Y2" s="884"/>
      <c r="Z2" s="885" t="s">
        <v>613</v>
      </c>
      <c r="AA2" s="886"/>
    </row>
    <row r="3" spans="1:31" s="114" customFormat="1" ht="37.5" customHeight="1" thickBot="1">
      <c r="A3" s="147" t="s">
        <v>275</v>
      </c>
      <c r="B3" s="107" t="s">
        <v>614</v>
      </c>
      <c r="C3" s="108" t="s">
        <v>606</v>
      </c>
      <c r="D3" s="108" t="s">
        <v>598</v>
      </c>
      <c r="E3" s="108" t="s">
        <v>633</v>
      </c>
      <c r="F3" s="108" t="s">
        <v>634</v>
      </c>
      <c r="G3" s="108" t="s">
        <v>817</v>
      </c>
      <c r="H3" s="108" t="s">
        <v>635</v>
      </c>
      <c r="I3" s="108" t="s">
        <v>636</v>
      </c>
      <c r="J3" s="108" t="s">
        <v>636</v>
      </c>
      <c r="K3" s="108" t="s">
        <v>637</v>
      </c>
      <c r="L3" s="107" t="s">
        <v>271</v>
      </c>
      <c r="M3" s="106" t="s">
        <v>192</v>
      </c>
      <c r="N3" s="106" t="s">
        <v>257</v>
      </c>
      <c r="O3" s="109" t="s">
        <v>287</v>
      </c>
      <c r="P3" s="109" t="s">
        <v>602</v>
      </c>
      <c r="Q3" s="109" t="s">
        <v>603</v>
      </c>
      <c r="R3" s="110" t="s">
        <v>615</v>
      </c>
      <c r="S3" s="111" t="s">
        <v>599</v>
      </c>
      <c r="T3" s="112" t="s">
        <v>600</v>
      </c>
      <c r="U3" s="111" t="s">
        <v>610</v>
      </c>
      <c r="V3" s="111" t="s">
        <v>611</v>
      </c>
      <c r="W3" s="113" t="s">
        <v>622</v>
      </c>
      <c r="X3" s="113" t="s">
        <v>623</v>
      </c>
      <c r="Y3" s="113" t="s">
        <v>601</v>
      </c>
      <c r="Z3" s="100" t="s">
        <v>561</v>
      </c>
      <c r="AA3" s="100" t="s">
        <v>605</v>
      </c>
      <c r="AB3" s="57"/>
      <c r="AC3" s="101"/>
      <c r="AD3" s="102" t="s">
        <v>292</v>
      </c>
      <c r="AE3" s="103" t="s">
        <v>293</v>
      </c>
    </row>
    <row r="4" spans="1:31" s="46" customFormat="1" ht="37.5" customHeight="1" thickBot="1">
      <c r="A4" s="148"/>
      <c r="B4" s="116"/>
      <c r="C4" s="117"/>
      <c r="D4" s="117"/>
      <c r="E4" s="117"/>
      <c r="F4" s="117"/>
      <c r="G4" s="117"/>
      <c r="H4" s="117"/>
      <c r="I4" s="117" t="s">
        <v>318</v>
      </c>
      <c r="J4" s="117" t="s">
        <v>319</v>
      </c>
      <c r="K4" s="117"/>
      <c r="L4" s="116"/>
      <c r="M4" s="115"/>
      <c r="N4" s="115"/>
      <c r="O4" s="118"/>
      <c r="P4" s="118"/>
      <c r="Q4" s="118"/>
      <c r="R4" s="119"/>
      <c r="S4" s="120"/>
      <c r="T4" s="121"/>
      <c r="U4" s="120"/>
      <c r="V4" s="120"/>
      <c r="W4" s="122"/>
      <c r="X4" s="122"/>
      <c r="Y4" s="123" t="s">
        <v>624</v>
      </c>
      <c r="Z4" s="124"/>
      <c r="AA4" s="124"/>
      <c r="AB4" s="125"/>
      <c r="AC4" s="126"/>
      <c r="AD4" s="127"/>
      <c r="AE4" s="128"/>
    </row>
    <row r="5" spans="1:31" ht="19.5" thickBot="1">
      <c r="A5" s="61" t="s">
        <v>736</v>
      </c>
      <c r="B5" s="18">
        <v>1</v>
      </c>
      <c r="C5" s="70"/>
      <c r="D5" s="70">
        <f>C5/800</f>
        <v>0</v>
      </c>
      <c r="E5" s="70"/>
      <c r="F5" s="70"/>
      <c r="G5" s="70"/>
      <c r="H5" s="70"/>
      <c r="I5" s="70"/>
      <c r="J5" s="70"/>
      <c r="K5" s="70"/>
      <c r="L5" s="18"/>
      <c r="M5" s="19"/>
      <c r="N5" s="19"/>
      <c r="O5" s="78"/>
      <c r="P5" s="78"/>
      <c r="Q5" s="129"/>
      <c r="R5" s="130" t="e">
        <f>1500*P5/Q5</f>
        <v>#DIV/0!</v>
      </c>
      <c r="S5" s="131"/>
      <c r="T5" s="132"/>
      <c r="U5" s="131"/>
      <c r="V5" s="131"/>
      <c r="W5" s="133"/>
      <c r="X5" s="133"/>
      <c r="Y5" s="133" t="e">
        <f>T5*X5/W5-X5</f>
        <v>#DIV/0!</v>
      </c>
      <c r="Z5" s="134"/>
      <c r="AA5" s="135"/>
      <c r="AB5" s="136" t="s">
        <v>550</v>
      </c>
      <c r="AC5" s="30" t="s">
        <v>294</v>
      </c>
      <c r="AD5" s="137"/>
      <c r="AE5" s="138"/>
    </row>
    <row r="6" spans="1:31" ht="19.5" thickBot="1">
      <c r="A6" s="60" t="s">
        <v>737</v>
      </c>
      <c r="B6" s="9">
        <v>2</v>
      </c>
      <c r="C6" s="68"/>
      <c r="D6" s="68">
        <f t="shared" ref="D6:D69" si="0">C6/800</f>
        <v>0</v>
      </c>
      <c r="E6" s="68"/>
      <c r="F6" s="68"/>
      <c r="G6" s="68"/>
      <c r="H6" s="68"/>
      <c r="I6" s="68"/>
      <c r="J6" s="68"/>
      <c r="K6" s="68"/>
      <c r="L6" s="9"/>
      <c r="M6" s="8"/>
      <c r="N6" s="8"/>
      <c r="O6" s="74"/>
      <c r="P6" s="74"/>
      <c r="Q6" s="75"/>
      <c r="R6" s="80" t="e">
        <f t="shared" ref="R6:R69" si="1">1500*P6/Q6</f>
        <v>#DIV/0!</v>
      </c>
      <c r="S6" s="81"/>
      <c r="T6" s="87"/>
      <c r="U6" s="81"/>
      <c r="V6" s="81"/>
      <c r="W6" s="93"/>
      <c r="X6" s="93"/>
      <c r="Y6" s="133" t="e">
        <f t="shared" ref="Y6:Y69" si="2">T6*X6/W6-X6</f>
        <v>#DIV/0!</v>
      </c>
      <c r="Z6" s="95"/>
      <c r="AA6" s="56"/>
      <c r="AB6" s="59" t="s">
        <v>554</v>
      </c>
      <c r="AC6" s="33" t="s">
        <v>295</v>
      </c>
      <c r="AD6" s="34"/>
      <c r="AE6" s="35"/>
    </row>
    <row r="7" spans="1:31" ht="19.5" thickBot="1">
      <c r="A7" s="60" t="s">
        <v>738</v>
      </c>
      <c r="B7" s="9">
        <v>3</v>
      </c>
      <c r="C7" s="68"/>
      <c r="D7" s="68">
        <f t="shared" si="0"/>
        <v>0</v>
      </c>
      <c r="E7" s="68"/>
      <c r="F7" s="68"/>
      <c r="G7" s="68"/>
      <c r="H7" s="68"/>
      <c r="I7" s="68"/>
      <c r="J7" s="68"/>
      <c r="K7" s="68"/>
      <c r="L7" s="9"/>
      <c r="M7" s="8"/>
      <c r="N7" s="8"/>
      <c r="O7" s="74"/>
      <c r="P7" s="74"/>
      <c r="Q7" s="76"/>
      <c r="R7" s="80" t="e">
        <f t="shared" si="1"/>
        <v>#DIV/0!</v>
      </c>
      <c r="S7" s="82"/>
      <c r="T7" s="88"/>
      <c r="U7" s="82"/>
      <c r="V7" s="82"/>
      <c r="W7" s="93"/>
      <c r="X7" s="93"/>
      <c r="Y7" s="133" t="e">
        <f t="shared" si="2"/>
        <v>#DIV/0!</v>
      </c>
      <c r="Z7" s="96"/>
      <c r="AA7" s="56"/>
      <c r="AB7" s="59" t="s">
        <v>551</v>
      </c>
      <c r="AC7" s="33" t="s">
        <v>296</v>
      </c>
      <c r="AD7" s="34"/>
      <c r="AE7" s="35"/>
    </row>
    <row r="8" spans="1:31" ht="19.5" thickBot="1">
      <c r="A8" s="60" t="s">
        <v>739</v>
      </c>
      <c r="B8" s="9">
        <v>4</v>
      </c>
      <c r="C8" s="68"/>
      <c r="D8" s="68">
        <f t="shared" si="0"/>
        <v>0</v>
      </c>
      <c r="E8" s="68"/>
      <c r="F8" s="68"/>
      <c r="G8" s="68"/>
      <c r="H8" s="68"/>
      <c r="I8" s="68"/>
      <c r="J8" s="68"/>
      <c r="K8" s="68"/>
      <c r="L8" s="9"/>
      <c r="M8" s="8"/>
      <c r="N8" s="8"/>
      <c r="O8" s="74"/>
      <c r="P8" s="74"/>
      <c r="Q8" s="76"/>
      <c r="R8" s="80" t="e">
        <f t="shared" si="1"/>
        <v>#DIV/0!</v>
      </c>
      <c r="S8" s="82"/>
      <c r="T8" s="88"/>
      <c r="U8" s="82"/>
      <c r="V8" s="82"/>
      <c r="W8" s="93"/>
      <c r="X8" s="93"/>
      <c r="Y8" s="133" t="e">
        <f t="shared" si="2"/>
        <v>#DIV/0!</v>
      </c>
      <c r="Z8" s="96"/>
      <c r="AA8" s="56"/>
      <c r="AB8" s="59" t="s">
        <v>552</v>
      </c>
      <c r="AC8" s="29"/>
      <c r="AD8" s="27"/>
      <c r="AE8" s="28"/>
    </row>
    <row r="9" spans="1:31" ht="19.5" thickBot="1">
      <c r="A9" s="60" t="s">
        <v>740</v>
      </c>
      <c r="B9" s="9">
        <v>5</v>
      </c>
      <c r="C9" s="68"/>
      <c r="D9" s="68">
        <f t="shared" si="0"/>
        <v>0</v>
      </c>
      <c r="E9" s="68"/>
      <c r="F9" s="68"/>
      <c r="G9" s="68"/>
      <c r="H9" s="68"/>
      <c r="I9" s="68"/>
      <c r="J9" s="68"/>
      <c r="K9" s="68"/>
      <c r="L9" s="9"/>
      <c r="M9" s="8"/>
      <c r="N9" s="8"/>
      <c r="O9" s="74"/>
      <c r="P9" s="74"/>
      <c r="Q9" s="76"/>
      <c r="R9" s="80" t="e">
        <f t="shared" si="1"/>
        <v>#DIV/0!</v>
      </c>
      <c r="S9" s="82"/>
      <c r="T9" s="88"/>
      <c r="U9" s="82"/>
      <c r="V9" s="82"/>
      <c r="W9" s="93"/>
      <c r="X9" s="93"/>
      <c r="Y9" s="133" t="e">
        <f t="shared" si="2"/>
        <v>#DIV/0!</v>
      </c>
      <c r="Z9" s="96"/>
      <c r="AA9" s="56"/>
      <c r="AB9" s="59" t="s">
        <v>553</v>
      </c>
      <c r="AC9" s="29"/>
      <c r="AD9" s="27"/>
      <c r="AE9" s="28"/>
    </row>
    <row r="10" spans="1:31">
      <c r="A10" s="60" t="s">
        <v>741</v>
      </c>
      <c r="B10" s="9">
        <v>6</v>
      </c>
      <c r="C10" s="68"/>
      <c r="D10" s="68">
        <f t="shared" si="0"/>
        <v>0</v>
      </c>
      <c r="E10" s="68"/>
      <c r="F10" s="68"/>
      <c r="G10" s="68"/>
      <c r="H10" s="68"/>
      <c r="I10" s="68"/>
      <c r="J10" s="68"/>
      <c r="K10" s="68"/>
      <c r="L10" s="9"/>
      <c r="M10" s="8"/>
      <c r="N10" s="8"/>
      <c r="O10" s="74"/>
      <c r="P10" s="74"/>
      <c r="Q10" s="74"/>
      <c r="R10" s="80" t="e">
        <f t="shared" si="1"/>
        <v>#DIV/0!</v>
      </c>
      <c r="S10" s="83"/>
      <c r="T10" s="89"/>
      <c r="U10" s="83"/>
      <c r="V10" s="83"/>
      <c r="W10" s="93"/>
      <c r="X10" s="93"/>
      <c r="Y10" s="133" t="e">
        <f t="shared" si="2"/>
        <v>#DIV/0!</v>
      </c>
      <c r="Z10" s="56"/>
      <c r="AA10" s="56"/>
    </row>
    <row r="11" spans="1:31">
      <c r="A11" s="60" t="s">
        <v>742</v>
      </c>
      <c r="B11" s="9">
        <v>7</v>
      </c>
      <c r="C11" s="68"/>
      <c r="D11" s="68">
        <f t="shared" si="0"/>
        <v>0</v>
      </c>
      <c r="E11" s="68"/>
      <c r="F11" s="68"/>
      <c r="G11" s="68"/>
      <c r="H11" s="68"/>
      <c r="I11" s="68"/>
      <c r="J11" s="68"/>
      <c r="K11" s="68"/>
      <c r="L11" s="9"/>
      <c r="M11" s="8"/>
      <c r="N11" s="8"/>
      <c r="O11" s="74"/>
      <c r="P11" s="74"/>
      <c r="Q11" s="74"/>
      <c r="R11" s="80" t="e">
        <f t="shared" si="1"/>
        <v>#DIV/0!</v>
      </c>
      <c r="S11" s="83"/>
      <c r="T11" s="89"/>
      <c r="U11" s="83"/>
      <c r="V11" s="83"/>
      <c r="W11" s="93"/>
      <c r="X11" s="93"/>
      <c r="Y11" s="133" t="e">
        <f t="shared" si="2"/>
        <v>#DIV/0!</v>
      </c>
      <c r="Z11" s="56"/>
      <c r="AA11" s="56"/>
    </row>
    <row r="12" spans="1:31">
      <c r="A12" s="60" t="s">
        <v>743</v>
      </c>
      <c r="B12" s="9">
        <v>8</v>
      </c>
      <c r="C12" s="68"/>
      <c r="D12" s="68">
        <f t="shared" si="0"/>
        <v>0</v>
      </c>
      <c r="E12" s="68"/>
      <c r="F12" s="68"/>
      <c r="G12" s="68"/>
      <c r="H12" s="68"/>
      <c r="I12" s="68"/>
      <c r="J12" s="68"/>
      <c r="K12" s="68"/>
      <c r="L12" s="9"/>
      <c r="M12" s="8"/>
      <c r="N12" s="8"/>
      <c r="O12" s="74"/>
      <c r="P12" s="74"/>
      <c r="Q12" s="74"/>
      <c r="R12" s="80" t="e">
        <f t="shared" si="1"/>
        <v>#DIV/0!</v>
      </c>
      <c r="S12" s="83"/>
      <c r="T12" s="89"/>
      <c r="U12" s="83"/>
      <c r="V12" s="83"/>
      <c r="W12" s="93"/>
      <c r="X12" s="93"/>
      <c r="Y12" s="133" t="e">
        <f t="shared" si="2"/>
        <v>#DIV/0!</v>
      </c>
      <c r="Z12" s="56"/>
      <c r="AA12" s="56"/>
    </row>
    <row r="13" spans="1:31">
      <c r="A13" s="60" t="s">
        <v>744</v>
      </c>
      <c r="B13" s="9">
        <v>9</v>
      </c>
      <c r="C13" s="68"/>
      <c r="D13" s="68">
        <f t="shared" si="0"/>
        <v>0</v>
      </c>
      <c r="E13" s="68"/>
      <c r="F13" s="68"/>
      <c r="G13" s="68"/>
      <c r="H13" s="68"/>
      <c r="I13" s="68"/>
      <c r="J13" s="68"/>
      <c r="K13" s="68"/>
      <c r="L13" s="9"/>
      <c r="M13" s="8"/>
      <c r="N13" s="8"/>
      <c r="O13" s="74"/>
      <c r="P13" s="74"/>
      <c r="Q13" s="74"/>
      <c r="R13" s="80" t="e">
        <f t="shared" si="1"/>
        <v>#DIV/0!</v>
      </c>
      <c r="S13" s="83"/>
      <c r="T13" s="89"/>
      <c r="U13" s="83"/>
      <c r="V13" s="83"/>
      <c r="W13" s="93"/>
      <c r="X13" s="93"/>
      <c r="Y13" s="133" t="e">
        <f t="shared" si="2"/>
        <v>#DIV/0!</v>
      </c>
      <c r="Z13" s="56"/>
      <c r="AA13" s="56"/>
    </row>
    <row r="14" spans="1:31">
      <c r="A14" s="60" t="s">
        <v>745</v>
      </c>
      <c r="B14" s="9">
        <v>10</v>
      </c>
      <c r="C14" s="68"/>
      <c r="D14" s="68">
        <f t="shared" si="0"/>
        <v>0</v>
      </c>
      <c r="E14" s="68"/>
      <c r="F14" s="68"/>
      <c r="G14" s="68"/>
      <c r="H14" s="68"/>
      <c r="I14" s="68"/>
      <c r="J14" s="68"/>
      <c r="K14" s="68"/>
      <c r="L14" s="9"/>
      <c r="M14" s="8"/>
      <c r="N14" s="8"/>
      <c r="O14" s="74"/>
      <c r="P14" s="74"/>
      <c r="Q14" s="74"/>
      <c r="R14" s="80" t="e">
        <f t="shared" si="1"/>
        <v>#DIV/0!</v>
      </c>
      <c r="S14" s="83"/>
      <c r="T14" s="89"/>
      <c r="U14" s="83"/>
      <c r="V14" s="83"/>
      <c r="W14" s="93"/>
      <c r="X14" s="93"/>
      <c r="Y14" s="133" t="e">
        <f t="shared" si="2"/>
        <v>#DIV/0!</v>
      </c>
      <c r="Z14" s="56"/>
      <c r="AA14" s="56"/>
    </row>
    <row r="15" spans="1:31">
      <c r="A15" s="60" t="s">
        <v>746</v>
      </c>
      <c r="B15" s="9">
        <v>11</v>
      </c>
      <c r="C15" s="68"/>
      <c r="D15" s="68">
        <f t="shared" si="0"/>
        <v>0</v>
      </c>
      <c r="E15" s="68"/>
      <c r="F15" s="68"/>
      <c r="G15" s="68"/>
      <c r="H15" s="68"/>
      <c r="I15" s="68"/>
      <c r="J15" s="68"/>
      <c r="K15" s="68"/>
      <c r="L15" s="9"/>
      <c r="M15" s="8"/>
      <c r="N15" s="8"/>
      <c r="O15" s="74"/>
      <c r="P15" s="74"/>
      <c r="Q15" s="74"/>
      <c r="R15" s="80" t="e">
        <f>1500*P15/Q15</f>
        <v>#DIV/0!</v>
      </c>
      <c r="S15" s="83"/>
      <c r="T15" s="89"/>
      <c r="U15" s="83"/>
      <c r="V15" s="83"/>
      <c r="W15" s="93"/>
      <c r="X15" s="93"/>
      <c r="Y15" s="133" t="e">
        <f t="shared" si="2"/>
        <v>#DIV/0!</v>
      </c>
      <c r="Z15" s="56"/>
      <c r="AA15" s="56"/>
    </row>
    <row r="16" spans="1:31">
      <c r="A16" s="60" t="s">
        <v>747</v>
      </c>
      <c r="B16" s="9">
        <v>12</v>
      </c>
      <c r="C16" s="68"/>
      <c r="D16" s="68">
        <f t="shared" si="0"/>
        <v>0</v>
      </c>
      <c r="E16" s="68"/>
      <c r="F16" s="68"/>
      <c r="G16" s="68"/>
      <c r="H16" s="68"/>
      <c r="I16" s="68"/>
      <c r="J16" s="68"/>
      <c r="K16" s="68"/>
      <c r="L16" s="9"/>
      <c r="M16" s="8"/>
      <c r="N16" s="8"/>
      <c r="O16" s="74"/>
      <c r="P16" s="74"/>
      <c r="Q16" s="74"/>
      <c r="R16" s="80" t="e">
        <f t="shared" si="1"/>
        <v>#DIV/0!</v>
      </c>
      <c r="S16" s="83"/>
      <c r="T16" s="89"/>
      <c r="U16" s="83"/>
      <c r="V16" s="83"/>
      <c r="W16" s="93"/>
      <c r="X16" s="93"/>
      <c r="Y16" s="133" t="e">
        <f t="shared" si="2"/>
        <v>#DIV/0!</v>
      </c>
      <c r="Z16" s="56"/>
      <c r="AA16" s="56"/>
    </row>
    <row r="17" spans="1:27">
      <c r="A17" s="60" t="s">
        <v>748</v>
      </c>
      <c r="B17" s="9">
        <v>13</v>
      </c>
      <c r="C17" s="68"/>
      <c r="D17" s="68">
        <f t="shared" si="0"/>
        <v>0</v>
      </c>
      <c r="E17" s="68"/>
      <c r="F17" s="68"/>
      <c r="G17" s="68"/>
      <c r="H17" s="68"/>
      <c r="I17" s="68"/>
      <c r="J17" s="68"/>
      <c r="K17" s="68"/>
      <c r="L17" s="9"/>
      <c r="M17" s="8"/>
      <c r="N17" s="8"/>
      <c r="O17" s="74"/>
      <c r="P17" s="74"/>
      <c r="Q17" s="74"/>
      <c r="R17" s="80" t="e">
        <f t="shared" si="1"/>
        <v>#DIV/0!</v>
      </c>
      <c r="S17" s="83"/>
      <c r="T17" s="89"/>
      <c r="U17" s="83"/>
      <c r="V17" s="83"/>
      <c r="W17" s="93"/>
      <c r="X17" s="93"/>
      <c r="Y17" s="133" t="e">
        <f t="shared" si="2"/>
        <v>#DIV/0!</v>
      </c>
      <c r="Z17" s="56"/>
      <c r="AA17" s="56"/>
    </row>
    <row r="18" spans="1:27">
      <c r="A18" s="60" t="s">
        <v>749</v>
      </c>
      <c r="B18" s="9">
        <v>14</v>
      </c>
      <c r="C18" s="68"/>
      <c r="D18" s="68">
        <f t="shared" si="0"/>
        <v>0</v>
      </c>
      <c r="E18" s="68"/>
      <c r="F18" s="68"/>
      <c r="G18" s="68"/>
      <c r="H18" s="68"/>
      <c r="I18" s="68"/>
      <c r="J18" s="68"/>
      <c r="K18" s="68"/>
      <c r="L18" s="9"/>
      <c r="M18" s="8"/>
      <c r="N18" s="8"/>
      <c r="O18" s="74"/>
      <c r="P18" s="74"/>
      <c r="Q18" s="74"/>
      <c r="R18" s="80" t="e">
        <f t="shared" si="1"/>
        <v>#DIV/0!</v>
      </c>
      <c r="S18" s="83"/>
      <c r="T18" s="89"/>
      <c r="U18" s="83"/>
      <c r="V18" s="83"/>
      <c r="W18" s="93"/>
      <c r="X18" s="93"/>
      <c r="Y18" s="133" t="e">
        <f t="shared" si="2"/>
        <v>#DIV/0!</v>
      </c>
      <c r="Z18" s="56"/>
      <c r="AA18" s="56"/>
    </row>
    <row r="19" spans="1:27">
      <c r="A19" s="149" t="s">
        <v>750</v>
      </c>
      <c r="B19" s="71">
        <v>15</v>
      </c>
      <c r="C19" s="69"/>
      <c r="D19" s="68">
        <f t="shared" si="0"/>
        <v>0</v>
      </c>
      <c r="E19" s="69"/>
      <c r="F19" s="69"/>
      <c r="G19" s="69"/>
      <c r="H19" s="69"/>
      <c r="I19" s="69"/>
      <c r="J19" s="69"/>
      <c r="K19" s="69"/>
      <c r="L19" s="71"/>
      <c r="M19" s="73"/>
      <c r="N19" s="73"/>
      <c r="O19" s="77"/>
      <c r="P19" s="77"/>
      <c r="Q19" s="77"/>
      <c r="R19" s="80" t="e">
        <f t="shared" si="1"/>
        <v>#DIV/0!</v>
      </c>
      <c r="S19" s="84"/>
      <c r="T19" s="90"/>
      <c r="U19" s="84"/>
      <c r="V19" s="84"/>
      <c r="W19" s="139"/>
      <c r="X19" s="93"/>
      <c r="Y19" s="133" t="e">
        <f t="shared" si="2"/>
        <v>#DIV/0!</v>
      </c>
      <c r="Z19" s="97"/>
      <c r="AA19" s="56"/>
    </row>
    <row r="20" spans="1:27">
      <c r="A20" s="60" t="s">
        <v>751</v>
      </c>
      <c r="B20" s="9">
        <v>16</v>
      </c>
      <c r="C20" s="68"/>
      <c r="D20" s="68">
        <f t="shared" si="0"/>
        <v>0</v>
      </c>
      <c r="E20" s="68"/>
      <c r="F20" s="68"/>
      <c r="G20" s="68"/>
      <c r="H20" s="68"/>
      <c r="I20" s="68"/>
      <c r="J20" s="68"/>
      <c r="K20" s="68"/>
      <c r="L20" s="9"/>
      <c r="M20" s="8"/>
      <c r="N20" s="8"/>
      <c r="O20" s="74"/>
      <c r="P20" s="74"/>
      <c r="Q20" s="74"/>
      <c r="R20" s="80" t="e">
        <f t="shared" si="1"/>
        <v>#DIV/0!</v>
      </c>
      <c r="S20" s="83"/>
      <c r="T20" s="89"/>
      <c r="U20" s="83"/>
      <c r="V20" s="83"/>
      <c r="W20" s="93"/>
      <c r="X20" s="93"/>
      <c r="Y20" s="133" t="e">
        <f t="shared" si="2"/>
        <v>#DIV/0!</v>
      </c>
      <c r="Z20" s="56"/>
      <c r="AA20" s="56"/>
    </row>
    <row r="21" spans="1:27">
      <c r="A21" s="61" t="s">
        <v>752</v>
      </c>
      <c r="B21" s="18">
        <v>17</v>
      </c>
      <c r="C21" s="70"/>
      <c r="D21" s="68">
        <f t="shared" si="0"/>
        <v>0</v>
      </c>
      <c r="E21" s="70"/>
      <c r="F21" s="70"/>
      <c r="G21" s="70"/>
      <c r="H21" s="70"/>
      <c r="I21" s="70"/>
      <c r="J21" s="70"/>
      <c r="K21" s="70"/>
      <c r="L21" s="18"/>
      <c r="M21" s="19"/>
      <c r="N21" s="19"/>
      <c r="O21" s="78"/>
      <c r="P21" s="78"/>
      <c r="Q21" s="78"/>
      <c r="R21" s="80" t="e">
        <f t="shared" si="1"/>
        <v>#DIV/0!</v>
      </c>
      <c r="S21" s="85"/>
      <c r="T21" s="91"/>
      <c r="U21" s="85"/>
      <c r="V21" s="85"/>
      <c r="W21" s="133"/>
      <c r="X21" s="93"/>
      <c r="Y21" s="133" t="e">
        <f t="shared" si="2"/>
        <v>#DIV/0!</v>
      </c>
      <c r="Z21" s="98"/>
      <c r="AA21" s="56"/>
    </row>
    <row r="22" spans="1:27">
      <c r="A22" s="60" t="s">
        <v>753</v>
      </c>
      <c r="B22" s="9">
        <v>18</v>
      </c>
      <c r="C22" s="68"/>
      <c r="D22" s="68">
        <f t="shared" si="0"/>
        <v>0</v>
      </c>
      <c r="E22" s="68"/>
      <c r="F22" s="68"/>
      <c r="G22" s="68"/>
      <c r="H22" s="68"/>
      <c r="I22" s="68"/>
      <c r="J22" s="68"/>
      <c r="K22" s="68"/>
      <c r="L22" s="9"/>
      <c r="M22" s="8"/>
      <c r="N22" s="8"/>
      <c r="O22" s="74"/>
      <c r="P22" s="74"/>
      <c r="Q22" s="74"/>
      <c r="R22" s="80" t="e">
        <f t="shared" si="1"/>
        <v>#DIV/0!</v>
      </c>
      <c r="S22" s="83"/>
      <c r="T22" s="89"/>
      <c r="U22" s="83"/>
      <c r="V22" s="83"/>
      <c r="W22" s="93"/>
      <c r="X22" s="93"/>
      <c r="Y22" s="133" t="e">
        <f t="shared" si="2"/>
        <v>#DIV/0!</v>
      </c>
      <c r="Z22" s="56"/>
      <c r="AA22" s="56"/>
    </row>
    <row r="23" spans="1:27">
      <c r="A23" s="60" t="s">
        <v>754</v>
      </c>
      <c r="B23" s="9">
        <v>19</v>
      </c>
      <c r="C23" s="68"/>
      <c r="D23" s="68">
        <f t="shared" si="0"/>
        <v>0</v>
      </c>
      <c r="E23" s="68"/>
      <c r="F23" s="68"/>
      <c r="G23" s="68"/>
      <c r="H23" s="68"/>
      <c r="I23" s="68"/>
      <c r="J23" s="68"/>
      <c r="K23" s="68"/>
      <c r="L23" s="9"/>
      <c r="M23" s="8"/>
      <c r="N23" s="8"/>
      <c r="O23" s="74"/>
      <c r="P23" s="74"/>
      <c r="Q23" s="74"/>
      <c r="R23" s="80" t="e">
        <f t="shared" si="1"/>
        <v>#DIV/0!</v>
      </c>
      <c r="S23" s="83"/>
      <c r="T23" s="89"/>
      <c r="U23" s="83"/>
      <c r="V23" s="83"/>
      <c r="W23" s="93"/>
      <c r="X23" s="93"/>
      <c r="Y23" s="133" t="e">
        <f t="shared" si="2"/>
        <v>#DIV/0!</v>
      </c>
      <c r="Z23" s="56"/>
      <c r="AA23" s="56"/>
    </row>
    <row r="24" spans="1:27">
      <c r="A24" s="60" t="s">
        <v>755</v>
      </c>
      <c r="B24" s="9">
        <v>20</v>
      </c>
      <c r="C24" s="68"/>
      <c r="D24" s="68">
        <f t="shared" si="0"/>
        <v>0</v>
      </c>
      <c r="E24" s="68"/>
      <c r="F24" s="68"/>
      <c r="G24" s="68"/>
      <c r="H24" s="68"/>
      <c r="I24" s="68"/>
      <c r="J24" s="68"/>
      <c r="K24" s="68"/>
      <c r="L24" s="9"/>
      <c r="M24" s="8"/>
      <c r="N24" s="8"/>
      <c r="O24" s="74"/>
      <c r="P24" s="74"/>
      <c r="Q24" s="74"/>
      <c r="R24" s="80" t="e">
        <f t="shared" si="1"/>
        <v>#DIV/0!</v>
      </c>
      <c r="S24" s="83"/>
      <c r="T24" s="89"/>
      <c r="U24" s="83"/>
      <c r="V24" s="83"/>
      <c r="W24" s="93"/>
      <c r="X24" s="93"/>
      <c r="Y24" s="133" t="e">
        <f t="shared" si="2"/>
        <v>#DIV/0!</v>
      </c>
      <c r="Z24" s="56"/>
      <c r="AA24" s="56"/>
    </row>
    <row r="25" spans="1:27">
      <c r="A25" s="60" t="s">
        <v>756</v>
      </c>
      <c r="B25" s="9">
        <v>21</v>
      </c>
      <c r="C25" s="68"/>
      <c r="D25" s="68">
        <f t="shared" si="0"/>
        <v>0</v>
      </c>
      <c r="E25" s="68"/>
      <c r="F25" s="68"/>
      <c r="G25" s="68"/>
      <c r="H25" s="68"/>
      <c r="I25" s="68"/>
      <c r="J25" s="68"/>
      <c r="K25" s="68"/>
      <c r="L25" s="9"/>
      <c r="M25" s="8"/>
      <c r="N25" s="8"/>
      <c r="O25" s="74"/>
      <c r="P25" s="74"/>
      <c r="Q25" s="74"/>
      <c r="R25" s="80" t="e">
        <f t="shared" si="1"/>
        <v>#DIV/0!</v>
      </c>
      <c r="S25" s="83"/>
      <c r="T25" s="89"/>
      <c r="U25" s="83"/>
      <c r="V25" s="83"/>
      <c r="W25" s="93"/>
      <c r="X25" s="93"/>
      <c r="Y25" s="133" t="e">
        <f t="shared" si="2"/>
        <v>#DIV/0!</v>
      </c>
      <c r="Z25" s="56"/>
      <c r="AA25" s="56"/>
    </row>
    <row r="26" spans="1:27">
      <c r="A26" s="60" t="s">
        <v>757</v>
      </c>
      <c r="B26" s="9">
        <v>22</v>
      </c>
      <c r="C26" s="68"/>
      <c r="D26" s="68">
        <f t="shared" si="0"/>
        <v>0</v>
      </c>
      <c r="E26" s="68"/>
      <c r="F26" s="68"/>
      <c r="G26" s="68"/>
      <c r="H26" s="68"/>
      <c r="I26" s="68"/>
      <c r="J26" s="68"/>
      <c r="K26" s="68"/>
      <c r="L26" s="9"/>
      <c r="M26" s="8"/>
      <c r="N26" s="8"/>
      <c r="O26" s="74"/>
      <c r="P26" s="74"/>
      <c r="Q26" s="74"/>
      <c r="R26" s="80" t="e">
        <f t="shared" si="1"/>
        <v>#DIV/0!</v>
      </c>
      <c r="S26" s="83"/>
      <c r="T26" s="89"/>
      <c r="U26" s="83"/>
      <c r="V26" s="83"/>
      <c r="W26" s="93"/>
      <c r="X26" s="93"/>
      <c r="Y26" s="133" t="e">
        <f t="shared" si="2"/>
        <v>#DIV/0!</v>
      </c>
      <c r="Z26" s="56"/>
      <c r="AA26" s="56"/>
    </row>
    <row r="27" spans="1:27">
      <c r="A27" s="60" t="s">
        <v>758</v>
      </c>
      <c r="B27" s="9">
        <v>23</v>
      </c>
      <c r="C27" s="68"/>
      <c r="D27" s="68">
        <f t="shared" si="0"/>
        <v>0</v>
      </c>
      <c r="E27" s="68"/>
      <c r="F27" s="68"/>
      <c r="G27" s="68"/>
      <c r="H27" s="68"/>
      <c r="I27" s="68"/>
      <c r="J27" s="68"/>
      <c r="K27" s="68"/>
      <c r="L27" s="9"/>
      <c r="M27" s="8"/>
      <c r="N27" s="8"/>
      <c r="O27" s="74"/>
      <c r="P27" s="74"/>
      <c r="Q27" s="74"/>
      <c r="R27" s="80" t="e">
        <f t="shared" si="1"/>
        <v>#DIV/0!</v>
      </c>
      <c r="S27" s="83"/>
      <c r="T27" s="89"/>
      <c r="U27" s="83"/>
      <c r="V27" s="83"/>
      <c r="W27" s="93"/>
      <c r="X27" s="93"/>
      <c r="Y27" s="133" t="e">
        <f t="shared" si="2"/>
        <v>#DIV/0!</v>
      </c>
      <c r="Z27" s="56"/>
      <c r="AA27" s="56"/>
    </row>
    <row r="28" spans="1:27">
      <c r="A28" s="60" t="s">
        <v>759</v>
      </c>
      <c r="B28" s="9">
        <v>24</v>
      </c>
      <c r="C28" s="68"/>
      <c r="D28" s="68">
        <f t="shared" si="0"/>
        <v>0</v>
      </c>
      <c r="E28" s="68"/>
      <c r="F28" s="68"/>
      <c r="G28" s="68"/>
      <c r="H28" s="68"/>
      <c r="I28" s="68"/>
      <c r="J28" s="68"/>
      <c r="K28" s="68"/>
      <c r="L28" s="9"/>
      <c r="M28" s="8"/>
      <c r="N28" s="8"/>
      <c r="O28" s="74"/>
      <c r="P28" s="74"/>
      <c r="Q28" s="74"/>
      <c r="R28" s="80" t="e">
        <f t="shared" si="1"/>
        <v>#DIV/0!</v>
      </c>
      <c r="S28" s="83"/>
      <c r="T28" s="89"/>
      <c r="U28" s="83"/>
      <c r="V28" s="83"/>
      <c r="W28" s="93"/>
      <c r="X28" s="93"/>
      <c r="Y28" s="133" t="e">
        <f t="shared" si="2"/>
        <v>#DIV/0!</v>
      </c>
      <c r="Z28" s="56"/>
      <c r="AA28" s="56"/>
    </row>
    <row r="29" spans="1:27">
      <c r="A29" s="60" t="s">
        <v>760</v>
      </c>
      <c r="B29" s="9">
        <v>25</v>
      </c>
      <c r="C29" s="68"/>
      <c r="D29" s="68">
        <f t="shared" si="0"/>
        <v>0</v>
      </c>
      <c r="E29" s="68"/>
      <c r="F29" s="68"/>
      <c r="G29" s="68"/>
      <c r="H29" s="68"/>
      <c r="I29" s="68"/>
      <c r="J29" s="68"/>
      <c r="K29" s="68"/>
      <c r="L29" s="9"/>
      <c r="M29" s="8"/>
      <c r="N29" s="8"/>
      <c r="O29" s="74"/>
      <c r="P29" s="74"/>
      <c r="Q29" s="74"/>
      <c r="R29" s="80" t="e">
        <f t="shared" si="1"/>
        <v>#DIV/0!</v>
      </c>
      <c r="S29" s="83"/>
      <c r="T29" s="89"/>
      <c r="U29" s="83"/>
      <c r="V29" s="83"/>
      <c r="W29" s="93"/>
      <c r="X29" s="93"/>
      <c r="Y29" s="133" t="e">
        <f t="shared" si="2"/>
        <v>#DIV/0!</v>
      </c>
      <c r="Z29" s="56"/>
      <c r="AA29" s="56"/>
    </row>
    <row r="30" spans="1:27">
      <c r="A30" s="60" t="s">
        <v>761</v>
      </c>
      <c r="B30" s="9">
        <v>26</v>
      </c>
      <c r="C30" s="68"/>
      <c r="D30" s="68">
        <f t="shared" si="0"/>
        <v>0</v>
      </c>
      <c r="E30" s="68"/>
      <c r="F30" s="68"/>
      <c r="G30" s="68"/>
      <c r="H30" s="68"/>
      <c r="I30" s="68"/>
      <c r="J30" s="68"/>
      <c r="K30" s="68"/>
      <c r="L30" s="9"/>
      <c r="M30" s="8"/>
      <c r="N30" s="8"/>
      <c r="O30" s="74"/>
      <c r="P30" s="74"/>
      <c r="Q30" s="74"/>
      <c r="R30" s="80" t="e">
        <f t="shared" si="1"/>
        <v>#DIV/0!</v>
      </c>
      <c r="S30" s="83"/>
      <c r="T30" s="89"/>
      <c r="U30" s="83"/>
      <c r="V30" s="83"/>
      <c r="W30" s="93"/>
      <c r="X30" s="93"/>
      <c r="Y30" s="133" t="e">
        <f t="shared" si="2"/>
        <v>#DIV/0!</v>
      </c>
      <c r="Z30" s="56"/>
      <c r="AA30" s="56"/>
    </row>
    <row r="31" spans="1:27">
      <c r="A31" s="60" t="s">
        <v>762</v>
      </c>
      <c r="B31" s="9">
        <v>27</v>
      </c>
      <c r="C31" s="68"/>
      <c r="D31" s="68">
        <f t="shared" si="0"/>
        <v>0</v>
      </c>
      <c r="E31" s="68"/>
      <c r="F31" s="68"/>
      <c r="G31" s="68"/>
      <c r="H31" s="68"/>
      <c r="I31" s="68"/>
      <c r="J31" s="68"/>
      <c r="K31" s="68"/>
      <c r="L31" s="9"/>
      <c r="M31" s="8"/>
      <c r="N31" s="8"/>
      <c r="O31" s="74"/>
      <c r="P31" s="74"/>
      <c r="Q31" s="74"/>
      <c r="R31" s="80" t="e">
        <f t="shared" si="1"/>
        <v>#DIV/0!</v>
      </c>
      <c r="S31" s="83"/>
      <c r="T31" s="89"/>
      <c r="U31" s="83"/>
      <c r="V31" s="83"/>
      <c r="W31" s="93"/>
      <c r="X31" s="93"/>
      <c r="Y31" s="133" t="e">
        <f t="shared" si="2"/>
        <v>#DIV/0!</v>
      </c>
      <c r="Z31" s="56"/>
      <c r="AA31" s="56"/>
    </row>
    <row r="32" spans="1:27">
      <c r="A32" s="60" t="s">
        <v>763</v>
      </c>
      <c r="B32" s="9">
        <v>28</v>
      </c>
      <c r="C32" s="68"/>
      <c r="D32" s="68">
        <f t="shared" si="0"/>
        <v>0</v>
      </c>
      <c r="E32" s="68"/>
      <c r="F32" s="68"/>
      <c r="G32" s="68"/>
      <c r="H32" s="68"/>
      <c r="I32" s="68"/>
      <c r="J32" s="68"/>
      <c r="K32" s="68"/>
      <c r="L32" s="9"/>
      <c r="M32" s="8"/>
      <c r="N32" s="8"/>
      <c r="O32" s="74"/>
      <c r="P32" s="74"/>
      <c r="Q32" s="74"/>
      <c r="R32" s="80" t="e">
        <f t="shared" si="1"/>
        <v>#DIV/0!</v>
      </c>
      <c r="S32" s="83"/>
      <c r="T32" s="89"/>
      <c r="U32" s="83"/>
      <c r="V32" s="83"/>
      <c r="W32" s="93"/>
      <c r="X32" s="93"/>
      <c r="Y32" s="133" t="e">
        <f t="shared" si="2"/>
        <v>#DIV/0!</v>
      </c>
      <c r="Z32" s="56"/>
      <c r="AA32" s="56"/>
    </row>
    <row r="33" spans="1:27">
      <c r="A33" s="60" t="s">
        <v>764</v>
      </c>
      <c r="B33" s="9">
        <v>29</v>
      </c>
      <c r="C33" s="68"/>
      <c r="D33" s="68">
        <f t="shared" si="0"/>
        <v>0</v>
      </c>
      <c r="E33" s="68"/>
      <c r="F33" s="68"/>
      <c r="G33" s="68"/>
      <c r="H33" s="68"/>
      <c r="I33" s="68"/>
      <c r="J33" s="68"/>
      <c r="K33" s="68"/>
      <c r="L33" s="9"/>
      <c r="M33" s="8"/>
      <c r="N33" s="8"/>
      <c r="O33" s="74"/>
      <c r="P33" s="74"/>
      <c r="Q33" s="74"/>
      <c r="R33" s="80" t="e">
        <f t="shared" si="1"/>
        <v>#DIV/0!</v>
      </c>
      <c r="S33" s="83"/>
      <c r="T33" s="89"/>
      <c r="U33" s="83"/>
      <c r="V33" s="83"/>
      <c r="W33" s="93"/>
      <c r="X33" s="93"/>
      <c r="Y33" s="133" t="e">
        <f t="shared" si="2"/>
        <v>#DIV/0!</v>
      </c>
      <c r="Z33" s="56"/>
      <c r="AA33" s="56"/>
    </row>
    <row r="34" spans="1:27">
      <c r="A34" s="60" t="s">
        <v>765</v>
      </c>
      <c r="B34" s="9">
        <v>30</v>
      </c>
      <c r="C34" s="68"/>
      <c r="D34" s="68">
        <f t="shared" si="0"/>
        <v>0</v>
      </c>
      <c r="E34" s="68"/>
      <c r="F34" s="68"/>
      <c r="G34" s="68"/>
      <c r="H34" s="68"/>
      <c r="I34" s="68"/>
      <c r="J34" s="68"/>
      <c r="K34" s="68"/>
      <c r="L34" s="9"/>
      <c r="M34" s="8"/>
      <c r="N34" s="8"/>
      <c r="O34" s="74"/>
      <c r="P34" s="74"/>
      <c r="Q34" s="74"/>
      <c r="R34" s="80" t="e">
        <f t="shared" si="1"/>
        <v>#DIV/0!</v>
      </c>
      <c r="S34" s="83"/>
      <c r="T34" s="89"/>
      <c r="U34" s="83"/>
      <c r="V34" s="83"/>
      <c r="W34" s="93"/>
      <c r="X34" s="93"/>
      <c r="Y34" s="133" t="e">
        <f t="shared" si="2"/>
        <v>#DIV/0!</v>
      </c>
      <c r="Z34" s="56"/>
      <c r="AA34" s="56"/>
    </row>
    <row r="35" spans="1:27">
      <c r="A35" s="60" t="s">
        <v>766</v>
      </c>
      <c r="B35" s="9">
        <v>31</v>
      </c>
      <c r="C35" s="68"/>
      <c r="D35" s="68">
        <f t="shared" si="0"/>
        <v>0</v>
      </c>
      <c r="E35" s="68"/>
      <c r="F35" s="68"/>
      <c r="G35" s="68"/>
      <c r="H35" s="68"/>
      <c r="I35" s="68"/>
      <c r="J35" s="68"/>
      <c r="K35" s="68"/>
      <c r="L35" s="9"/>
      <c r="M35" s="8"/>
      <c r="N35" s="8"/>
      <c r="O35" s="74"/>
      <c r="P35" s="74"/>
      <c r="Q35" s="74"/>
      <c r="R35" s="80" t="e">
        <f t="shared" si="1"/>
        <v>#DIV/0!</v>
      </c>
      <c r="S35" s="83"/>
      <c r="T35" s="89"/>
      <c r="U35" s="83"/>
      <c r="V35" s="83"/>
      <c r="W35" s="93"/>
      <c r="X35" s="93"/>
      <c r="Y35" s="133" t="e">
        <f t="shared" si="2"/>
        <v>#DIV/0!</v>
      </c>
      <c r="Z35" s="56"/>
      <c r="AA35" s="56"/>
    </row>
    <row r="36" spans="1:27">
      <c r="A36" s="60" t="s">
        <v>767</v>
      </c>
      <c r="B36" s="9">
        <v>32</v>
      </c>
      <c r="C36" s="68"/>
      <c r="D36" s="68">
        <f t="shared" si="0"/>
        <v>0</v>
      </c>
      <c r="E36" s="68"/>
      <c r="F36" s="68"/>
      <c r="G36" s="68"/>
      <c r="H36" s="68"/>
      <c r="I36" s="68"/>
      <c r="J36" s="68"/>
      <c r="K36" s="68"/>
      <c r="L36" s="9"/>
      <c r="M36" s="8"/>
      <c r="N36" s="8"/>
      <c r="O36" s="74"/>
      <c r="P36" s="74"/>
      <c r="Q36" s="74"/>
      <c r="R36" s="80" t="e">
        <f t="shared" si="1"/>
        <v>#DIV/0!</v>
      </c>
      <c r="S36" s="83"/>
      <c r="T36" s="89"/>
      <c r="U36" s="83"/>
      <c r="V36" s="83"/>
      <c r="W36" s="93"/>
      <c r="X36" s="93"/>
      <c r="Y36" s="133" t="e">
        <f t="shared" si="2"/>
        <v>#DIV/0!</v>
      </c>
      <c r="Z36" s="56"/>
      <c r="AA36" s="56"/>
    </row>
    <row r="37" spans="1:27">
      <c r="A37" s="60" t="s">
        <v>768</v>
      </c>
      <c r="B37" s="9">
        <v>33</v>
      </c>
      <c r="C37" s="68"/>
      <c r="D37" s="68">
        <f t="shared" si="0"/>
        <v>0</v>
      </c>
      <c r="E37" s="68"/>
      <c r="F37" s="68"/>
      <c r="G37" s="68"/>
      <c r="H37" s="68"/>
      <c r="I37" s="68"/>
      <c r="J37" s="68"/>
      <c r="K37" s="68"/>
      <c r="L37" s="9"/>
      <c r="M37" s="8"/>
      <c r="N37" s="8"/>
      <c r="O37" s="74"/>
      <c r="P37" s="74"/>
      <c r="Q37" s="74"/>
      <c r="R37" s="80" t="e">
        <f t="shared" si="1"/>
        <v>#DIV/0!</v>
      </c>
      <c r="S37" s="83"/>
      <c r="T37" s="89"/>
      <c r="U37" s="83"/>
      <c r="V37" s="83"/>
      <c r="W37" s="93"/>
      <c r="X37" s="93"/>
      <c r="Y37" s="133" t="e">
        <f t="shared" si="2"/>
        <v>#DIV/0!</v>
      </c>
      <c r="Z37" s="56"/>
      <c r="AA37" s="56"/>
    </row>
    <row r="38" spans="1:27">
      <c r="A38" s="60" t="s">
        <v>769</v>
      </c>
      <c r="B38" s="9">
        <v>34</v>
      </c>
      <c r="C38" s="68"/>
      <c r="D38" s="68">
        <f t="shared" si="0"/>
        <v>0</v>
      </c>
      <c r="E38" s="68"/>
      <c r="F38" s="68"/>
      <c r="G38" s="68"/>
      <c r="H38" s="68"/>
      <c r="I38" s="68"/>
      <c r="J38" s="68"/>
      <c r="K38" s="68"/>
      <c r="L38" s="9"/>
      <c r="M38" s="8"/>
      <c r="N38" s="8"/>
      <c r="O38" s="74"/>
      <c r="P38" s="74"/>
      <c r="Q38" s="74"/>
      <c r="R38" s="80" t="e">
        <f t="shared" si="1"/>
        <v>#DIV/0!</v>
      </c>
      <c r="S38" s="83"/>
      <c r="T38" s="89"/>
      <c r="U38" s="83"/>
      <c r="V38" s="83"/>
      <c r="W38" s="93"/>
      <c r="X38" s="93"/>
      <c r="Y38" s="133" t="e">
        <f t="shared" si="2"/>
        <v>#DIV/0!</v>
      </c>
      <c r="Z38" s="56"/>
      <c r="AA38" s="56"/>
    </row>
    <row r="39" spans="1:27">
      <c r="A39" s="60" t="s">
        <v>770</v>
      </c>
      <c r="B39" s="9">
        <v>35</v>
      </c>
      <c r="C39" s="68"/>
      <c r="D39" s="68">
        <f t="shared" si="0"/>
        <v>0</v>
      </c>
      <c r="E39" s="68"/>
      <c r="F39" s="68"/>
      <c r="G39" s="68"/>
      <c r="H39" s="68"/>
      <c r="I39" s="68"/>
      <c r="J39" s="68"/>
      <c r="K39" s="68"/>
      <c r="L39" s="9"/>
      <c r="M39" s="8"/>
      <c r="N39" s="8"/>
      <c r="O39" s="74"/>
      <c r="P39" s="74"/>
      <c r="Q39" s="74"/>
      <c r="R39" s="80" t="e">
        <f t="shared" si="1"/>
        <v>#DIV/0!</v>
      </c>
      <c r="S39" s="83"/>
      <c r="T39" s="89"/>
      <c r="U39" s="83"/>
      <c r="V39" s="83"/>
      <c r="W39" s="93"/>
      <c r="X39" s="93"/>
      <c r="Y39" s="133" t="e">
        <f t="shared" si="2"/>
        <v>#DIV/0!</v>
      </c>
      <c r="Z39" s="56"/>
      <c r="AA39" s="56"/>
    </row>
    <row r="40" spans="1:27">
      <c r="A40" s="60" t="s">
        <v>771</v>
      </c>
      <c r="B40" s="9">
        <v>36</v>
      </c>
      <c r="C40" s="68"/>
      <c r="D40" s="68">
        <f t="shared" si="0"/>
        <v>0</v>
      </c>
      <c r="E40" s="68"/>
      <c r="F40" s="68"/>
      <c r="G40" s="68"/>
      <c r="H40" s="68"/>
      <c r="I40" s="68"/>
      <c r="J40" s="68"/>
      <c r="K40" s="68"/>
      <c r="L40" s="9"/>
      <c r="M40" s="8"/>
      <c r="N40" s="8"/>
      <c r="O40" s="74"/>
      <c r="P40" s="74"/>
      <c r="Q40" s="74"/>
      <c r="R40" s="80" t="e">
        <f t="shared" si="1"/>
        <v>#DIV/0!</v>
      </c>
      <c r="S40" s="83"/>
      <c r="T40" s="89"/>
      <c r="U40" s="83"/>
      <c r="V40" s="83"/>
      <c r="W40" s="93"/>
      <c r="X40" s="93"/>
      <c r="Y40" s="133" t="e">
        <f t="shared" si="2"/>
        <v>#DIV/0!</v>
      </c>
      <c r="Z40" s="56"/>
      <c r="AA40" s="56"/>
    </row>
    <row r="41" spans="1:27">
      <c r="A41" s="60" t="s">
        <v>772</v>
      </c>
      <c r="B41" s="9">
        <v>37</v>
      </c>
      <c r="C41" s="68"/>
      <c r="D41" s="68">
        <f t="shared" si="0"/>
        <v>0</v>
      </c>
      <c r="E41" s="68"/>
      <c r="F41" s="68"/>
      <c r="G41" s="68"/>
      <c r="H41" s="68"/>
      <c r="I41" s="68"/>
      <c r="J41" s="68"/>
      <c r="K41" s="68"/>
      <c r="L41" s="9"/>
      <c r="M41" s="8"/>
      <c r="N41" s="8"/>
      <c r="O41" s="74"/>
      <c r="P41" s="74"/>
      <c r="Q41" s="74"/>
      <c r="R41" s="80" t="e">
        <f t="shared" si="1"/>
        <v>#DIV/0!</v>
      </c>
      <c r="S41" s="83"/>
      <c r="T41" s="89"/>
      <c r="U41" s="83"/>
      <c r="V41" s="83"/>
      <c r="W41" s="93"/>
      <c r="X41" s="93"/>
      <c r="Y41" s="133" t="e">
        <f t="shared" si="2"/>
        <v>#DIV/0!</v>
      </c>
      <c r="Z41" s="56"/>
      <c r="AA41" s="56"/>
    </row>
    <row r="42" spans="1:27">
      <c r="A42" s="60" t="s">
        <v>773</v>
      </c>
      <c r="B42" s="9">
        <v>38</v>
      </c>
      <c r="C42" s="68"/>
      <c r="D42" s="68">
        <f t="shared" si="0"/>
        <v>0</v>
      </c>
      <c r="E42" s="68"/>
      <c r="F42" s="68"/>
      <c r="G42" s="68"/>
      <c r="H42" s="68"/>
      <c r="I42" s="68"/>
      <c r="J42" s="68"/>
      <c r="K42" s="68"/>
      <c r="L42" s="9"/>
      <c r="M42" s="8"/>
      <c r="N42" s="8"/>
      <c r="O42" s="74"/>
      <c r="P42" s="74"/>
      <c r="Q42" s="74"/>
      <c r="R42" s="80" t="e">
        <f t="shared" si="1"/>
        <v>#DIV/0!</v>
      </c>
      <c r="S42" s="83"/>
      <c r="T42" s="89"/>
      <c r="U42" s="83"/>
      <c r="V42" s="83"/>
      <c r="W42" s="93"/>
      <c r="X42" s="93"/>
      <c r="Y42" s="133" t="e">
        <f t="shared" si="2"/>
        <v>#DIV/0!</v>
      </c>
      <c r="Z42" s="56"/>
      <c r="AA42" s="56"/>
    </row>
    <row r="43" spans="1:27">
      <c r="A43" s="60" t="s">
        <v>774</v>
      </c>
      <c r="B43" s="9">
        <v>39</v>
      </c>
      <c r="C43" s="68"/>
      <c r="D43" s="68">
        <f t="shared" si="0"/>
        <v>0</v>
      </c>
      <c r="E43" s="68"/>
      <c r="F43" s="68"/>
      <c r="G43" s="68"/>
      <c r="H43" s="68"/>
      <c r="I43" s="68"/>
      <c r="J43" s="68"/>
      <c r="K43" s="68"/>
      <c r="L43" s="9"/>
      <c r="M43" s="8"/>
      <c r="N43" s="8"/>
      <c r="O43" s="74"/>
      <c r="P43" s="74"/>
      <c r="Q43" s="74"/>
      <c r="R43" s="80" t="e">
        <f t="shared" si="1"/>
        <v>#DIV/0!</v>
      </c>
      <c r="S43" s="83"/>
      <c r="T43" s="89"/>
      <c r="U43" s="83"/>
      <c r="V43" s="83"/>
      <c r="W43" s="93"/>
      <c r="X43" s="93"/>
      <c r="Y43" s="133" t="e">
        <f t="shared" si="2"/>
        <v>#DIV/0!</v>
      </c>
      <c r="Z43" s="56"/>
      <c r="AA43" s="56"/>
    </row>
    <row r="44" spans="1:27">
      <c r="A44" s="60" t="s">
        <v>775</v>
      </c>
      <c r="B44" s="9">
        <v>40</v>
      </c>
      <c r="C44" s="68"/>
      <c r="D44" s="68">
        <f t="shared" si="0"/>
        <v>0</v>
      </c>
      <c r="E44" s="68"/>
      <c r="F44" s="68"/>
      <c r="G44" s="68"/>
      <c r="H44" s="68"/>
      <c r="I44" s="68"/>
      <c r="J44" s="68"/>
      <c r="K44" s="68"/>
      <c r="L44" s="9"/>
      <c r="M44" s="8"/>
      <c r="N44" s="8"/>
      <c r="O44" s="74"/>
      <c r="P44" s="74"/>
      <c r="Q44" s="74"/>
      <c r="R44" s="80" t="e">
        <f t="shared" si="1"/>
        <v>#DIV/0!</v>
      </c>
      <c r="S44" s="83"/>
      <c r="T44" s="89"/>
      <c r="U44" s="83"/>
      <c r="V44" s="83"/>
      <c r="W44" s="93"/>
      <c r="X44" s="93"/>
      <c r="Y44" s="133" t="e">
        <f t="shared" si="2"/>
        <v>#DIV/0!</v>
      </c>
      <c r="Z44" s="56"/>
      <c r="AA44" s="56"/>
    </row>
    <row r="45" spans="1:27">
      <c r="A45" s="60" t="s">
        <v>776</v>
      </c>
      <c r="B45" s="9">
        <v>41</v>
      </c>
      <c r="C45" s="68"/>
      <c r="D45" s="68">
        <f t="shared" si="0"/>
        <v>0</v>
      </c>
      <c r="E45" s="68"/>
      <c r="F45" s="68"/>
      <c r="G45" s="68"/>
      <c r="H45" s="68"/>
      <c r="I45" s="68"/>
      <c r="J45" s="68"/>
      <c r="K45" s="68"/>
      <c r="L45" s="9"/>
      <c r="M45" s="8"/>
      <c r="N45" s="8"/>
      <c r="O45" s="74"/>
      <c r="P45" s="74"/>
      <c r="Q45" s="74"/>
      <c r="R45" s="80" t="e">
        <f t="shared" si="1"/>
        <v>#DIV/0!</v>
      </c>
      <c r="S45" s="83"/>
      <c r="T45" s="89"/>
      <c r="U45" s="83"/>
      <c r="V45" s="83"/>
      <c r="W45" s="93"/>
      <c r="X45" s="93"/>
      <c r="Y45" s="133" t="e">
        <f t="shared" si="2"/>
        <v>#DIV/0!</v>
      </c>
      <c r="Z45" s="56"/>
      <c r="AA45" s="56"/>
    </row>
    <row r="46" spans="1:27">
      <c r="A46" s="60" t="s">
        <v>777</v>
      </c>
      <c r="B46" s="9">
        <v>42</v>
      </c>
      <c r="C46" s="68"/>
      <c r="D46" s="68">
        <f t="shared" si="0"/>
        <v>0</v>
      </c>
      <c r="E46" s="68"/>
      <c r="F46" s="68"/>
      <c r="G46" s="68"/>
      <c r="H46" s="68"/>
      <c r="I46" s="68"/>
      <c r="J46" s="68"/>
      <c r="K46" s="68"/>
      <c r="L46" s="9"/>
      <c r="M46" s="8"/>
      <c r="N46" s="8"/>
      <c r="O46" s="74"/>
      <c r="P46" s="74"/>
      <c r="Q46" s="74"/>
      <c r="R46" s="80" t="e">
        <f t="shared" si="1"/>
        <v>#DIV/0!</v>
      </c>
      <c r="S46" s="83"/>
      <c r="T46" s="89"/>
      <c r="U46" s="83"/>
      <c r="V46" s="83"/>
      <c r="W46" s="93"/>
      <c r="X46" s="93"/>
      <c r="Y46" s="133" t="e">
        <f t="shared" si="2"/>
        <v>#DIV/0!</v>
      </c>
      <c r="Z46" s="56"/>
      <c r="AA46" s="56"/>
    </row>
    <row r="47" spans="1:27">
      <c r="A47" s="60" t="s">
        <v>778</v>
      </c>
      <c r="B47" s="9">
        <v>43</v>
      </c>
      <c r="C47" s="68"/>
      <c r="D47" s="68">
        <f t="shared" si="0"/>
        <v>0</v>
      </c>
      <c r="E47" s="68"/>
      <c r="F47" s="68"/>
      <c r="G47" s="68"/>
      <c r="H47" s="68"/>
      <c r="I47" s="68"/>
      <c r="J47" s="68"/>
      <c r="K47" s="68"/>
      <c r="L47" s="9"/>
      <c r="M47" s="8"/>
      <c r="N47" s="8"/>
      <c r="O47" s="74"/>
      <c r="P47" s="74"/>
      <c r="Q47" s="74"/>
      <c r="R47" s="80" t="e">
        <f t="shared" si="1"/>
        <v>#DIV/0!</v>
      </c>
      <c r="S47" s="83"/>
      <c r="T47" s="89"/>
      <c r="U47" s="83"/>
      <c r="V47" s="83"/>
      <c r="W47" s="93"/>
      <c r="X47" s="93"/>
      <c r="Y47" s="133" t="e">
        <f t="shared" si="2"/>
        <v>#DIV/0!</v>
      </c>
      <c r="Z47" s="56"/>
      <c r="AA47" s="56"/>
    </row>
    <row r="48" spans="1:27">
      <c r="A48" s="60" t="s">
        <v>779</v>
      </c>
      <c r="B48" s="9">
        <v>44</v>
      </c>
      <c r="C48" s="68"/>
      <c r="D48" s="68">
        <f t="shared" si="0"/>
        <v>0</v>
      </c>
      <c r="E48" s="68"/>
      <c r="F48" s="68"/>
      <c r="G48" s="68"/>
      <c r="H48" s="68"/>
      <c r="I48" s="68"/>
      <c r="J48" s="68"/>
      <c r="K48" s="68"/>
      <c r="L48" s="9"/>
      <c r="M48" s="8"/>
      <c r="N48" s="8"/>
      <c r="O48" s="74"/>
      <c r="P48" s="74"/>
      <c r="Q48" s="74"/>
      <c r="R48" s="80" t="e">
        <f t="shared" si="1"/>
        <v>#DIV/0!</v>
      </c>
      <c r="S48" s="83"/>
      <c r="T48" s="89"/>
      <c r="U48" s="83"/>
      <c r="V48" s="83"/>
      <c r="W48" s="93"/>
      <c r="X48" s="93"/>
      <c r="Y48" s="133" t="e">
        <f t="shared" si="2"/>
        <v>#DIV/0!</v>
      </c>
      <c r="Z48" s="56"/>
      <c r="AA48" s="56"/>
    </row>
    <row r="49" spans="1:27">
      <c r="A49" s="60" t="s">
        <v>780</v>
      </c>
      <c r="B49" s="9">
        <v>45</v>
      </c>
      <c r="C49" s="68"/>
      <c r="D49" s="68">
        <f t="shared" si="0"/>
        <v>0</v>
      </c>
      <c r="E49" s="68"/>
      <c r="F49" s="68"/>
      <c r="G49" s="68"/>
      <c r="H49" s="68"/>
      <c r="I49" s="68"/>
      <c r="J49" s="68"/>
      <c r="K49" s="68"/>
      <c r="L49" s="9"/>
      <c r="M49" s="8"/>
      <c r="N49" s="8"/>
      <c r="O49" s="74"/>
      <c r="P49" s="74"/>
      <c r="Q49" s="74"/>
      <c r="R49" s="80" t="e">
        <f t="shared" si="1"/>
        <v>#DIV/0!</v>
      </c>
      <c r="S49" s="83"/>
      <c r="T49" s="89"/>
      <c r="U49" s="83"/>
      <c r="V49" s="83"/>
      <c r="W49" s="93"/>
      <c r="X49" s="93"/>
      <c r="Y49" s="133" t="e">
        <f t="shared" si="2"/>
        <v>#DIV/0!</v>
      </c>
      <c r="Z49" s="56"/>
      <c r="AA49" s="56"/>
    </row>
    <row r="50" spans="1:27">
      <c r="A50" s="60" t="s">
        <v>781</v>
      </c>
      <c r="B50" s="9">
        <v>46</v>
      </c>
      <c r="C50" s="68"/>
      <c r="D50" s="68">
        <f t="shared" si="0"/>
        <v>0</v>
      </c>
      <c r="E50" s="68"/>
      <c r="F50" s="68"/>
      <c r="G50" s="68"/>
      <c r="H50" s="68"/>
      <c r="I50" s="68"/>
      <c r="J50" s="68"/>
      <c r="K50" s="68"/>
      <c r="L50" s="9"/>
      <c r="M50" s="8"/>
      <c r="N50" s="8"/>
      <c r="O50" s="74"/>
      <c r="P50" s="74"/>
      <c r="Q50" s="74"/>
      <c r="R50" s="80" t="e">
        <f t="shared" si="1"/>
        <v>#DIV/0!</v>
      </c>
      <c r="S50" s="83"/>
      <c r="T50" s="89"/>
      <c r="U50" s="83"/>
      <c r="V50" s="83"/>
      <c r="W50" s="93"/>
      <c r="X50" s="93"/>
      <c r="Y50" s="133" t="e">
        <f t="shared" si="2"/>
        <v>#DIV/0!</v>
      </c>
      <c r="Z50" s="56"/>
      <c r="AA50" s="56"/>
    </row>
    <row r="51" spans="1:27">
      <c r="A51" s="60" t="s">
        <v>782</v>
      </c>
      <c r="B51" s="9">
        <v>47</v>
      </c>
      <c r="C51" s="68"/>
      <c r="D51" s="68">
        <f t="shared" si="0"/>
        <v>0</v>
      </c>
      <c r="E51" s="68"/>
      <c r="F51" s="68"/>
      <c r="G51" s="68"/>
      <c r="H51" s="68"/>
      <c r="I51" s="68"/>
      <c r="J51" s="68"/>
      <c r="K51" s="68"/>
      <c r="L51" s="9"/>
      <c r="M51" s="8"/>
      <c r="N51" s="8"/>
      <c r="O51" s="74"/>
      <c r="P51" s="74"/>
      <c r="Q51" s="74"/>
      <c r="R51" s="80" t="e">
        <f t="shared" si="1"/>
        <v>#DIV/0!</v>
      </c>
      <c r="S51" s="83"/>
      <c r="T51" s="89"/>
      <c r="U51" s="83"/>
      <c r="V51" s="83"/>
      <c r="W51" s="93"/>
      <c r="X51" s="93"/>
      <c r="Y51" s="133" t="e">
        <f t="shared" si="2"/>
        <v>#DIV/0!</v>
      </c>
      <c r="Z51" s="56"/>
      <c r="AA51" s="56"/>
    </row>
    <row r="52" spans="1:27">
      <c r="A52" s="60" t="s">
        <v>783</v>
      </c>
      <c r="B52" s="9">
        <v>48</v>
      </c>
      <c r="C52" s="68"/>
      <c r="D52" s="68">
        <f t="shared" si="0"/>
        <v>0</v>
      </c>
      <c r="E52" s="68"/>
      <c r="F52" s="68"/>
      <c r="G52" s="68"/>
      <c r="H52" s="68"/>
      <c r="I52" s="68"/>
      <c r="J52" s="68"/>
      <c r="K52" s="68"/>
      <c r="L52" s="9"/>
      <c r="M52" s="8"/>
      <c r="N52" s="8"/>
      <c r="O52" s="74"/>
      <c r="P52" s="74"/>
      <c r="Q52" s="74"/>
      <c r="R52" s="80" t="e">
        <f t="shared" si="1"/>
        <v>#DIV/0!</v>
      </c>
      <c r="S52" s="83"/>
      <c r="T52" s="89"/>
      <c r="U52" s="83"/>
      <c r="V52" s="83"/>
      <c r="W52" s="93"/>
      <c r="X52" s="93"/>
      <c r="Y52" s="133" t="e">
        <f t="shared" si="2"/>
        <v>#DIV/0!</v>
      </c>
      <c r="Z52" s="56"/>
      <c r="AA52" s="56"/>
    </row>
    <row r="53" spans="1:27">
      <c r="A53" s="60" t="s">
        <v>784</v>
      </c>
      <c r="B53" s="9">
        <v>49</v>
      </c>
      <c r="C53" s="68"/>
      <c r="D53" s="68">
        <f t="shared" si="0"/>
        <v>0</v>
      </c>
      <c r="E53" s="68"/>
      <c r="F53" s="68"/>
      <c r="G53" s="68"/>
      <c r="H53" s="68"/>
      <c r="I53" s="68"/>
      <c r="J53" s="68"/>
      <c r="K53" s="68"/>
      <c r="L53" s="9"/>
      <c r="M53" s="8"/>
      <c r="N53" s="8"/>
      <c r="O53" s="74"/>
      <c r="P53" s="74"/>
      <c r="Q53" s="75"/>
      <c r="R53" s="80" t="e">
        <f t="shared" si="1"/>
        <v>#DIV/0!</v>
      </c>
      <c r="S53" s="81"/>
      <c r="T53" s="87"/>
      <c r="U53" s="81"/>
      <c r="V53" s="81"/>
      <c r="W53" s="93"/>
      <c r="X53" s="93"/>
      <c r="Y53" s="133" t="e">
        <f t="shared" si="2"/>
        <v>#DIV/0!</v>
      </c>
      <c r="Z53" s="95"/>
      <c r="AA53" s="56"/>
    </row>
    <row r="54" spans="1:27">
      <c r="A54" s="60" t="s">
        <v>785</v>
      </c>
      <c r="B54" s="9">
        <v>50</v>
      </c>
      <c r="C54" s="68"/>
      <c r="D54" s="68">
        <f t="shared" si="0"/>
        <v>0</v>
      </c>
      <c r="E54" s="68"/>
      <c r="F54" s="68"/>
      <c r="G54" s="68"/>
      <c r="H54" s="68"/>
      <c r="I54" s="68"/>
      <c r="J54" s="68"/>
      <c r="K54" s="68"/>
      <c r="L54" s="9"/>
      <c r="M54" s="8"/>
      <c r="N54" s="8"/>
      <c r="O54" s="74"/>
      <c r="P54" s="74"/>
      <c r="Q54" s="75"/>
      <c r="R54" s="80" t="e">
        <f t="shared" si="1"/>
        <v>#DIV/0!</v>
      </c>
      <c r="S54" s="81"/>
      <c r="T54" s="87"/>
      <c r="U54" s="81"/>
      <c r="V54" s="81"/>
      <c r="W54" s="93"/>
      <c r="X54" s="93"/>
      <c r="Y54" s="133" t="e">
        <f t="shared" si="2"/>
        <v>#DIV/0!</v>
      </c>
      <c r="Z54" s="95"/>
      <c r="AA54" s="56"/>
    </row>
    <row r="55" spans="1:27">
      <c r="A55" s="60" t="s">
        <v>786</v>
      </c>
      <c r="B55" s="9">
        <v>51</v>
      </c>
      <c r="C55" s="68"/>
      <c r="D55" s="68">
        <f t="shared" si="0"/>
        <v>0</v>
      </c>
      <c r="E55" s="68"/>
      <c r="F55" s="68"/>
      <c r="G55" s="68"/>
      <c r="H55" s="68"/>
      <c r="I55" s="68"/>
      <c r="J55" s="68"/>
      <c r="K55" s="68"/>
      <c r="L55" s="9"/>
      <c r="M55" s="8"/>
      <c r="N55" s="8"/>
      <c r="O55" s="74"/>
      <c r="P55" s="74"/>
      <c r="Q55" s="76"/>
      <c r="R55" s="80" t="e">
        <f t="shared" si="1"/>
        <v>#DIV/0!</v>
      </c>
      <c r="S55" s="82"/>
      <c r="T55" s="88"/>
      <c r="U55" s="82"/>
      <c r="V55" s="82"/>
      <c r="W55" s="93"/>
      <c r="X55" s="93"/>
      <c r="Y55" s="133" t="e">
        <f t="shared" si="2"/>
        <v>#DIV/0!</v>
      </c>
      <c r="Z55" s="96"/>
      <c r="AA55" s="56"/>
    </row>
    <row r="56" spans="1:27">
      <c r="A56" s="60" t="s">
        <v>787</v>
      </c>
      <c r="B56" s="9">
        <v>52</v>
      </c>
      <c r="C56" s="68"/>
      <c r="D56" s="68">
        <f t="shared" si="0"/>
        <v>0</v>
      </c>
      <c r="E56" s="68"/>
      <c r="F56" s="68"/>
      <c r="G56" s="68"/>
      <c r="H56" s="68"/>
      <c r="I56" s="68"/>
      <c r="J56" s="68"/>
      <c r="K56" s="68"/>
      <c r="L56" s="9"/>
      <c r="M56" s="8"/>
      <c r="N56" s="8"/>
      <c r="O56" s="74"/>
      <c r="P56" s="74"/>
      <c r="Q56" s="76"/>
      <c r="R56" s="80" t="e">
        <f t="shared" si="1"/>
        <v>#DIV/0!</v>
      </c>
      <c r="S56" s="82"/>
      <c r="T56" s="88"/>
      <c r="U56" s="82"/>
      <c r="V56" s="82"/>
      <c r="W56" s="93"/>
      <c r="X56" s="93"/>
      <c r="Y56" s="133" t="e">
        <f t="shared" si="2"/>
        <v>#DIV/0!</v>
      </c>
      <c r="Z56" s="96"/>
      <c r="AA56" s="56"/>
    </row>
    <row r="57" spans="1:27">
      <c r="A57" s="60" t="s">
        <v>788</v>
      </c>
      <c r="B57" s="9">
        <v>53</v>
      </c>
      <c r="C57" s="68"/>
      <c r="D57" s="68">
        <f t="shared" si="0"/>
        <v>0</v>
      </c>
      <c r="E57" s="68"/>
      <c r="F57" s="68"/>
      <c r="G57" s="68"/>
      <c r="H57" s="68"/>
      <c r="I57" s="68"/>
      <c r="J57" s="68"/>
      <c r="K57" s="68"/>
      <c r="L57" s="9"/>
      <c r="M57" s="8"/>
      <c r="N57" s="8"/>
      <c r="O57" s="74"/>
      <c r="P57" s="74"/>
      <c r="Q57" s="76"/>
      <c r="R57" s="80" t="e">
        <f t="shared" si="1"/>
        <v>#DIV/0!</v>
      </c>
      <c r="S57" s="82"/>
      <c r="T57" s="88"/>
      <c r="U57" s="82"/>
      <c r="V57" s="82"/>
      <c r="W57" s="93"/>
      <c r="X57" s="93"/>
      <c r="Y57" s="133" t="e">
        <f t="shared" si="2"/>
        <v>#DIV/0!</v>
      </c>
      <c r="Z57" s="96"/>
      <c r="AA57" s="56"/>
    </row>
    <row r="58" spans="1:27">
      <c r="A58" s="60" t="s">
        <v>789</v>
      </c>
      <c r="B58" s="9">
        <v>54</v>
      </c>
      <c r="C58" s="68"/>
      <c r="D58" s="68">
        <f t="shared" si="0"/>
        <v>0</v>
      </c>
      <c r="E58" s="68"/>
      <c r="F58" s="68"/>
      <c r="G58" s="68"/>
      <c r="H58" s="68"/>
      <c r="I58" s="68"/>
      <c r="J58" s="68"/>
      <c r="K58" s="68"/>
      <c r="L58" s="9"/>
      <c r="M58" s="8"/>
      <c r="N58" s="8"/>
      <c r="O58" s="74"/>
      <c r="P58" s="74"/>
      <c r="Q58" s="74"/>
      <c r="R58" s="80" t="e">
        <f t="shared" si="1"/>
        <v>#DIV/0!</v>
      </c>
      <c r="S58" s="83"/>
      <c r="T58" s="89"/>
      <c r="U58" s="83"/>
      <c r="V58" s="83"/>
      <c r="W58" s="93"/>
      <c r="X58" s="93"/>
      <c r="Y58" s="133" t="e">
        <f t="shared" si="2"/>
        <v>#DIV/0!</v>
      </c>
      <c r="Z58" s="56"/>
      <c r="AA58" s="56"/>
    </row>
    <row r="59" spans="1:27">
      <c r="A59" s="60" t="s">
        <v>790</v>
      </c>
      <c r="B59" s="9">
        <v>55</v>
      </c>
      <c r="C59" s="68"/>
      <c r="D59" s="68">
        <f t="shared" si="0"/>
        <v>0</v>
      </c>
      <c r="E59" s="68"/>
      <c r="F59" s="68"/>
      <c r="G59" s="68"/>
      <c r="H59" s="68"/>
      <c r="I59" s="68"/>
      <c r="J59" s="68"/>
      <c r="K59" s="68"/>
      <c r="L59" s="9"/>
      <c r="M59" s="8"/>
      <c r="N59" s="8"/>
      <c r="O59" s="74"/>
      <c r="P59" s="74"/>
      <c r="Q59" s="74"/>
      <c r="R59" s="80" t="e">
        <f t="shared" si="1"/>
        <v>#DIV/0!</v>
      </c>
      <c r="S59" s="83"/>
      <c r="T59" s="89"/>
      <c r="U59" s="83"/>
      <c r="V59" s="83"/>
      <c r="W59" s="93"/>
      <c r="X59" s="93"/>
      <c r="Y59" s="133" t="e">
        <f t="shared" si="2"/>
        <v>#DIV/0!</v>
      </c>
      <c r="Z59" s="56"/>
      <c r="AA59" s="56"/>
    </row>
    <row r="60" spans="1:27">
      <c r="A60" s="60" t="s">
        <v>791</v>
      </c>
      <c r="B60" s="9">
        <v>56</v>
      </c>
      <c r="C60" s="68"/>
      <c r="D60" s="68">
        <f t="shared" si="0"/>
        <v>0</v>
      </c>
      <c r="E60" s="68"/>
      <c r="F60" s="68"/>
      <c r="G60" s="68"/>
      <c r="H60" s="68"/>
      <c r="I60" s="68"/>
      <c r="J60" s="68"/>
      <c r="K60" s="68"/>
      <c r="L60" s="9"/>
      <c r="M60" s="8"/>
      <c r="N60" s="8"/>
      <c r="O60" s="74"/>
      <c r="P60" s="74"/>
      <c r="Q60" s="74"/>
      <c r="R60" s="80" t="e">
        <f t="shared" si="1"/>
        <v>#DIV/0!</v>
      </c>
      <c r="S60" s="83"/>
      <c r="T60" s="89"/>
      <c r="U60" s="83"/>
      <c r="V60" s="83"/>
      <c r="W60" s="93"/>
      <c r="X60" s="93"/>
      <c r="Y60" s="133" t="e">
        <f t="shared" si="2"/>
        <v>#DIV/0!</v>
      </c>
      <c r="Z60" s="56"/>
      <c r="AA60" s="56"/>
    </row>
    <row r="61" spans="1:27">
      <c r="A61" s="60" t="s">
        <v>792</v>
      </c>
      <c r="B61" s="9">
        <v>57</v>
      </c>
      <c r="C61" s="68"/>
      <c r="D61" s="68">
        <f t="shared" si="0"/>
        <v>0</v>
      </c>
      <c r="E61" s="68"/>
      <c r="F61" s="68"/>
      <c r="G61" s="68"/>
      <c r="H61" s="68"/>
      <c r="I61" s="68"/>
      <c r="J61" s="68"/>
      <c r="K61" s="68"/>
      <c r="L61" s="9"/>
      <c r="M61" s="8"/>
      <c r="N61" s="8"/>
      <c r="O61" s="74"/>
      <c r="P61" s="74"/>
      <c r="Q61" s="74"/>
      <c r="R61" s="80" t="e">
        <f t="shared" si="1"/>
        <v>#DIV/0!</v>
      </c>
      <c r="S61" s="83"/>
      <c r="T61" s="89"/>
      <c r="U61" s="83"/>
      <c r="V61" s="83"/>
      <c r="W61" s="93"/>
      <c r="X61" s="93"/>
      <c r="Y61" s="133" t="e">
        <f t="shared" si="2"/>
        <v>#DIV/0!</v>
      </c>
      <c r="Z61" s="56"/>
      <c r="AA61" s="56"/>
    </row>
    <row r="62" spans="1:27">
      <c r="A62" s="60" t="s">
        <v>793</v>
      </c>
      <c r="B62" s="9">
        <v>58</v>
      </c>
      <c r="C62" s="68"/>
      <c r="D62" s="68">
        <f t="shared" si="0"/>
        <v>0</v>
      </c>
      <c r="E62" s="68"/>
      <c r="F62" s="68"/>
      <c r="G62" s="68"/>
      <c r="H62" s="68"/>
      <c r="I62" s="68"/>
      <c r="J62" s="68"/>
      <c r="K62" s="68"/>
      <c r="L62" s="9"/>
      <c r="M62" s="8"/>
      <c r="N62" s="8"/>
      <c r="O62" s="74"/>
      <c r="P62" s="74"/>
      <c r="Q62" s="74"/>
      <c r="R62" s="80" t="e">
        <f t="shared" si="1"/>
        <v>#DIV/0!</v>
      </c>
      <c r="S62" s="83"/>
      <c r="T62" s="89"/>
      <c r="U62" s="83"/>
      <c r="V62" s="83"/>
      <c r="W62" s="93"/>
      <c r="X62" s="93"/>
      <c r="Y62" s="133" t="e">
        <f t="shared" si="2"/>
        <v>#DIV/0!</v>
      </c>
      <c r="Z62" s="56"/>
      <c r="AA62" s="56"/>
    </row>
    <row r="63" spans="1:27">
      <c r="A63" s="60" t="s">
        <v>794</v>
      </c>
      <c r="B63" s="9">
        <v>59</v>
      </c>
      <c r="C63" s="68"/>
      <c r="D63" s="68">
        <f t="shared" si="0"/>
        <v>0</v>
      </c>
      <c r="E63" s="68"/>
      <c r="F63" s="68"/>
      <c r="G63" s="68"/>
      <c r="H63" s="68"/>
      <c r="I63" s="68"/>
      <c r="J63" s="68"/>
      <c r="K63" s="68"/>
      <c r="L63" s="9"/>
      <c r="M63" s="8"/>
      <c r="N63" s="8"/>
      <c r="O63" s="74"/>
      <c r="P63" s="74"/>
      <c r="Q63" s="74"/>
      <c r="R63" s="80" t="e">
        <f t="shared" si="1"/>
        <v>#DIV/0!</v>
      </c>
      <c r="S63" s="83"/>
      <c r="T63" s="89"/>
      <c r="U63" s="83"/>
      <c r="V63" s="83"/>
      <c r="W63" s="93"/>
      <c r="X63" s="93"/>
      <c r="Y63" s="133" t="e">
        <f t="shared" si="2"/>
        <v>#DIV/0!</v>
      </c>
      <c r="Z63" s="56"/>
      <c r="AA63" s="56"/>
    </row>
    <row r="64" spans="1:27">
      <c r="A64" s="60" t="s">
        <v>795</v>
      </c>
      <c r="B64" s="9">
        <v>60</v>
      </c>
      <c r="C64" s="68"/>
      <c r="D64" s="68">
        <f t="shared" si="0"/>
        <v>0</v>
      </c>
      <c r="E64" s="68"/>
      <c r="F64" s="68"/>
      <c r="G64" s="68"/>
      <c r="H64" s="68"/>
      <c r="I64" s="68"/>
      <c r="J64" s="68"/>
      <c r="K64" s="68"/>
      <c r="L64" s="9"/>
      <c r="M64" s="8"/>
      <c r="N64" s="8"/>
      <c r="O64" s="74"/>
      <c r="P64" s="74"/>
      <c r="Q64" s="74"/>
      <c r="R64" s="80" t="e">
        <f t="shared" si="1"/>
        <v>#DIV/0!</v>
      </c>
      <c r="S64" s="83"/>
      <c r="T64" s="89"/>
      <c r="U64" s="83"/>
      <c r="V64" s="83"/>
      <c r="W64" s="93"/>
      <c r="X64" s="93"/>
      <c r="Y64" s="133" t="e">
        <f t="shared" si="2"/>
        <v>#DIV/0!</v>
      </c>
      <c r="Z64" s="56"/>
      <c r="AA64" s="56"/>
    </row>
    <row r="65" spans="1:27">
      <c r="A65" s="60" t="s">
        <v>796</v>
      </c>
      <c r="B65" s="9">
        <v>61</v>
      </c>
      <c r="C65" s="68"/>
      <c r="D65" s="68">
        <f t="shared" si="0"/>
        <v>0</v>
      </c>
      <c r="E65" s="68"/>
      <c r="F65" s="68"/>
      <c r="G65" s="68"/>
      <c r="H65" s="68"/>
      <c r="I65" s="68"/>
      <c r="J65" s="68"/>
      <c r="K65" s="68"/>
      <c r="L65" s="9"/>
      <c r="M65" s="8"/>
      <c r="N65" s="8"/>
      <c r="O65" s="74"/>
      <c r="P65" s="74"/>
      <c r="Q65" s="74"/>
      <c r="R65" s="80" t="e">
        <f t="shared" si="1"/>
        <v>#DIV/0!</v>
      </c>
      <c r="S65" s="83"/>
      <c r="T65" s="89"/>
      <c r="U65" s="83"/>
      <c r="V65" s="83"/>
      <c r="W65" s="93"/>
      <c r="X65" s="93"/>
      <c r="Y65" s="133" t="e">
        <f t="shared" si="2"/>
        <v>#DIV/0!</v>
      </c>
      <c r="Z65" s="56"/>
      <c r="AA65" s="56"/>
    </row>
    <row r="66" spans="1:27">
      <c r="A66" s="60" t="s">
        <v>797</v>
      </c>
      <c r="B66" s="9">
        <v>62</v>
      </c>
      <c r="C66" s="68"/>
      <c r="D66" s="68">
        <f t="shared" si="0"/>
        <v>0</v>
      </c>
      <c r="E66" s="68"/>
      <c r="F66" s="68"/>
      <c r="G66" s="68"/>
      <c r="H66" s="68"/>
      <c r="I66" s="68"/>
      <c r="J66" s="68"/>
      <c r="K66" s="68"/>
      <c r="L66" s="9"/>
      <c r="M66" s="8"/>
      <c r="N66" s="8"/>
      <c r="O66" s="74"/>
      <c r="P66" s="74"/>
      <c r="Q66" s="74"/>
      <c r="R66" s="80" t="e">
        <f t="shared" si="1"/>
        <v>#DIV/0!</v>
      </c>
      <c r="S66" s="83"/>
      <c r="T66" s="89"/>
      <c r="U66" s="83"/>
      <c r="V66" s="83"/>
      <c r="W66" s="93"/>
      <c r="X66" s="93"/>
      <c r="Y66" s="133" t="e">
        <f t="shared" si="2"/>
        <v>#DIV/0!</v>
      </c>
      <c r="Z66" s="56"/>
      <c r="AA66" s="56"/>
    </row>
    <row r="67" spans="1:27">
      <c r="A67" s="60" t="s">
        <v>798</v>
      </c>
      <c r="B67" s="9">
        <v>63</v>
      </c>
      <c r="C67" s="69"/>
      <c r="D67" s="68">
        <f t="shared" si="0"/>
        <v>0</v>
      </c>
      <c r="E67" s="69"/>
      <c r="F67" s="69"/>
      <c r="G67" s="69"/>
      <c r="H67" s="69"/>
      <c r="I67" s="69"/>
      <c r="J67" s="69"/>
      <c r="K67" s="69"/>
      <c r="L67" s="71"/>
      <c r="M67" s="73"/>
      <c r="N67" s="73"/>
      <c r="O67" s="77"/>
      <c r="P67" s="77"/>
      <c r="Q67" s="77"/>
      <c r="R67" s="80" t="e">
        <f t="shared" si="1"/>
        <v>#DIV/0!</v>
      </c>
      <c r="S67" s="84"/>
      <c r="T67" s="90"/>
      <c r="U67" s="84"/>
      <c r="V67" s="84"/>
      <c r="W67" s="139"/>
      <c r="X67" s="93"/>
      <c r="Y67" s="133" t="e">
        <f t="shared" si="2"/>
        <v>#DIV/0!</v>
      </c>
      <c r="Z67" s="97"/>
      <c r="AA67" s="56"/>
    </row>
    <row r="68" spans="1:27">
      <c r="A68" s="60" t="s">
        <v>799</v>
      </c>
      <c r="B68" s="9">
        <v>64</v>
      </c>
      <c r="C68" s="68"/>
      <c r="D68" s="68">
        <f t="shared" si="0"/>
        <v>0</v>
      </c>
      <c r="E68" s="68"/>
      <c r="F68" s="68"/>
      <c r="G68" s="68"/>
      <c r="H68" s="68"/>
      <c r="I68" s="68"/>
      <c r="J68" s="68"/>
      <c r="K68" s="68"/>
      <c r="L68" s="9"/>
      <c r="M68" s="8"/>
      <c r="N68" s="8"/>
      <c r="O68" s="74"/>
      <c r="P68" s="74"/>
      <c r="Q68" s="74"/>
      <c r="R68" s="80" t="e">
        <f t="shared" si="1"/>
        <v>#DIV/0!</v>
      </c>
      <c r="S68" s="83"/>
      <c r="T68" s="89"/>
      <c r="U68" s="83"/>
      <c r="V68" s="83"/>
      <c r="W68" s="93"/>
      <c r="X68" s="93"/>
      <c r="Y68" s="133" t="e">
        <f t="shared" si="2"/>
        <v>#DIV/0!</v>
      </c>
      <c r="Z68" s="56"/>
      <c r="AA68" s="56"/>
    </row>
    <row r="69" spans="1:27">
      <c r="A69" s="61" t="s">
        <v>800</v>
      </c>
      <c r="B69" s="9">
        <v>65</v>
      </c>
      <c r="C69" s="70"/>
      <c r="D69" s="68">
        <f t="shared" si="0"/>
        <v>0</v>
      </c>
      <c r="E69" s="70"/>
      <c r="F69" s="70"/>
      <c r="G69" s="70"/>
      <c r="H69" s="70"/>
      <c r="I69" s="70"/>
      <c r="J69" s="70"/>
      <c r="K69" s="70"/>
      <c r="L69" s="18"/>
      <c r="M69" s="19"/>
      <c r="N69" s="19"/>
      <c r="O69" s="78"/>
      <c r="P69" s="78"/>
      <c r="Q69" s="78"/>
      <c r="R69" s="80" t="e">
        <f t="shared" si="1"/>
        <v>#DIV/0!</v>
      </c>
      <c r="S69" s="85"/>
      <c r="T69" s="91"/>
      <c r="U69" s="85"/>
      <c r="V69" s="85"/>
      <c r="W69" s="133"/>
      <c r="X69" s="93"/>
      <c r="Y69" s="133" t="e">
        <f t="shared" si="2"/>
        <v>#DIV/0!</v>
      </c>
      <c r="Z69" s="98"/>
      <c r="AA69" s="56"/>
    </row>
    <row r="70" spans="1:27">
      <c r="A70" s="61" t="s">
        <v>801</v>
      </c>
      <c r="B70" s="9">
        <v>66</v>
      </c>
      <c r="C70" s="70"/>
      <c r="D70" s="68">
        <f t="shared" ref="D70:D100" si="3">C70/800</f>
        <v>0</v>
      </c>
      <c r="E70" s="70"/>
      <c r="F70" s="70"/>
      <c r="G70" s="70"/>
      <c r="H70" s="70"/>
      <c r="I70" s="70"/>
      <c r="J70" s="70"/>
      <c r="K70" s="70"/>
      <c r="L70" s="18"/>
      <c r="M70" s="8"/>
      <c r="N70" s="8"/>
      <c r="O70" s="74"/>
      <c r="P70" s="74"/>
      <c r="Q70" s="74"/>
      <c r="R70" s="80" t="e">
        <f t="shared" ref="R70:R100" si="4">1500*P70/Q70</f>
        <v>#DIV/0!</v>
      </c>
      <c r="S70" s="83"/>
      <c r="T70" s="89"/>
      <c r="U70" s="83"/>
      <c r="V70" s="83"/>
      <c r="W70" s="93"/>
      <c r="X70" s="93"/>
      <c r="Y70" s="133" t="e">
        <f t="shared" ref="Y70:Y133" si="5">T70*X70/W70-X70</f>
        <v>#DIV/0!</v>
      </c>
      <c r="Z70" s="56"/>
      <c r="AA70" s="56"/>
    </row>
    <row r="71" spans="1:27">
      <c r="A71" s="61" t="s">
        <v>802</v>
      </c>
      <c r="B71" s="9">
        <v>67</v>
      </c>
      <c r="C71" s="70"/>
      <c r="D71" s="68">
        <f t="shared" si="3"/>
        <v>0</v>
      </c>
      <c r="E71" s="70"/>
      <c r="F71" s="70"/>
      <c r="G71" s="70"/>
      <c r="H71" s="70"/>
      <c r="I71" s="70"/>
      <c r="J71" s="70"/>
      <c r="K71" s="70"/>
      <c r="L71" s="18"/>
      <c r="M71" s="8"/>
      <c r="N71" s="8"/>
      <c r="O71" s="74"/>
      <c r="P71" s="74"/>
      <c r="Q71" s="74"/>
      <c r="R71" s="80" t="e">
        <f t="shared" si="4"/>
        <v>#DIV/0!</v>
      </c>
      <c r="S71" s="83"/>
      <c r="T71" s="89"/>
      <c r="U71" s="83"/>
      <c r="V71" s="83"/>
      <c r="W71" s="93"/>
      <c r="X71" s="93"/>
      <c r="Y71" s="133" t="e">
        <f t="shared" si="5"/>
        <v>#DIV/0!</v>
      </c>
      <c r="Z71" s="56"/>
      <c r="AA71" s="56"/>
    </row>
    <row r="72" spans="1:27">
      <c r="A72" s="61" t="s">
        <v>803</v>
      </c>
      <c r="B72" s="9">
        <v>68</v>
      </c>
      <c r="C72" s="70"/>
      <c r="D72" s="68">
        <f t="shared" si="3"/>
        <v>0</v>
      </c>
      <c r="E72" s="70"/>
      <c r="F72" s="70"/>
      <c r="G72" s="70"/>
      <c r="H72" s="70"/>
      <c r="I72" s="70"/>
      <c r="J72" s="70"/>
      <c r="K72" s="70"/>
      <c r="L72" s="18"/>
      <c r="M72" s="8"/>
      <c r="N72" s="8"/>
      <c r="O72" s="74"/>
      <c r="P72" s="74"/>
      <c r="Q72" s="74"/>
      <c r="R72" s="80" t="e">
        <f t="shared" si="4"/>
        <v>#DIV/0!</v>
      </c>
      <c r="S72" s="83"/>
      <c r="T72" s="89"/>
      <c r="U72" s="83"/>
      <c r="V72" s="83"/>
      <c r="W72" s="93"/>
      <c r="X72" s="93"/>
      <c r="Y72" s="133" t="e">
        <f t="shared" si="5"/>
        <v>#DIV/0!</v>
      </c>
      <c r="Z72" s="56"/>
      <c r="AA72" s="56"/>
    </row>
    <row r="73" spans="1:27">
      <c r="A73" s="61" t="s">
        <v>804</v>
      </c>
      <c r="B73" s="9">
        <v>69</v>
      </c>
      <c r="C73" s="70"/>
      <c r="D73" s="68">
        <f t="shared" si="3"/>
        <v>0</v>
      </c>
      <c r="E73" s="70"/>
      <c r="F73" s="70"/>
      <c r="G73" s="70"/>
      <c r="H73" s="70"/>
      <c r="I73" s="70"/>
      <c r="J73" s="70"/>
      <c r="K73" s="70"/>
      <c r="L73" s="18"/>
      <c r="M73" s="8"/>
      <c r="N73" s="8"/>
      <c r="O73" s="74"/>
      <c r="P73" s="74"/>
      <c r="Q73" s="74"/>
      <c r="R73" s="80" t="e">
        <f t="shared" si="4"/>
        <v>#DIV/0!</v>
      </c>
      <c r="S73" s="83"/>
      <c r="T73" s="89"/>
      <c r="U73" s="83"/>
      <c r="V73" s="83"/>
      <c r="W73" s="93"/>
      <c r="X73" s="93"/>
      <c r="Y73" s="133" t="e">
        <f t="shared" si="5"/>
        <v>#DIV/0!</v>
      </c>
      <c r="Z73" s="56"/>
      <c r="AA73" s="56"/>
    </row>
    <row r="74" spans="1:27">
      <c r="A74" s="61" t="s">
        <v>805</v>
      </c>
      <c r="B74" s="9">
        <v>70</v>
      </c>
      <c r="C74" s="70"/>
      <c r="D74" s="68">
        <f t="shared" si="3"/>
        <v>0</v>
      </c>
      <c r="E74" s="70"/>
      <c r="F74" s="70"/>
      <c r="G74" s="70"/>
      <c r="H74" s="70"/>
      <c r="I74" s="70"/>
      <c r="J74" s="70"/>
      <c r="K74" s="70"/>
      <c r="L74" s="18"/>
      <c r="M74" s="8"/>
      <c r="N74" s="8"/>
      <c r="O74" s="74"/>
      <c r="P74" s="74"/>
      <c r="Q74" s="74"/>
      <c r="R74" s="80" t="e">
        <f t="shared" si="4"/>
        <v>#DIV/0!</v>
      </c>
      <c r="S74" s="83"/>
      <c r="T74" s="89"/>
      <c r="U74" s="83"/>
      <c r="V74" s="83"/>
      <c r="W74" s="93"/>
      <c r="X74" s="93"/>
      <c r="Y74" s="133" t="e">
        <f t="shared" si="5"/>
        <v>#DIV/0!</v>
      </c>
      <c r="Z74" s="56"/>
      <c r="AA74" s="56"/>
    </row>
    <row r="75" spans="1:27">
      <c r="A75" s="61" t="s">
        <v>806</v>
      </c>
      <c r="B75" s="9">
        <v>71</v>
      </c>
      <c r="C75" s="70"/>
      <c r="D75" s="68">
        <f t="shared" si="3"/>
        <v>0</v>
      </c>
      <c r="E75" s="70"/>
      <c r="F75" s="70"/>
      <c r="G75" s="70"/>
      <c r="H75" s="70"/>
      <c r="I75" s="70"/>
      <c r="J75" s="70"/>
      <c r="K75" s="70"/>
      <c r="L75" s="18"/>
      <c r="M75" s="8"/>
      <c r="N75" s="8"/>
      <c r="O75" s="74"/>
      <c r="P75" s="74"/>
      <c r="Q75" s="74"/>
      <c r="R75" s="80" t="e">
        <f t="shared" si="4"/>
        <v>#DIV/0!</v>
      </c>
      <c r="S75" s="83"/>
      <c r="T75" s="89"/>
      <c r="U75" s="83"/>
      <c r="V75" s="83"/>
      <c r="W75" s="93"/>
      <c r="X75" s="93"/>
      <c r="Y75" s="133" t="e">
        <f t="shared" si="5"/>
        <v>#DIV/0!</v>
      </c>
      <c r="Z75" s="56"/>
      <c r="AA75" s="56"/>
    </row>
    <row r="76" spans="1:27">
      <c r="A76" s="61" t="s">
        <v>807</v>
      </c>
      <c r="B76" s="9">
        <v>72</v>
      </c>
      <c r="C76" s="70"/>
      <c r="D76" s="68">
        <f t="shared" si="3"/>
        <v>0</v>
      </c>
      <c r="E76" s="70"/>
      <c r="F76" s="70"/>
      <c r="G76" s="70"/>
      <c r="H76" s="70"/>
      <c r="I76" s="70"/>
      <c r="J76" s="70"/>
      <c r="K76" s="70"/>
      <c r="L76" s="18"/>
      <c r="M76" s="8"/>
      <c r="N76" s="8"/>
      <c r="O76" s="74"/>
      <c r="P76" s="74"/>
      <c r="Q76" s="74"/>
      <c r="R76" s="80" t="e">
        <f t="shared" si="4"/>
        <v>#DIV/0!</v>
      </c>
      <c r="S76" s="83"/>
      <c r="T76" s="89"/>
      <c r="U76" s="83"/>
      <c r="V76" s="83"/>
      <c r="W76" s="93"/>
      <c r="X76" s="93"/>
      <c r="Y76" s="133" t="e">
        <f t="shared" si="5"/>
        <v>#DIV/0!</v>
      </c>
      <c r="Z76" s="56"/>
      <c r="AA76" s="56"/>
    </row>
    <row r="77" spans="1:27">
      <c r="A77" s="60" t="s">
        <v>233</v>
      </c>
      <c r="B77" s="9">
        <v>73</v>
      </c>
      <c r="C77" s="68"/>
      <c r="D77" s="68">
        <f t="shared" si="3"/>
        <v>0</v>
      </c>
      <c r="E77" s="68"/>
      <c r="F77" s="68"/>
      <c r="G77" s="68"/>
      <c r="H77" s="68"/>
      <c r="I77" s="68"/>
      <c r="J77" s="68"/>
      <c r="K77" s="68"/>
      <c r="L77" s="9"/>
      <c r="M77" s="8"/>
      <c r="N77" s="8"/>
      <c r="O77" s="74"/>
      <c r="P77" s="74"/>
      <c r="Q77" s="74"/>
      <c r="R77" s="80" t="e">
        <f t="shared" si="4"/>
        <v>#DIV/0!</v>
      </c>
      <c r="S77" s="83"/>
      <c r="T77" s="89"/>
      <c r="U77" s="83"/>
      <c r="V77" s="83"/>
      <c r="W77" s="93"/>
      <c r="X77" s="93"/>
      <c r="Y77" s="133" t="e">
        <f t="shared" si="5"/>
        <v>#DIV/0!</v>
      </c>
      <c r="Z77" s="56"/>
      <c r="AA77" s="56"/>
    </row>
    <row r="78" spans="1:27">
      <c r="A78" s="60" t="s">
        <v>234</v>
      </c>
      <c r="B78" s="9">
        <v>74</v>
      </c>
      <c r="C78" s="68"/>
      <c r="D78" s="68">
        <f t="shared" si="3"/>
        <v>0</v>
      </c>
      <c r="E78" s="68"/>
      <c r="F78" s="68"/>
      <c r="G78" s="68"/>
      <c r="H78" s="68"/>
      <c r="I78" s="68"/>
      <c r="J78" s="68"/>
      <c r="K78" s="68"/>
      <c r="L78" s="9"/>
      <c r="M78" s="8"/>
      <c r="N78" s="8"/>
      <c r="O78" s="74"/>
      <c r="P78" s="74"/>
      <c r="Q78" s="74"/>
      <c r="R78" s="80" t="e">
        <f t="shared" si="4"/>
        <v>#DIV/0!</v>
      </c>
      <c r="S78" s="83"/>
      <c r="T78" s="89"/>
      <c r="U78" s="83"/>
      <c r="V78" s="83"/>
      <c r="W78" s="93"/>
      <c r="X78" s="93"/>
      <c r="Y78" s="133" t="e">
        <f t="shared" si="5"/>
        <v>#DIV/0!</v>
      </c>
      <c r="Z78" s="56"/>
      <c r="AA78" s="56"/>
    </row>
    <row r="79" spans="1:27">
      <c r="A79" s="60" t="s">
        <v>235</v>
      </c>
      <c r="B79" s="9">
        <v>75</v>
      </c>
      <c r="C79" s="68"/>
      <c r="D79" s="68">
        <f t="shared" si="3"/>
        <v>0</v>
      </c>
      <c r="E79" s="68"/>
      <c r="F79" s="68"/>
      <c r="G79" s="68"/>
      <c r="H79" s="68"/>
      <c r="I79" s="68"/>
      <c r="J79" s="68"/>
      <c r="K79" s="68"/>
      <c r="L79" s="9"/>
      <c r="M79" s="8"/>
      <c r="N79" s="8"/>
      <c r="O79" s="74"/>
      <c r="P79" s="74"/>
      <c r="Q79" s="74"/>
      <c r="R79" s="80" t="e">
        <f t="shared" si="4"/>
        <v>#DIV/0!</v>
      </c>
      <c r="S79" s="83"/>
      <c r="T79" s="89"/>
      <c r="U79" s="83"/>
      <c r="V79" s="83"/>
      <c r="W79" s="93"/>
      <c r="X79" s="93"/>
      <c r="Y79" s="133" t="e">
        <f t="shared" si="5"/>
        <v>#DIV/0!</v>
      </c>
      <c r="Z79" s="56"/>
      <c r="AA79" s="56"/>
    </row>
    <row r="80" spans="1:27">
      <c r="A80" s="60" t="s">
        <v>236</v>
      </c>
      <c r="B80" s="9">
        <v>76</v>
      </c>
      <c r="C80" s="68"/>
      <c r="D80" s="68">
        <f t="shared" si="3"/>
        <v>0</v>
      </c>
      <c r="E80" s="68"/>
      <c r="F80" s="68"/>
      <c r="G80" s="68"/>
      <c r="H80" s="68"/>
      <c r="I80" s="68"/>
      <c r="J80" s="68"/>
      <c r="K80" s="68"/>
      <c r="L80" s="9"/>
      <c r="M80" s="8"/>
      <c r="N80" s="8"/>
      <c r="O80" s="74"/>
      <c r="P80" s="74"/>
      <c r="Q80" s="74"/>
      <c r="R80" s="80" t="e">
        <f t="shared" si="4"/>
        <v>#DIV/0!</v>
      </c>
      <c r="S80" s="83"/>
      <c r="T80" s="89"/>
      <c r="U80" s="83"/>
      <c r="V80" s="83"/>
      <c r="W80" s="93"/>
      <c r="X80" s="93"/>
      <c r="Y80" s="133" t="e">
        <f t="shared" si="5"/>
        <v>#DIV/0!</v>
      </c>
      <c r="Z80" s="56"/>
      <c r="AA80" s="56"/>
    </row>
    <row r="81" spans="1:27">
      <c r="A81" s="60" t="s">
        <v>237</v>
      </c>
      <c r="B81" s="9">
        <v>77</v>
      </c>
      <c r="C81" s="68"/>
      <c r="D81" s="68">
        <f t="shared" si="3"/>
        <v>0</v>
      </c>
      <c r="E81" s="68"/>
      <c r="F81" s="68"/>
      <c r="G81" s="68"/>
      <c r="H81" s="68"/>
      <c r="I81" s="68"/>
      <c r="J81" s="68"/>
      <c r="K81" s="68"/>
      <c r="L81" s="9"/>
      <c r="M81" s="8"/>
      <c r="N81" s="8"/>
      <c r="O81" s="74"/>
      <c r="P81" s="74"/>
      <c r="Q81" s="74"/>
      <c r="R81" s="80" t="e">
        <f t="shared" si="4"/>
        <v>#DIV/0!</v>
      </c>
      <c r="S81" s="83"/>
      <c r="T81" s="89"/>
      <c r="U81" s="83"/>
      <c r="V81" s="83"/>
      <c r="W81" s="93"/>
      <c r="X81" s="93"/>
      <c r="Y81" s="133" t="e">
        <f t="shared" si="5"/>
        <v>#DIV/0!</v>
      </c>
      <c r="Z81" s="56"/>
      <c r="AA81" s="56"/>
    </row>
    <row r="82" spans="1:27">
      <c r="A82" s="60" t="s">
        <v>238</v>
      </c>
      <c r="B82" s="9">
        <v>78</v>
      </c>
      <c r="C82" s="68"/>
      <c r="D82" s="68">
        <f t="shared" si="3"/>
        <v>0</v>
      </c>
      <c r="E82" s="68"/>
      <c r="F82" s="68"/>
      <c r="G82" s="68"/>
      <c r="H82" s="68"/>
      <c r="I82" s="68"/>
      <c r="J82" s="68"/>
      <c r="K82" s="68"/>
      <c r="L82" s="9"/>
      <c r="M82" s="8"/>
      <c r="N82" s="8"/>
      <c r="O82" s="74"/>
      <c r="P82" s="74"/>
      <c r="Q82" s="74"/>
      <c r="R82" s="80" t="e">
        <f t="shared" si="4"/>
        <v>#DIV/0!</v>
      </c>
      <c r="S82" s="83"/>
      <c r="T82" s="89"/>
      <c r="U82" s="83"/>
      <c r="V82" s="83"/>
      <c r="W82" s="93"/>
      <c r="X82" s="93"/>
      <c r="Y82" s="133" t="e">
        <f t="shared" si="5"/>
        <v>#DIV/0!</v>
      </c>
      <c r="Z82" s="56"/>
      <c r="AA82" s="56"/>
    </row>
    <row r="83" spans="1:27">
      <c r="A83" s="60" t="s">
        <v>239</v>
      </c>
      <c r="B83" s="9">
        <v>79</v>
      </c>
      <c r="C83" s="68"/>
      <c r="D83" s="68">
        <f t="shared" si="3"/>
        <v>0</v>
      </c>
      <c r="E83" s="68"/>
      <c r="F83" s="68"/>
      <c r="G83" s="68"/>
      <c r="H83" s="68"/>
      <c r="I83" s="68"/>
      <c r="J83" s="68"/>
      <c r="K83" s="68"/>
      <c r="L83" s="9"/>
      <c r="M83" s="8"/>
      <c r="N83" s="8"/>
      <c r="O83" s="74"/>
      <c r="P83" s="74"/>
      <c r="Q83" s="74"/>
      <c r="R83" s="80" t="e">
        <f t="shared" si="4"/>
        <v>#DIV/0!</v>
      </c>
      <c r="S83" s="83"/>
      <c r="T83" s="89"/>
      <c r="U83" s="83"/>
      <c r="V83" s="83"/>
      <c r="W83" s="93"/>
      <c r="X83" s="93"/>
      <c r="Y83" s="133" t="e">
        <f t="shared" si="5"/>
        <v>#DIV/0!</v>
      </c>
      <c r="Z83" s="56"/>
      <c r="AA83" s="56"/>
    </row>
    <row r="84" spans="1:27">
      <c r="A84" s="60" t="s">
        <v>240</v>
      </c>
      <c r="B84" s="9">
        <v>80</v>
      </c>
      <c r="C84" s="68"/>
      <c r="D84" s="68">
        <f t="shared" si="3"/>
        <v>0</v>
      </c>
      <c r="E84" s="68"/>
      <c r="F84" s="68"/>
      <c r="G84" s="68"/>
      <c r="H84" s="68"/>
      <c r="I84" s="68"/>
      <c r="J84" s="68"/>
      <c r="K84" s="68"/>
      <c r="L84" s="9"/>
      <c r="M84" s="8"/>
      <c r="N84" s="8"/>
      <c r="O84" s="74"/>
      <c r="P84" s="74"/>
      <c r="Q84" s="74"/>
      <c r="R84" s="80" t="e">
        <f t="shared" si="4"/>
        <v>#DIV/0!</v>
      </c>
      <c r="S84" s="83"/>
      <c r="T84" s="89"/>
      <c r="U84" s="83"/>
      <c r="V84" s="83"/>
      <c r="W84" s="93"/>
      <c r="X84" s="93"/>
      <c r="Y84" s="133" t="e">
        <f t="shared" si="5"/>
        <v>#DIV/0!</v>
      </c>
      <c r="Z84" s="56"/>
      <c r="AA84" s="56"/>
    </row>
    <row r="85" spans="1:27">
      <c r="A85" s="60" t="s">
        <v>241</v>
      </c>
      <c r="B85" s="9">
        <v>81</v>
      </c>
      <c r="C85" s="68"/>
      <c r="D85" s="68">
        <f t="shared" si="3"/>
        <v>0</v>
      </c>
      <c r="E85" s="68"/>
      <c r="F85" s="68"/>
      <c r="G85" s="68"/>
      <c r="H85" s="68"/>
      <c r="I85" s="68"/>
      <c r="J85" s="68"/>
      <c r="K85" s="68"/>
      <c r="L85" s="9"/>
      <c r="M85" s="8"/>
      <c r="N85" s="8"/>
      <c r="O85" s="74"/>
      <c r="P85" s="74"/>
      <c r="Q85" s="74"/>
      <c r="R85" s="80" t="e">
        <f t="shared" si="4"/>
        <v>#DIV/0!</v>
      </c>
      <c r="S85" s="83"/>
      <c r="T85" s="89"/>
      <c r="U85" s="83"/>
      <c r="V85" s="83"/>
      <c r="W85" s="93"/>
      <c r="X85" s="93"/>
      <c r="Y85" s="133" t="e">
        <f t="shared" si="5"/>
        <v>#DIV/0!</v>
      </c>
      <c r="Z85" s="56"/>
      <c r="AA85" s="56"/>
    </row>
    <row r="86" spans="1:27">
      <c r="A86" s="60" t="s">
        <v>242</v>
      </c>
      <c r="B86" s="9">
        <v>82</v>
      </c>
      <c r="C86" s="68"/>
      <c r="D86" s="68">
        <f t="shared" si="3"/>
        <v>0</v>
      </c>
      <c r="E86" s="68"/>
      <c r="F86" s="68"/>
      <c r="G86" s="68"/>
      <c r="H86" s="68"/>
      <c r="I86" s="68"/>
      <c r="J86" s="68"/>
      <c r="K86" s="68"/>
      <c r="L86" s="9"/>
      <c r="M86" s="8"/>
      <c r="N86" s="8"/>
      <c r="O86" s="74"/>
      <c r="P86" s="74"/>
      <c r="Q86" s="74"/>
      <c r="R86" s="80" t="e">
        <f t="shared" si="4"/>
        <v>#DIV/0!</v>
      </c>
      <c r="S86" s="83"/>
      <c r="T86" s="89"/>
      <c r="U86" s="83"/>
      <c r="V86" s="83"/>
      <c r="W86" s="93"/>
      <c r="X86" s="93"/>
      <c r="Y86" s="133" t="e">
        <f t="shared" si="5"/>
        <v>#DIV/0!</v>
      </c>
      <c r="Z86" s="56"/>
      <c r="AA86" s="56"/>
    </row>
    <row r="87" spans="1:27">
      <c r="A87" s="60" t="s">
        <v>243</v>
      </c>
      <c r="B87" s="9">
        <v>83</v>
      </c>
      <c r="C87" s="68"/>
      <c r="D87" s="68">
        <f t="shared" si="3"/>
        <v>0</v>
      </c>
      <c r="E87" s="68"/>
      <c r="F87" s="68"/>
      <c r="G87" s="68"/>
      <c r="H87" s="68"/>
      <c r="I87" s="68"/>
      <c r="J87" s="68"/>
      <c r="K87" s="68"/>
      <c r="L87" s="9"/>
      <c r="M87" s="8"/>
      <c r="N87" s="8"/>
      <c r="O87" s="74"/>
      <c r="P87" s="74"/>
      <c r="Q87" s="74"/>
      <c r="R87" s="80" t="e">
        <f t="shared" si="4"/>
        <v>#DIV/0!</v>
      </c>
      <c r="S87" s="83"/>
      <c r="T87" s="89"/>
      <c r="U87" s="83"/>
      <c r="V87" s="83"/>
      <c r="W87" s="93"/>
      <c r="X87" s="93"/>
      <c r="Y87" s="133" t="e">
        <f t="shared" si="5"/>
        <v>#DIV/0!</v>
      </c>
      <c r="Z87" s="56"/>
      <c r="AA87" s="56"/>
    </row>
    <row r="88" spans="1:27">
      <c r="A88" s="60" t="s">
        <v>244</v>
      </c>
      <c r="B88" s="9">
        <v>84</v>
      </c>
      <c r="C88" s="68"/>
      <c r="D88" s="68">
        <f t="shared" si="3"/>
        <v>0</v>
      </c>
      <c r="E88" s="68"/>
      <c r="F88" s="68"/>
      <c r="G88" s="68"/>
      <c r="H88" s="68"/>
      <c r="I88" s="68"/>
      <c r="J88" s="68"/>
      <c r="K88" s="68"/>
      <c r="L88" s="9"/>
      <c r="M88" s="8"/>
      <c r="N88" s="8"/>
      <c r="O88" s="74"/>
      <c r="P88" s="74"/>
      <c r="Q88" s="74"/>
      <c r="R88" s="80" t="e">
        <f t="shared" si="4"/>
        <v>#DIV/0!</v>
      </c>
      <c r="S88" s="83"/>
      <c r="T88" s="89"/>
      <c r="U88" s="83"/>
      <c r="V88" s="83"/>
      <c r="W88" s="93"/>
      <c r="X88" s="93"/>
      <c r="Y88" s="133" t="e">
        <f t="shared" si="5"/>
        <v>#DIV/0!</v>
      </c>
      <c r="Z88" s="56"/>
      <c r="AA88" s="56"/>
    </row>
    <row r="89" spans="1:27">
      <c r="A89" s="60" t="s">
        <v>245</v>
      </c>
      <c r="B89" s="9">
        <v>85</v>
      </c>
      <c r="C89" s="68"/>
      <c r="D89" s="68">
        <f t="shared" si="3"/>
        <v>0</v>
      </c>
      <c r="E89" s="68"/>
      <c r="F89" s="68"/>
      <c r="G89" s="68"/>
      <c r="H89" s="68"/>
      <c r="I89" s="68"/>
      <c r="J89" s="68"/>
      <c r="K89" s="68"/>
      <c r="L89" s="9"/>
      <c r="M89" s="8"/>
      <c r="N89" s="8"/>
      <c r="O89" s="74"/>
      <c r="P89" s="74"/>
      <c r="Q89" s="74"/>
      <c r="R89" s="80" t="e">
        <f t="shared" si="4"/>
        <v>#DIV/0!</v>
      </c>
      <c r="S89" s="83"/>
      <c r="T89" s="89"/>
      <c r="U89" s="83"/>
      <c r="V89" s="83"/>
      <c r="W89" s="93"/>
      <c r="X89" s="93"/>
      <c r="Y89" s="133" t="e">
        <f t="shared" si="5"/>
        <v>#DIV/0!</v>
      </c>
      <c r="Z89" s="56"/>
      <c r="AA89" s="56"/>
    </row>
    <row r="90" spans="1:27">
      <c r="A90" s="60" t="s">
        <v>246</v>
      </c>
      <c r="B90" s="9">
        <v>86</v>
      </c>
      <c r="C90" s="68"/>
      <c r="D90" s="68">
        <f t="shared" si="3"/>
        <v>0</v>
      </c>
      <c r="E90" s="68"/>
      <c r="F90" s="68"/>
      <c r="G90" s="68"/>
      <c r="H90" s="68"/>
      <c r="I90" s="68"/>
      <c r="J90" s="68"/>
      <c r="K90" s="68"/>
      <c r="L90" s="9"/>
      <c r="M90" s="8"/>
      <c r="N90" s="8"/>
      <c r="O90" s="74"/>
      <c r="P90" s="74"/>
      <c r="Q90" s="74"/>
      <c r="R90" s="80" t="e">
        <f t="shared" si="4"/>
        <v>#DIV/0!</v>
      </c>
      <c r="S90" s="83"/>
      <c r="T90" s="89"/>
      <c r="U90" s="83"/>
      <c r="V90" s="83"/>
      <c r="W90" s="93"/>
      <c r="X90" s="93"/>
      <c r="Y90" s="133" t="e">
        <f t="shared" si="5"/>
        <v>#DIV/0!</v>
      </c>
      <c r="Z90" s="56"/>
      <c r="AA90" s="56"/>
    </row>
    <row r="91" spans="1:27">
      <c r="A91" s="60" t="s">
        <v>247</v>
      </c>
      <c r="B91" s="9">
        <v>87</v>
      </c>
      <c r="C91" s="68"/>
      <c r="D91" s="68">
        <f t="shared" si="3"/>
        <v>0</v>
      </c>
      <c r="E91" s="68"/>
      <c r="F91" s="68"/>
      <c r="G91" s="68"/>
      <c r="H91" s="68"/>
      <c r="I91" s="68"/>
      <c r="J91" s="68"/>
      <c r="K91" s="68"/>
      <c r="L91" s="9"/>
      <c r="M91" s="8"/>
      <c r="N91" s="8"/>
      <c r="O91" s="74"/>
      <c r="P91" s="74"/>
      <c r="Q91" s="74"/>
      <c r="R91" s="80" t="e">
        <f t="shared" si="4"/>
        <v>#DIV/0!</v>
      </c>
      <c r="S91" s="83"/>
      <c r="T91" s="89"/>
      <c r="U91" s="83"/>
      <c r="V91" s="83"/>
      <c r="W91" s="93"/>
      <c r="X91" s="93"/>
      <c r="Y91" s="133" t="e">
        <f t="shared" si="5"/>
        <v>#DIV/0!</v>
      </c>
      <c r="Z91" s="56"/>
      <c r="AA91" s="56"/>
    </row>
    <row r="92" spans="1:27">
      <c r="A92" s="60" t="s">
        <v>248</v>
      </c>
      <c r="B92" s="9">
        <v>88</v>
      </c>
      <c r="C92" s="68"/>
      <c r="D92" s="68">
        <f t="shared" si="3"/>
        <v>0</v>
      </c>
      <c r="E92" s="68"/>
      <c r="F92" s="68"/>
      <c r="G92" s="68"/>
      <c r="H92" s="68"/>
      <c r="I92" s="68"/>
      <c r="J92" s="68"/>
      <c r="K92" s="68"/>
      <c r="L92" s="9"/>
      <c r="M92" s="8"/>
      <c r="N92" s="8"/>
      <c r="O92" s="74"/>
      <c r="P92" s="74"/>
      <c r="Q92" s="74"/>
      <c r="R92" s="80" t="e">
        <f t="shared" si="4"/>
        <v>#DIV/0!</v>
      </c>
      <c r="S92" s="83"/>
      <c r="T92" s="89"/>
      <c r="U92" s="83"/>
      <c r="V92" s="83"/>
      <c r="W92" s="93"/>
      <c r="X92" s="93"/>
      <c r="Y92" s="133" t="e">
        <f t="shared" si="5"/>
        <v>#DIV/0!</v>
      </c>
      <c r="Z92" s="56"/>
      <c r="AA92" s="56"/>
    </row>
    <row r="93" spans="1:27">
      <c r="A93" s="60" t="s">
        <v>249</v>
      </c>
      <c r="B93" s="9">
        <v>89</v>
      </c>
      <c r="C93" s="68"/>
      <c r="D93" s="68">
        <f t="shared" si="3"/>
        <v>0</v>
      </c>
      <c r="E93" s="68"/>
      <c r="F93" s="68"/>
      <c r="G93" s="68"/>
      <c r="H93" s="68"/>
      <c r="I93" s="68"/>
      <c r="J93" s="68"/>
      <c r="K93" s="68"/>
      <c r="L93" s="9"/>
      <c r="M93" s="8"/>
      <c r="N93" s="8"/>
      <c r="O93" s="74"/>
      <c r="P93" s="74"/>
      <c r="Q93" s="74"/>
      <c r="R93" s="80" t="e">
        <f t="shared" si="4"/>
        <v>#DIV/0!</v>
      </c>
      <c r="S93" s="83"/>
      <c r="T93" s="89"/>
      <c r="U93" s="83"/>
      <c r="V93" s="83"/>
      <c r="W93" s="93"/>
      <c r="X93" s="93"/>
      <c r="Y93" s="133" t="e">
        <f t="shared" si="5"/>
        <v>#DIV/0!</v>
      </c>
      <c r="Z93" s="56"/>
      <c r="AA93" s="56"/>
    </row>
    <row r="94" spans="1:27">
      <c r="A94" s="60" t="s">
        <v>250</v>
      </c>
      <c r="B94" s="9">
        <v>90</v>
      </c>
      <c r="C94" s="68"/>
      <c r="D94" s="68">
        <f t="shared" si="3"/>
        <v>0</v>
      </c>
      <c r="E94" s="68"/>
      <c r="F94" s="68"/>
      <c r="G94" s="68"/>
      <c r="H94" s="68"/>
      <c r="I94" s="68"/>
      <c r="J94" s="68"/>
      <c r="K94" s="68"/>
      <c r="L94" s="9"/>
      <c r="M94" s="8"/>
      <c r="N94" s="8"/>
      <c r="O94" s="74"/>
      <c r="P94" s="74"/>
      <c r="Q94" s="74"/>
      <c r="R94" s="80" t="e">
        <f t="shared" si="4"/>
        <v>#DIV/0!</v>
      </c>
      <c r="S94" s="83"/>
      <c r="T94" s="89"/>
      <c r="U94" s="83"/>
      <c r="V94" s="83"/>
      <c r="W94" s="93"/>
      <c r="X94" s="93"/>
      <c r="Y94" s="133" t="e">
        <f t="shared" si="5"/>
        <v>#DIV/0!</v>
      </c>
      <c r="Z94" s="56"/>
      <c r="AA94" s="56"/>
    </row>
    <row r="95" spans="1:27">
      <c r="A95" s="60" t="s">
        <v>251</v>
      </c>
      <c r="B95" s="9">
        <v>91</v>
      </c>
      <c r="C95" s="68"/>
      <c r="D95" s="68">
        <f t="shared" si="3"/>
        <v>0</v>
      </c>
      <c r="E95" s="68"/>
      <c r="F95" s="68"/>
      <c r="G95" s="68"/>
      <c r="H95" s="68"/>
      <c r="I95" s="68"/>
      <c r="J95" s="68"/>
      <c r="K95" s="68"/>
      <c r="L95" s="9"/>
      <c r="M95" s="8"/>
      <c r="N95" s="8"/>
      <c r="O95" s="74"/>
      <c r="P95" s="74"/>
      <c r="Q95" s="74"/>
      <c r="R95" s="80" t="e">
        <f t="shared" si="4"/>
        <v>#DIV/0!</v>
      </c>
      <c r="S95" s="83"/>
      <c r="T95" s="89"/>
      <c r="U95" s="83"/>
      <c r="V95" s="83"/>
      <c r="W95" s="93"/>
      <c r="X95" s="93"/>
      <c r="Y95" s="133" t="e">
        <f t="shared" si="5"/>
        <v>#DIV/0!</v>
      </c>
      <c r="Z95" s="56"/>
      <c r="AA95" s="56"/>
    </row>
    <row r="96" spans="1:27">
      <c r="A96" s="60" t="s">
        <v>252</v>
      </c>
      <c r="B96" s="9">
        <v>92</v>
      </c>
      <c r="C96" s="68"/>
      <c r="D96" s="68">
        <f t="shared" si="3"/>
        <v>0</v>
      </c>
      <c r="E96" s="68"/>
      <c r="F96" s="68"/>
      <c r="G96" s="68"/>
      <c r="H96" s="68"/>
      <c r="I96" s="68"/>
      <c r="J96" s="68"/>
      <c r="K96" s="68"/>
      <c r="L96" s="9"/>
      <c r="M96" s="8"/>
      <c r="N96" s="8"/>
      <c r="O96" s="74"/>
      <c r="P96" s="74"/>
      <c r="Q96" s="74"/>
      <c r="R96" s="80" t="e">
        <f t="shared" si="4"/>
        <v>#DIV/0!</v>
      </c>
      <c r="S96" s="83"/>
      <c r="T96" s="89"/>
      <c r="U96" s="83"/>
      <c r="V96" s="83"/>
      <c r="W96" s="93"/>
      <c r="X96" s="93"/>
      <c r="Y96" s="133" t="e">
        <f t="shared" si="5"/>
        <v>#DIV/0!</v>
      </c>
      <c r="Z96" s="56"/>
      <c r="AA96" s="56"/>
    </row>
    <row r="97" spans="1:31">
      <c r="A97" s="60" t="s">
        <v>253</v>
      </c>
      <c r="B97" s="9">
        <v>93</v>
      </c>
      <c r="C97" s="68"/>
      <c r="D97" s="68">
        <f t="shared" si="3"/>
        <v>0</v>
      </c>
      <c r="E97" s="68"/>
      <c r="F97" s="68"/>
      <c r="G97" s="68"/>
      <c r="H97" s="68"/>
      <c r="I97" s="68"/>
      <c r="J97" s="68"/>
      <c r="K97" s="68"/>
      <c r="L97" s="9"/>
      <c r="M97" s="8"/>
      <c r="N97" s="8"/>
      <c r="O97" s="74"/>
      <c r="P97" s="74"/>
      <c r="Q97" s="74"/>
      <c r="R97" s="80" t="e">
        <f t="shared" si="4"/>
        <v>#DIV/0!</v>
      </c>
      <c r="S97" s="83"/>
      <c r="T97" s="89"/>
      <c r="U97" s="83"/>
      <c r="V97" s="83"/>
      <c r="W97" s="93"/>
      <c r="X97" s="93"/>
      <c r="Y97" s="133" t="e">
        <f t="shared" si="5"/>
        <v>#DIV/0!</v>
      </c>
      <c r="Z97" s="56"/>
      <c r="AA97" s="56"/>
    </row>
    <row r="98" spans="1:31">
      <c r="A98" s="60" t="s">
        <v>254</v>
      </c>
      <c r="B98" s="9">
        <v>94</v>
      </c>
      <c r="C98" s="68"/>
      <c r="D98" s="68">
        <f t="shared" si="3"/>
        <v>0</v>
      </c>
      <c r="E98" s="68"/>
      <c r="F98" s="68"/>
      <c r="G98" s="68"/>
      <c r="H98" s="68"/>
      <c r="I98" s="68"/>
      <c r="J98" s="68"/>
      <c r="K98" s="68"/>
      <c r="L98" s="9"/>
      <c r="M98" s="8"/>
      <c r="N98" s="8"/>
      <c r="O98" s="74"/>
      <c r="P98" s="74"/>
      <c r="Q98" s="74"/>
      <c r="R98" s="80" t="e">
        <f t="shared" si="4"/>
        <v>#DIV/0!</v>
      </c>
      <c r="S98" s="83"/>
      <c r="T98" s="89"/>
      <c r="U98" s="83"/>
      <c r="V98" s="83"/>
      <c r="W98" s="93"/>
      <c r="X98" s="93"/>
      <c r="Y98" s="133" t="e">
        <f t="shared" si="5"/>
        <v>#DIV/0!</v>
      </c>
      <c r="Z98" s="56"/>
      <c r="AA98" s="56"/>
    </row>
    <row r="99" spans="1:31">
      <c r="A99" s="60" t="s">
        <v>255</v>
      </c>
      <c r="B99" s="9">
        <v>95</v>
      </c>
      <c r="C99" s="68"/>
      <c r="D99" s="68">
        <f t="shared" si="3"/>
        <v>0</v>
      </c>
      <c r="E99" s="68"/>
      <c r="F99" s="68"/>
      <c r="G99" s="68"/>
      <c r="H99" s="68"/>
      <c r="I99" s="68"/>
      <c r="J99" s="68"/>
      <c r="K99" s="68"/>
      <c r="L99" s="9"/>
      <c r="M99" s="8"/>
      <c r="N99" s="8"/>
      <c r="O99" s="74"/>
      <c r="P99" s="74"/>
      <c r="Q99" s="74"/>
      <c r="R99" s="80" t="e">
        <f t="shared" si="4"/>
        <v>#DIV/0!</v>
      </c>
      <c r="S99" s="83"/>
      <c r="T99" s="89"/>
      <c r="U99" s="83"/>
      <c r="V99" s="83"/>
      <c r="W99" s="93"/>
      <c r="X99" s="93"/>
      <c r="Y99" s="133" t="e">
        <f t="shared" si="5"/>
        <v>#DIV/0!</v>
      </c>
      <c r="Z99" s="56"/>
      <c r="AA99" s="56"/>
    </row>
    <row r="100" spans="1:31" ht="15.75" thickBot="1">
      <c r="A100" s="60" t="s">
        <v>256</v>
      </c>
      <c r="B100" s="9">
        <v>96</v>
      </c>
      <c r="C100" s="68"/>
      <c r="D100" s="68">
        <f t="shared" si="3"/>
        <v>0</v>
      </c>
      <c r="E100" s="68"/>
      <c r="F100" s="68"/>
      <c r="G100" s="68"/>
      <c r="H100" s="68"/>
      <c r="I100" s="68"/>
      <c r="J100" s="68"/>
      <c r="K100" s="68"/>
      <c r="L100" s="9"/>
      <c r="M100" s="8"/>
      <c r="N100" s="8"/>
      <c r="O100" s="74"/>
      <c r="P100" s="74"/>
      <c r="Q100" s="74"/>
      <c r="R100" s="80" t="e">
        <f t="shared" si="4"/>
        <v>#DIV/0!</v>
      </c>
      <c r="S100" s="83"/>
      <c r="T100" s="89"/>
      <c r="U100" s="83"/>
      <c r="V100" s="83"/>
      <c r="W100" s="93"/>
      <c r="X100" s="93"/>
      <c r="Y100" s="133" t="e">
        <f t="shared" si="5"/>
        <v>#DIV/0!</v>
      </c>
      <c r="Z100" s="56"/>
      <c r="AA100" s="56"/>
    </row>
    <row r="101" spans="1:31" ht="19.5" thickBot="1">
      <c r="A101" s="60" t="s">
        <v>736</v>
      </c>
      <c r="B101" s="9">
        <v>97</v>
      </c>
      <c r="C101" s="68"/>
      <c r="D101" s="68">
        <f>C101/800</f>
        <v>0</v>
      </c>
      <c r="E101" s="68"/>
      <c r="F101" s="68"/>
      <c r="G101" s="68"/>
      <c r="H101" s="68"/>
      <c r="I101" s="68"/>
      <c r="J101" s="68"/>
      <c r="K101" s="68"/>
      <c r="L101" s="9"/>
      <c r="M101" s="8"/>
      <c r="N101" s="8"/>
      <c r="O101" s="74"/>
      <c r="P101" s="74"/>
      <c r="Q101" s="75"/>
      <c r="R101" s="80" t="e">
        <f>1500*P101/Q101</f>
        <v>#DIV/0!</v>
      </c>
      <c r="S101" s="81"/>
      <c r="T101" s="87"/>
      <c r="U101" s="81"/>
      <c r="V101" s="81"/>
      <c r="W101" s="93"/>
      <c r="X101" s="93"/>
      <c r="Y101" s="133" t="e">
        <f t="shared" si="5"/>
        <v>#DIV/0!</v>
      </c>
      <c r="Z101" s="95"/>
      <c r="AA101" s="54"/>
      <c r="AB101" s="59" t="s">
        <v>550</v>
      </c>
      <c r="AC101" s="30" t="s">
        <v>294</v>
      </c>
      <c r="AD101" s="31"/>
      <c r="AE101" s="32"/>
    </row>
    <row r="102" spans="1:31" ht="19.5" thickBot="1">
      <c r="A102" s="60" t="s">
        <v>737</v>
      </c>
      <c r="B102" s="9">
        <v>98</v>
      </c>
      <c r="C102" s="68"/>
      <c r="D102" s="68">
        <f t="shared" ref="D102:D165" si="6">C102/800</f>
        <v>0</v>
      </c>
      <c r="E102" s="68"/>
      <c r="F102" s="68"/>
      <c r="G102" s="68"/>
      <c r="H102" s="68"/>
      <c r="I102" s="68"/>
      <c r="J102" s="68"/>
      <c r="K102" s="68"/>
      <c r="L102" s="9"/>
      <c r="M102" s="8"/>
      <c r="N102" s="8"/>
      <c r="O102" s="74"/>
      <c r="P102" s="74"/>
      <c r="Q102" s="75"/>
      <c r="R102" s="80" t="e">
        <f t="shared" ref="R102:R110" si="7">1500*P102/Q102</f>
        <v>#DIV/0!</v>
      </c>
      <c r="S102" s="81"/>
      <c r="T102" s="87"/>
      <c r="U102" s="81"/>
      <c r="V102" s="81"/>
      <c r="W102" s="93"/>
      <c r="X102" s="93"/>
      <c r="Y102" s="133" t="e">
        <f t="shared" si="5"/>
        <v>#DIV/0!</v>
      </c>
      <c r="Z102" s="95"/>
      <c r="AA102" s="56"/>
      <c r="AB102" s="59" t="s">
        <v>554</v>
      </c>
      <c r="AC102" s="33" t="s">
        <v>295</v>
      </c>
      <c r="AD102" s="34"/>
      <c r="AE102" s="35"/>
    </row>
    <row r="103" spans="1:31" ht="19.5" thickBot="1">
      <c r="A103" s="60" t="s">
        <v>738</v>
      </c>
      <c r="B103" s="9">
        <v>99</v>
      </c>
      <c r="C103" s="68"/>
      <c r="D103" s="68">
        <f t="shared" si="6"/>
        <v>0</v>
      </c>
      <c r="E103" s="68"/>
      <c r="F103" s="68"/>
      <c r="G103" s="68"/>
      <c r="H103" s="68"/>
      <c r="I103" s="68"/>
      <c r="J103" s="68"/>
      <c r="K103" s="68"/>
      <c r="L103" s="9"/>
      <c r="M103" s="8"/>
      <c r="N103" s="8"/>
      <c r="O103" s="74"/>
      <c r="P103" s="74"/>
      <c r="Q103" s="76"/>
      <c r="R103" s="80" t="e">
        <f t="shared" si="7"/>
        <v>#DIV/0!</v>
      </c>
      <c r="S103" s="82"/>
      <c r="T103" s="88"/>
      <c r="U103" s="82"/>
      <c r="V103" s="82"/>
      <c r="W103" s="93"/>
      <c r="X103" s="93"/>
      <c r="Y103" s="133" t="e">
        <f t="shared" si="5"/>
        <v>#DIV/0!</v>
      </c>
      <c r="Z103" s="96"/>
      <c r="AA103" s="56"/>
      <c r="AB103" s="59" t="s">
        <v>551</v>
      </c>
      <c r="AC103" s="33" t="s">
        <v>296</v>
      </c>
      <c r="AD103" s="34"/>
      <c r="AE103" s="35"/>
    </row>
    <row r="104" spans="1:31" ht="19.5" thickBot="1">
      <c r="A104" s="60" t="s">
        <v>739</v>
      </c>
      <c r="B104" s="9">
        <v>100</v>
      </c>
      <c r="C104" s="68"/>
      <c r="D104" s="68">
        <f t="shared" si="6"/>
        <v>0</v>
      </c>
      <c r="E104" s="68"/>
      <c r="F104" s="68"/>
      <c r="G104" s="68"/>
      <c r="H104" s="68"/>
      <c r="I104" s="68"/>
      <c r="J104" s="68"/>
      <c r="K104" s="68"/>
      <c r="L104" s="9"/>
      <c r="M104" s="8"/>
      <c r="N104" s="8"/>
      <c r="O104" s="74"/>
      <c r="P104" s="74"/>
      <c r="Q104" s="76"/>
      <c r="R104" s="80" t="e">
        <f t="shared" si="7"/>
        <v>#DIV/0!</v>
      </c>
      <c r="S104" s="82"/>
      <c r="T104" s="88"/>
      <c r="U104" s="82"/>
      <c r="V104" s="82"/>
      <c r="W104" s="93"/>
      <c r="X104" s="93"/>
      <c r="Y104" s="133" t="e">
        <f t="shared" si="5"/>
        <v>#DIV/0!</v>
      </c>
      <c r="Z104" s="96"/>
      <c r="AA104" s="56"/>
      <c r="AB104" s="59" t="s">
        <v>552</v>
      </c>
      <c r="AC104" s="29"/>
      <c r="AD104" s="27"/>
      <c r="AE104" s="28"/>
    </row>
    <row r="105" spans="1:31" ht="19.5" thickBot="1">
      <c r="A105" s="60" t="s">
        <v>740</v>
      </c>
      <c r="B105" s="9">
        <v>101</v>
      </c>
      <c r="C105" s="68"/>
      <c r="D105" s="68">
        <f t="shared" si="6"/>
        <v>0</v>
      </c>
      <c r="E105" s="68"/>
      <c r="F105" s="68"/>
      <c r="G105" s="68"/>
      <c r="H105" s="68"/>
      <c r="I105" s="68"/>
      <c r="J105" s="68"/>
      <c r="K105" s="68"/>
      <c r="L105" s="9"/>
      <c r="M105" s="8"/>
      <c r="N105" s="8"/>
      <c r="O105" s="74"/>
      <c r="P105" s="74"/>
      <c r="Q105" s="76"/>
      <c r="R105" s="80" t="e">
        <f t="shared" si="7"/>
        <v>#DIV/0!</v>
      </c>
      <c r="S105" s="82"/>
      <c r="T105" s="88"/>
      <c r="U105" s="82"/>
      <c r="V105" s="82"/>
      <c r="W105" s="93"/>
      <c r="X105" s="93"/>
      <c r="Y105" s="133" t="e">
        <f t="shared" si="5"/>
        <v>#DIV/0!</v>
      </c>
      <c r="Z105" s="96"/>
      <c r="AA105" s="56"/>
      <c r="AB105" s="59" t="s">
        <v>553</v>
      </c>
      <c r="AC105" s="29"/>
      <c r="AD105" s="27"/>
      <c r="AE105" s="28"/>
    </row>
    <row r="106" spans="1:31">
      <c r="A106" s="60" t="s">
        <v>741</v>
      </c>
      <c r="B106" s="9">
        <v>102</v>
      </c>
      <c r="C106" s="68"/>
      <c r="D106" s="68">
        <f t="shared" si="6"/>
        <v>0</v>
      </c>
      <c r="E106" s="68"/>
      <c r="F106" s="68"/>
      <c r="G106" s="68"/>
      <c r="H106" s="68"/>
      <c r="I106" s="68"/>
      <c r="J106" s="68"/>
      <c r="K106" s="68"/>
      <c r="L106" s="9"/>
      <c r="M106" s="8"/>
      <c r="N106" s="8"/>
      <c r="O106" s="74"/>
      <c r="P106" s="74"/>
      <c r="Q106" s="74"/>
      <c r="R106" s="80" t="e">
        <f t="shared" si="7"/>
        <v>#DIV/0!</v>
      </c>
      <c r="S106" s="83"/>
      <c r="T106" s="89"/>
      <c r="U106" s="83"/>
      <c r="V106" s="83"/>
      <c r="W106" s="93"/>
      <c r="X106" s="93"/>
      <c r="Y106" s="133" t="e">
        <f t="shared" si="5"/>
        <v>#DIV/0!</v>
      </c>
      <c r="Z106" s="56"/>
      <c r="AA106" s="56"/>
    </row>
    <row r="107" spans="1:31">
      <c r="A107" s="60" t="s">
        <v>742</v>
      </c>
      <c r="B107" s="9">
        <v>103</v>
      </c>
      <c r="C107" s="68"/>
      <c r="D107" s="68">
        <f t="shared" si="6"/>
        <v>0</v>
      </c>
      <c r="E107" s="68"/>
      <c r="F107" s="68"/>
      <c r="G107" s="68"/>
      <c r="H107" s="68"/>
      <c r="I107" s="68"/>
      <c r="J107" s="68"/>
      <c r="K107" s="68"/>
      <c r="L107" s="9"/>
      <c r="M107" s="8"/>
      <c r="N107" s="8"/>
      <c r="O107" s="74"/>
      <c r="P107" s="74"/>
      <c r="Q107" s="74"/>
      <c r="R107" s="80" t="e">
        <f t="shared" si="7"/>
        <v>#DIV/0!</v>
      </c>
      <c r="S107" s="83"/>
      <c r="T107" s="89"/>
      <c r="U107" s="83"/>
      <c r="V107" s="83"/>
      <c r="W107" s="93"/>
      <c r="X107" s="93"/>
      <c r="Y107" s="133" t="e">
        <f t="shared" si="5"/>
        <v>#DIV/0!</v>
      </c>
      <c r="Z107" s="56"/>
      <c r="AA107" s="56"/>
    </row>
    <row r="108" spans="1:31">
      <c r="A108" s="60" t="s">
        <v>743</v>
      </c>
      <c r="B108" s="9">
        <v>104</v>
      </c>
      <c r="C108" s="68"/>
      <c r="D108" s="68">
        <f t="shared" si="6"/>
        <v>0</v>
      </c>
      <c r="E108" s="68"/>
      <c r="F108" s="68"/>
      <c r="G108" s="68"/>
      <c r="H108" s="68"/>
      <c r="I108" s="68"/>
      <c r="J108" s="68"/>
      <c r="K108" s="68"/>
      <c r="L108" s="9"/>
      <c r="M108" s="8"/>
      <c r="N108" s="8"/>
      <c r="O108" s="74"/>
      <c r="P108" s="74"/>
      <c r="Q108" s="74"/>
      <c r="R108" s="80" t="e">
        <f t="shared" si="7"/>
        <v>#DIV/0!</v>
      </c>
      <c r="S108" s="83"/>
      <c r="T108" s="89"/>
      <c r="U108" s="83"/>
      <c r="V108" s="83"/>
      <c r="W108" s="93"/>
      <c r="X108" s="93"/>
      <c r="Y108" s="133" t="e">
        <f t="shared" si="5"/>
        <v>#DIV/0!</v>
      </c>
      <c r="Z108" s="56"/>
      <c r="AA108" s="56"/>
    </row>
    <row r="109" spans="1:31">
      <c r="A109" s="60" t="s">
        <v>744</v>
      </c>
      <c r="B109" s="9">
        <v>105</v>
      </c>
      <c r="C109" s="68"/>
      <c r="D109" s="68">
        <f t="shared" si="6"/>
        <v>0</v>
      </c>
      <c r="E109" s="68"/>
      <c r="F109" s="68"/>
      <c r="G109" s="68"/>
      <c r="H109" s="68"/>
      <c r="I109" s="68"/>
      <c r="J109" s="68"/>
      <c r="K109" s="68"/>
      <c r="L109" s="9"/>
      <c r="M109" s="8"/>
      <c r="N109" s="8"/>
      <c r="O109" s="74"/>
      <c r="P109" s="74"/>
      <c r="Q109" s="74"/>
      <c r="R109" s="80" t="e">
        <f t="shared" si="7"/>
        <v>#DIV/0!</v>
      </c>
      <c r="S109" s="83"/>
      <c r="T109" s="89"/>
      <c r="U109" s="83"/>
      <c r="V109" s="83"/>
      <c r="W109" s="93"/>
      <c r="X109" s="93"/>
      <c r="Y109" s="133" t="e">
        <f t="shared" si="5"/>
        <v>#DIV/0!</v>
      </c>
      <c r="Z109" s="56"/>
      <c r="AA109" s="56"/>
    </row>
    <row r="110" spans="1:31">
      <c r="A110" s="60" t="s">
        <v>745</v>
      </c>
      <c r="B110" s="9">
        <v>106</v>
      </c>
      <c r="C110" s="68"/>
      <c r="D110" s="68">
        <f t="shared" si="6"/>
        <v>0</v>
      </c>
      <c r="E110" s="68"/>
      <c r="F110" s="68"/>
      <c r="G110" s="68"/>
      <c r="H110" s="68"/>
      <c r="I110" s="68"/>
      <c r="J110" s="68"/>
      <c r="K110" s="68"/>
      <c r="L110" s="9"/>
      <c r="M110" s="8"/>
      <c r="N110" s="8"/>
      <c r="O110" s="74"/>
      <c r="P110" s="74"/>
      <c r="Q110" s="74"/>
      <c r="R110" s="80" t="e">
        <f t="shared" si="7"/>
        <v>#DIV/0!</v>
      </c>
      <c r="S110" s="83"/>
      <c r="T110" s="89"/>
      <c r="U110" s="83"/>
      <c r="V110" s="83"/>
      <c r="W110" s="93"/>
      <c r="X110" s="93"/>
      <c r="Y110" s="133" t="e">
        <f t="shared" si="5"/>
        <v>#DIV/0!</v>
      </c>
      <c r="Z110" s="56"/>
      <c r="AA110" s="56"/>
    </row>
    <row r="111" spans="1:31">
      <c r="A111" s="60" t="s">
        <v>746</v>
      </c>
      <c r="B111" s="9">
        <v>107</v>
      </c>
      <c r="C111" s="68"/>
      <c r="D111" s="68">
        <f t="shared" si="6"/>
        <v>0</v>
      </c>
      <c r="E111" s="68"/>
      <c r="F111" s="68"/>
      <c r="G111" s="68"/>
      <c r="H111" s="68"/>
      <c r="I111" s="68"/>
      <c r="J111" s="68"/>
      <c r="K111" s="68"/>
      <c r="L111" s="9"/>
      <c r="M111" s="8"/>
      <c r="N111" s="8"/>
      <c r="O111" s="74"/>
      <c r="P111" s="74"/>
      <c r="Q111" s="74"/>
      <c r="R111" s="80" t="e">
        <f>1500*P111/Q111</f>
        <v>#DIV/0!</v>
      </c>
      <c r="S111" s="83"/>
      <c r="T111" s="89"/>
      <c r="U111" s="83"/>
      <c r="V111" s="83"/>
      <c r="W111" s="93"/>
      <c r="X111" s="93"/>
      <c r="Y111" s="133" t="e">
        <f t="shared" si="5"/>
        <v>#DIV/0!</v>
      </c>
      <c r="Z111" s="56"/>
      <c r="AA111" s="56"/>
    </row>
    <row r="112" spans="1:31">
      <c r="A112" s="60" t="s">
        <v>747</v>
      </c>
      <c r="B112" s="9">
        <v>108</v>
      </c>
      <c r="C112" s="68"/>
      <c r="D112" s="68">
        <f t="shared" si="6"/>
        <v>0</v>
      </c>
      <c r="E112" s="68"/>
      <c r="F112" s="68"/>
      <c r="G112" s="68"/>
      <c r="H112" s="68"/>
      <c r="I112" s="68"/>
      <c r="J112" s="68"/>
      <c r="K112" s="68"/>
      <c r="L112" s="9"/>
      <c r="M112" s="8"/>
      <c r="N112" s="8"/>
      <c r="O112" s="74"/>
      <c r="P112" s="74"/>
      <c r="Q112" s="74"/>
      <c r="R112" s="80" t="e">
        <f t="shared" ref="R112:R175" si="8">1500*P112/Q112</f>
        <v>#DIV/0!</v>
      </c>
      <c r="S112" s="83"/>
      <c r="T112" s="89"/>
      <c r="U112" s="83"/>
      <c r="V112" s="83"/>
      <c r="W112" s="93"/>
      <c r="X112" s="93"/>
      <c r="Y112" s="133" t="e">
        <f t="shared" si="5"/>
        <v>#DIV/0!</v>
      </c>
      <c r="Z112" s="56"/>
      <c r="AA112" s="56"/>
    </row>
    <row r="113" spans="1:27">
      <c r="A113" s="60" t="s">
        <v>748</v>
      </c>
      <c r="B113" s="9">
        <v>109</v>
      </c>
      <c r="C113" s="68"/>
      <c r="D113" s="68">
        <f t="shared" si="6"/>
        <v>0</v>
      </c>
      <c r="E113" s="68"/>
      <c r="F113" s="68"/>
      <c r="G113" s="68"/>
      <c r="H113" s="68"/>
      <c r="I113" s="68"/>
      <c r="J113" s="68"/>
      <c r="K113" s="68"/>
      <c r="L113" s="9"/>
      <c r="M113" s="8"/>
      <c r="N113" s="8"/>
      <c r="O113" s="74"/>
      <c r="P113" s="74"/>
      <c r="Q113" s="74"/>
      <c r="R113" s="80" t="e">
        <f t="shared" si="8"/>
        <v>#DIV/0!</v>
      </c>
      <c r="S113" s="83"/>
      <c r="T113" s="89"/>
      <c r="U113" s="83"/>
      <c r="V113" s="83"/>
      <c r="W113" s="93"/>
      <c r="X113" s="93"/>
      <c r="Y113" s="133" t="e">
        <f t="shared" si="5"/>
        <v>#DIV/0!</v>
      </c>
      <c r="Z113" s="56"/>
      <c r="AA113" s="56"/>
    </row>
    <row r="114" spans="1:27">
      <c r="A114" s="60" t="s">
        <v>749</v>
      </c>
      <c r="B114" s="9">
        <v>110</v>
      </c>
      <c r="C114" s="68"/>
      <c r="D114" s="68">
        <f t="shared" si="6"/>
        <v>0</v>
      </c>
      <c r="E114" s="68"/>
      <c r="F114" s="68"/>
      <c r="G114" s="68"/>
      <c r="H114" s="68"/>
      <c r="I114" s="68"/>
      <c r="J114" s="68"/>
      <c r="K114" s="68"/>
      <c r="L114" s="9"/>
      <c r="M114" s="8"/>
      <c r="N114" s="8"/>
      <c r="O114" s="74"/>
      <c r="P114" s="74"/>
      <c r="Q114" s="74"/>
      <c r="R114" s="80" t="e">
        <f t="shared" si="8"/>
        <v>#DIV/0!</v>
      </c>
      <c r="S114" s="83"/>
      <c r="T114" s="89"/>
      <c r="U114" s="83"/>
      <c r="V114" s="83"/>
      <c r="W114" s="93"/>
      <c r="X114" s="93"/>
      <c r="Y114" s="133" t="e">
        <f t="shared" si="5"/>
        <v>#DIV/0!</v>
      </c>
      <c r="Z114" s="56"/>
      <c r="AA114" s="56"/>
    </row>
    <row r="115" spans="1:27">
      <c r="A115" s="149" t="s">
        <v>750</v>
      </c>
      <c r="B115" s="9">
        <v>111</v>
      </c>
      <c r="C115" s="69"/>
      <c r="D115" s="68">
        <f t="shared" si="6"/>
        <v>0</v>
      </c>
      <c r="E115" s="69"/>
      <c r="F115" s="69"/>
      <c r="G115" s="69"/>
      <c r="H115" s="69"/>
      <c r="I115" s="69"/>
      <c r="J115" s="69"/>
      <c r="K115" s="69"/>
      <c r="L115" s="71"/>
      <c r="M115" s="73"/>
      <c r="N115" s="73"/>
      <c r="O115" s="77"/>
      <c r="P115" s="77"/>
      <c r="Q115" s="77"/>
      <c r="R115" s="80" t="e">
        <f t="shared" si="8"/>
        <v>#DIV/0!</v>
      </c>
      <c r="S115" s="84"/>
      <c r="T115" s="90"/>
      <c r="U115" s="84"/>
      <c r="V115" s="84"/>
      <c r="W115" s="139"/>
      <c r="X115" s="93"/>
      <c r="Y115" s="133" t="e">
        <f t="shared" si="5"/>
        <v>#DIV/0!</v>
      </c>
      <c r="Z115" s="97"/>
      <c r="AA115" s="56"/>
    </row>
    <row r="116" spans="1:27">
      <c r="A116" s="60" t="s">
        <v>751</v>
      </c>
      <c r="B116" s="9">
        <v>112</v>
      </c>
      <c r="C116" s="68"/>
      <c r="D116" s="68">
        <f t="shared" si="6"/>
        <v>0</v>
      </c>
      <c r="E116" s="68"/>
      <c r="F116" s="68"/>
      <c r="G116" s="68"/>
      <c r="H116" s="68"/>
      <c r="I116" s="68"/>
      <c r="J116" s="68"/>
      <c r="K116" s="68"/>
      <c r="L116" s="9"/>
      <c r="M116" s="8"/>
      <c r="N116" s="8"/>
      <c r="O116" s="74"/>
      <c r="P116" s="74"/>
      <c r="Q116" s="74"/>
      <c r="R116" s="80" t="e">
        <f t="shared" si="8"/>
        <v>#DIV/0!</v>
      </c>
      <c r="S116" s="83"/>
      <c r="T116" s="89"/>
      <c r="U116" s="83"/>
      <c r="V116" s="83"/>
      <c r="W116" s="93"/>
      <c r="X116" s="93"/>
      <c r="Y116" s="133" t="e">
        <f t="shared" si="5"/>
        <v>#DIV/0!</v>
      </c>
      <c r="Z116" s="56"/>
      <c r="AA116" s="56"/>
    </row>
    <row r="117" spans="1:27">
      <c r="A117" s="61" t="s">
        <v>752</v>
      </c>
      <c r="B117" s="9">
        <v>113</v>
      </c>
      <c r="C117" s="70"/>
      <c r="D117" s="68">
        <f t="shared" si="6"/>
        <v>0</v>
      </c>
      <c r="E117" s="70"/>
      <c r="F117" s="70"/>
      <c r="G117" s="70"/>
      <c r="H117" s="70"/>
      <c r="I117" s="70"/>
      <c r="J117" s="70"/>
      <c r="K117" s="70"/>
      <c r="L117" s="18"/>
      <c r="M117" s="19"/>
      <c r="N117" s="19"/>
      <c r="O117" s="78"/>
      <c r="P117" s="78"/>
      <c r="Q117" s="78"/>
      <c r="R117" s="80" t="e">
        <f t="shared" si="8"/>
        <v>#DIV/0!</v>
      </c>
      <c r="S117" s="85"/>
      <c r="T117" s="91"/>
      <c r="U117" s="85"/>
      <c r="V117" s="85"/>
      <c r="W117" s="133"/>
      <c r="X117" s="93"/>
      <c r="Y117" s="133" t="e">
        <f t="shared" si="5"/>
        <v>#DIV/0!</v>
      </c>
      <c r="Z117" s="98"/>
      <c r="AA117" s="56"/>
    </row>
    <row r="118" spans="1:27">
      <c r="A118" s="60" t="s">
        <v>753</v>
      </c>
      <c r="B118" s="9">
        <v>114</v>
      </c>
      <c r="C118" s="68"/>
      <c r="D118" s="68">
        <f t="shared" si="6"/>
        <v>0</v>
      </c>
      <c r="E118" s="68"/>
      <c r="F118" s="68"/>
      <c r="G118" s="68"/>
      <c r="H118" s="68"/>
      <c r="I118" s="68"/>
      <c r="J118" s="68"/>
      <c r="K118" s="68"/>
      <c r="L118" s="9"/>
      <c r="M118" s="8"/>
      <c r="N118" s="8"/>
      <c r="O118" s="74"/>
      <c r="P118" s="74"/>
      <c r="Q118" s="74"/>
      <c r="R118" s="80" t="e">
        <f t="shared" si="8"/>
        <v>#DIV/0!</v>
      </c>
      <c r="S118" s="83"/>
      <c r="T118" s="89"/>
      <c r="U118" s="83"/>
      <c r="V118" s="83"/>
      <c r="W118" s="93"/>
      <c r="X118" s="93"/>
      <c r="Y118" s="133" t="e">
        <f t="shared" si="5"/>
        <v>#DIV/0!</v>
      </c>
      <c r="Z118" s="56"/>
      <c r="AA118" s="56"/>
    </row>
    <row r="119" spans="1:27">
      <c r="A119" s="60" t="s">
        <v>754</v>
      </c>
      <c r="B119" s="9">
        <v>115</v>
      </c>
      <c r="C119" s="68"/>
      <c r="D119" s="68">
        <f t="shared" si="6"/>
        <v>0</v>
      </c>
      <c r="E119" s="68"/>
      <c r="F119" s="68"/>
      <c r="G119" s="68"/>
      <c r="H119" s="68"/>
      <c r="I119" s="68"/>
      <c r="J119" s="68"/>
      <c r="K119" s="68"/>
      <c r="L119" s="9"/>
      <c r="M119" s="8"/>
      <c r="N119" s="8"/>
      <c r="O119" s="74"/>
      <c r="P119" s="74"/>
      <c r="Q119" s="74"/>
      <c r="R119" s="80" t="e">
        <f t="shared" si="8"/>
        <v>#DIV/0!</v>
      </c>
      <c r="S119" s="83"/>
      <c r="T119" s="89"/>
      <c r="U119" s="83"/>
      <c r="V119" s="83"/>
      <c r="W119" s="93"/>
      <c r="X119" s="93"/>
      <c r="Y119" s="133" t="e">
        <f t="shared" si="5"/>
        <v>#DIV/0!</v>
      </c>
      <c r="Z119" s="56"/>
      <c r="AA119" s="56"/>
    </row>
    <row r="120" spans="1:27">
      <c r="A120" s="60" t="s">
        <v>755</v>
      </c>
      <c r="B120" s="9">
        <v>116</v>
      </c>
      <c r="C120" s="68"/>
      <c r="D120" s="68">
        <f t="shared" si="6"/>
        <v>0</v>
      </c>
      <c r="E120" s="68"/>
      <c r="F120" s="68"/>
      <c r="G120" s="68"/>
      <c r="H120" s="68"/>
      <c r="I120" s="68"/>
      <c r="J120" s="68"/>
      <c r="K120" s="68"/>
      <c r="L120" s="9"/>
      <c r="M120" s="8"/>
      <c r="N120" s="8"/>
      <c r="O120" s="74"/>
      <c r="P120" s="74"/>
      <c r="Q120" s="74"/>
      <c r="R120" s="80" t="e">
        <f t="shared" si="8"/>
        <v>#DIV/0!</v>
      </c>
      <c r="S120" s="83"/>
      <c r="T120" s="89"/>
      <c r="U120" s="83"/>
      <c r="V120" s="83"/>
      <c r="W120" s="93"/>
      <c r="X120" s="93"/>
      <c r="Y120" s="133" t="e">
        <f t="shared" si="5"/>
        <v>#DIV/0!</v>
      </c>
      <c r="Z120" s="56"/>
      <c r="AA120" s="56"/>
    </row>
    <row r="121" spans="1:27">
      <c r="A121" s="60" t="s">
        <v>756</v>
      </c>
      <c r="B121" s="9">
        <v>117</v>
      </c>
      <c r="C121" s="68"/>
      <c r="D121" s="68">
        <f t="shared" si="6"/>
        <v>0</v>
      </c>
      <c r="E121" s="68"/>
      <c r="F121" s="68"/>
      <c r="G121" s="68"/>
      <c r="H121" s="68"/>
      <c r="I121" s="68"/>
      <c r="J121" s="68"/>
      <c r="K121" s="68"/>
      <c r="L121" s="9"/>
      <c r="M121" s="8"/>
      <c r="N121" s="8"/>
      <c r="O121" s="74"/>
      <c r="P121" s="74"/>
      <c r="Q121" s="74"/>
      <c r="R121" s="80" t="e">
        <f t="shared" si="8"/>
        <v>#DIV/0!</v>
      </c>
      <c r="S121" s="83"/>
      <c r="T121" s="89"/>
      <c r="U121" s="83"/>
      <c r="V121" s="83"/>
      <c r="W121" s="93"/>
      <c r="X121" s="93"/>
      <c r="Y121" s="133" t="e">
        <f t="shared" si="5"/>
        <v>#DIV/0!</v>
      </c>
      <c r="Z121" s="56"/>
      <c r="AA121" s="56"/>
    </row>
    <row r="122" spans="1:27">
      <c r="A122" s="60" t="s">
        <v>757</v>
      </c>
      <c r="B122" s="9">
        <v>118</v>
      </c>
      <c r="C122" s="68"/>
      <c r="D122" s="68">
        <f t="shared" si="6"/>
        <v>0</v>
      </c>
      <c r="E122" s="68"/>
      <c r="F122" s="68"/>
      <c r="G122" s="68"/>
      <c r="H122" s="68"/>
      <c r="I122" s="68"/>
      <c r="J122" s="68"/>
      <c r="K122" s="68"/>
      <c r="L122" s="9"/>
      <c r="M122" s="8"/>
      <c r="N122" s="8"/>
      <c r="O122" s="74"/>
      <c r="P122" s="74"/>
      <c r="Q122" s="74"/>
      <c r="R122" s="80" t="e">
        <f t="shared" si="8"/>
        <v>#DIV/0!</v>
      </c>
      <c r="S122" s="83"/>
      <c r="T122" s="89"/>
      <c r="U122" s="83"/>
      <c r="V122" s="83"/>
      <c r="W122" s="93"/>
      <c r="X122" s="93"/>
      <c r="Y122" s="133" t="e">
        <f t="shared" si="5"/>
        <v>#DIV/0!</v>
      </c>
      <c r="Z122" s="56"/>
      <c r="AA122" s="56"/>
    </row>
    <row r="123" spans="1:27">
      <c r="A123" s="60" t="s">
        <v>758</v>
      </c>
      <c r="B123" s="9">
        <v>119</v>
      </c>
      <c r="C123" s="68"/>
      <c r="D123" s="68">
        <f t="shared" si="6"/>
        <v>0</v>
      </c>
      <c r="E123" s="68"/>
      <c r="F123" s="68"/>
      <c r="G123" s="68"/>
      <c r="H123" s="68"/>
      <c r="I123" s="68"/>
      <c r="J123" s="68"/>
      <c r="K123" s="68"/>
      <c r="L123" s="9"/>
      <c r="M123" s="8"/>
      <c r="N123" s="8"/>
      <c r="O123" s="74"/>
      <c r="P123" s="74"/>
      <c r="Q123" s="74"/>
      <c r="R123" s="80" t="e">
        <f t="shared" si="8"/>
        <v>#DIV/0!</v>
      </c>
      <c r="S123" s="83"/>
      <c r="T123" s="89"/>
      <c r="U123" s="83"/>
      <c r="V123" s="83"/>
      <c r="W123" s="93"/>
      <c r="X123" s="93"/>
      <c r="Y123" s="133" t="e">
        <f t="shared" si="5"/>
        <v>#DIV/0!</v>
      </c>
      <c r="Z123" s="56"/>
      <c r="AA123" s="56"/>
    </row>
    <row r="124" spans="1:27">
      <c r="A124" s="60" t="s">
        <v>759</v>
      </c>
      <c r="B124" s="9">
        <v>120</v>
      </c>
      <c r="C124" s="68"/>
      <c r="D124" s="68">
        <f t="shared" si="6"/>
        <v>0</v>
      </c>
      <c r="E124" s="68"/>
      <c r="F124" s="68"/>
      <c r="G124" s="68"/>
      <c r="H124" s="68"/>
      <c r="I124" s="68"/>
      <c r="J124" s="68"/>
      <c r="K124" s="68"/>
      <c r="L124" s="9"/>
      <c r="M124" s="8"/>
      <c r="N124" s="8"/>
      <c r="O124" s="74"/>
      <c r="P124" s="74"/>
      <c r="Q124" s="74"/>
      <c r="R124" s="80" t="e">
        <f t="shared" si="8"/>
        <v>#DIV/0!</v>
      </c>
      <c r="S124" s="83"/>
      <c r="T124" s="89"/>
      <c r="U124" s="83"/>
      <c r="V124" s="83"/>
      <c r="W124" s="93"/>
      <c r="X124" s="93"/>
      <c r="Y124" s="133" t="e">
        <f t="shared" si="5"/>
        <v>#DIV/0!</v>
      </c>
      <c r="Z124" s="56"/>
      <c r="AA124" s="56"/>
    </row>
    <row r="125" spans="1:27">
      <c r="A125" s="60" t="s">
        <v>760</v>
      </c>
      <c r="B125" s="9">
        <v>121</v>
      </c>
      <c r="C125" s="68"/>
      <c r="D125" s="68">
        <f t="shared" si="6"/>
        <v>0</v>
      </c>
      <c r="E125" s="68"/>
      <c r="F125" s="68"/>
      <c r="G125" s="68"/>
      <c r="H125" s="68"/>
      <c r="I125" s="68"/>
      <c r="J125" s="68"/>
      <c r="K125" s="68"/>
      <c r="L125" s="9"/>
      <c r="M125" s="8"/>
      <c r="N125" s="8"/>
      <c r="O125" s="74"/>
      <c r="P125" s="74"/>
      <c r="Q125" s="74"/>
      <c r="R125" s="80" t="e">
        <f t="shared" si="8"/>
        <v>#DIV/0!</v>
      </c>
      <c r="S125" s="83"/>
      <c r="T125" s="89"/>
      <c r="U125" s="83"/>
      <c r="V125" s="83"/>
      <c r="W125" s="93"/>
      <c r="X125" s="93"/>
      <c r="Y125" s="133" t="e">
        <f t="shared" si="5"/>
        <v>#DIV/0!</v>
      </c>
      <c r="Z125" s="56"/>
      <c r="AA125" s="56"/>
    </row>
    <row r="126" spans="1:27">
      <c r="A126" s="60" t="s">
        <v>761</v>
      </c>
      <c r="B126" s="9">
        <v>122</v>
      </c>
      <c r="C126" s="68"/>
      <c r="D126" s="68">
        <f t="shared" si="6"/>
        <v>0</v>
      </c>
      <c r="E126" s="68"/>
      <c r="F126" s="68"/>
      <c r="G126" s="68"/>
      <c r="H126" s="68"/>
      <c r="I126" s="68"/>
      <c r="J126" s="68"/>
      <c r="K126" s="68"/>
      <c r="L126" s="9"/>
      <c r="M126" s="8"/>
      <c r="N126" s="8"/>
      <c r="O126" s="74"/>
      <c r="P126" s="74"/>
      <c r="Q126" s="74"/>
      <c r="R126" s="80" t="e">
        <f t="shared" si="8"/>
        <v>#DIV/0!</v>
      </c>
      <c r="S126" s="83"/>
      <c r="T126" s="89"/>
      <c r="U126" s="83"/>
      <c r="V126" s="83"/>
      <c r="W126" s="93"/>
      <c r="X126" s="93"/>
      <c r="Y126" s="133" t="e">
        <f t="shared" si="5"/>
        <v>#DIV/0!</v>
      </c>
      <c r="Z126" s="56"/>
      <c r="AA126" s="56"/>
    </row>
    <row r="127" spans="1:27">
      <c r="A127" s="60" t="s">
        <v>762</v>
      </c>
      <c r="B127" s="9">
        <v>123</v>
      </c>
      <c r="C127" s="68"/>
      <c r="D127" s="68">
        <f t="shared" si="6"/>
        <v>0</v>
      </c>
      <c r="E127" s="68"/>
      <c r="F127" s="68"/>
      <c r="G127" s="68"/>
      <c r="H127" s="68"/>
      <c r="I127" s="68"/>
      <c r="J127" s="68"/>
      <c r="K127" s="68"/>
      <c r="L127" s="9"/>
      <c r="M127" s="8"/>
      <c r="N127" s="8"/>
      <c r="O127" s="74"/>
      <c r="P127" s="74"/>
      <c r="Q127" s="74"/>
      <c r="R127" s="80" t="e">
        <f t="shared" si="8"/>
        <v>#DIV/0!</v>
      </c>
      <c r="S127" s="83"/>
      <c r="T127" s="89"/>
      <c r="U127" s="83"/>
      <c r="V127" s="83"/>
      <c r="W127" s="93"/>
      <c r="X127" s="93"/>
      <c r="Y127" s="133" t="e">
        <f t="shared" si="5"/>
        <v>#DIV/0!</v>
      </c>
      <c r="Z127" s="56"/>
      <c r="AA127" s="56"/>
    </row>
    <row r="128" spans="1:27">
      <c r="A128" s="60" t="s">
        <v>763</v>
      </c>
      <c r="B128" s="9">
        <v>124</v>
      </c>
      <c r="C128" s="68"/>
      <c r="D128" s="68">
        <f t="shared" si="6"/>
        <v>0</v>
      </c>
      <c r="E128" s="68"/>
      <c r="F128" s="68"/>
      <c r="G128" s="68"/>
      <c r="H128" s="68"/>
      <c r="I128" s="68"/>
      <c r="J128" s="68"/>
      <c r="K128" s="68"/>
      <c r="L128" s="9"/>
      <c r="M128" s="8"/>
      <c r="N128" s="8"/>
      <c r="O128" s="74"/>
      <c r="P128" s="74"/>
      <c r="Q128" s="74"/>
      <c r="R128" s="80" t="e">
        <f t="shared" si="8"/>
        <v>#DIV/0!</v>
      </c>
      <c r="S128" s="83"/>
      <c r="T128" s="89"/>
      <c r="U128" s="83"/>
      <c r="V128" s="83"/>
      <c r="W128" s="93"/>
      <c r="X128" s="93"/>
      <c r="Y128" s="133" t="e">
        <f t="shared" si="5"/>
        <v>#DIV/0!</v>
      </c>
      <c r="Z128" s="56"/>
      <c r="AA128" s="56"/>
    </row>
    <row r="129" spans="1:27">
      <c r="A129" s="60" t="s">
        <v>764</v>
      </c>
      <c r="B129" s="9">
        <v>125</v>
      </c>
      <c r="C129" s="68"/>
      <c r="D129" s="68">
        <f t="shared" si="6"/>
        <v>0</v>
      </c>
      <c r="E129" s="68"/>
      <c r="F129" s="68"/>
      <c r="G129" s="68"/>
      <c r="H129" s="68"/>
      <c r="I129" s="68"/>
      <c r="J129" s="68"/>
      <c r="K129" s="68"/>
      <c r="L129" s="9"/>
      <c r="M129" s="8"/>
      <c r="N129" s="8"/>
      <c r="O129" s="74"/>
      <c r="P129" s="74"/>
      <c r="Q129" s="74"/>
      <c r="R129" s="80" t="e">
        <f t="shared" si="8"/>
        <v>#DIV/0!</v>
      </c>
      <c r="S129" s="83"/>
      <c r="T129" s="89"/>
      <c r="U129" s="83"/>
      <c r="V129" s="83"/>
      <c r="W129" s="93"/>
      <c r="X129" s="93"/>
      <c r="Y129" s="133" t="e">
        <f t="shared" si="5"/>
        <v>#DIV/0!</v>
      </c>
      <c r="Z129" s="56"/>
      <c r="AA129" s="56"/>
    </row>
    <row r="130" spans="1:27">
      <c r="A130" s="60" t="s">
        <v>765</v>
      </c>
      <c r="B130" s="9">
        <v>126</v>
      </c>
      <c r="C130" s="68"/>
      <c r="D130" s="68">
        <f t="shared" si="6"/>
        <v>0</v>
      </c>
      <c r="E130" s="68"/>
      <c r="F130" s="68"/>
      <c r="G130" s="68"/>
      <c r="H130" s="68"/>
      <c r="I130" s="68"/>
      <c r="J130" s="68"/>
      <c r="K130" s="68"/>
      <c r="L130" s="9"/>
      <c r="M130" s="8"/>
      <c r="N130" s="8"/>
      <c r="O130" s="74"/>
      <c r="P130" s="74"/>
      <c r="Q130" s="74"/>
      <c r="R130" s="80" t="e">
        <f t="shared" si="8"/>
        <v>#DIV/0!</v>
      </c>
      <c r="S130" s="83"/>
      <c r="T130" s="89"/>
      <c r="U130" s="83"/>
      <c r="V130" s="83"/>
      <c r="W130" s="93"/>
      <c r="X130" s="93"/>
      <c r="Y130" s="133" t="e">
        <f t="shared" si="5"/>
        <v>#DIV/0!</v>
      </c>
      <c r="Z130" s="56"/>
      <c r="AA130" s="56"/>
    </row>
    <row r="131" spans="1:27">
      <c r="A131" s="60" t="s">
        <v>766</v>
      </c>
      <c r="B131" s="9">
        <v>127</v>
      </c>
      <c r="C131" s="68"/>
      <c r="D131" s="68">
        <f t="shared" si="6"/>
        <v>0</v>
      </c>
      <c r="E131" s="68"/>
      <c r="F131" s="68"/>
      <c r="G131" s="68"/>
      <c r="H131" s="68"/>
      <c r="I131" s="68"/>
      <c r="J131" s="68"/>
      <c r="K131" s="68"/>
      <c r="L131" s="9"/>
      <c r="M131" s="8"/>
      <c r="N131" s="8"/>
      <c r="O131" s="74"/>
      <c r="P131" s="74"/>
      <c r="Q131" s="74"/>
      <c r="R131" s="80" t="e">
        <f t="shared" si="8"/>
        <v>#DIV/0!</v>
      </c>
      <c r="S131" s="83"/>
      <c r="T131" s="89"/>
      <c r="U131" s="83"/>
      <c r="V131" s="83"/>
      <c r="W131" s="93"/>
      <c r="X131" s="93"/>
      <c r="Y131" s="133" t="e">
        <f t="shared" si="5"/>
        <v>#DIV/0!</v>
      </c>
      <c r="Z131" s="56"/>
      <c r="AA131" s="56"/>
    </row>
    <row r="132" spans="1:27">
      <c r="A132" s="60" t="s">
        <v>767</v>
      </c>
      <c r="B132" s="9">
        <v>128</v>
      </c>
      <c r="C132" s="68"/>
      <c r="D132" s="68">
        <f t="shared" si="6"/>
        <v>0</v>
      </c>
      <c r="E132" s="68"/>
      <c r="F132" s="68"/>
      <c r="G132" s="68"/>
      <c r="H132" s="68"/>
      <c r="I132" s="68"/>
      <c r="J132" s="68"/>
      <c r="K132" s="68"/>
      <c r="L132" s="9"/>
      <c r="M132" s="8"/>
      <c r="N132" s="8"/>
      <c r="O132" s="74"/>
      <c r="P132" s="74"/>
      <c r="Q132" s="74"/>
      <c r="R132" s="80" t="e">
        <f t="shared" si="8"/>
        <v>#DIV/0!</v>
      </c>
      <c r="S132" s="83"/>
      <c r="T132" s="89"/>
      <c r="U132" s="83"/>
      <c r="V132" s="83"/>
      <c r="W132" s="93"/>
      <c r="X132" s="93"/>
      <c r="Y132" s="133" t="e">
        <f t="shared" si="5"/>
        <v>#DIV/0!</v>
      </c>
      <c r="Z132" s="56"/>
      <c r="AA132" s="56"/>
    </row>
    <row r="133" spans="1:27">
      <c r="A133" s="60" t="s">
        <v>768</v>
      </c>
      <c r="B133" s="9">
        <v>129</v>
      </c>
      <c r="C133" s="68"/>
      <c r="D133" s="68">
        <f t="shared" si="6"/>
        <v>0</v>
      </c>
      <c r="E133" s="68"/>
      <c r="F133" s="68"/>
      <c r="G133" s="68"/>
      <c r="H133" s="68"/>
      <c r="I133" s="68"/>
      <c r="J133" s="68"/>
      <c r="K133" s="68"/>
      <c r="L133" s="9"/>
      <c r="M133" s="8"/>
      <c r="N133" s="8"/>
      <c r="O133" s="74"/>
      <c r="P133" s="74"/>
      <c r="Q133" s="74"/>
      <c r="R133" s="80" t="e">
        <f t="shared" si="8"/>
        <v>#DIV/0!</v>
      </c>
      <c r="S133" s="83"/>
      <c r="T133" s="89"/>
      <c r="U133" s="83"/>
      <c r="V133" s="83"/>
      <c r="W133" s="93"/>
      <c r="X133" s="93"/>
      <c r="Y133" s="133" t="e">
        <f t="shared" si="5"/>
        <v>#DIV/0!</v>
      </c>
      <c r="Z133" s="56"/>
      <c r="AA133" s="56"/>
    </row>
    <row r="134" spans="1:27">
      <c r="A134" s="60" t="s">
        <v>769</v>
      </c>
      <c r="B134" s="9">
        <v>130</v>
      </c>
      <c r="C134" s="68"/>
      <c r="D134" s="68">
        <f t="shared" si="6"/>
        <v>0</v>
      </c>
      <c r="E134" s="68"/>
      <c r="F134" s="68"/>
      <c r="G134" s="68"/>
      <c r="H134" s="68"/>
      <c r="I134" s="68"/>
      <c r="J134" s="68"/>
      <c r="K134" s="68"/>
      <c r="L134" s="9"/>
      <c r="M134" s="8"/>
      <c r="N134" s="8"/>
      <c r="O134" s="74"/>
      <c r="P134" s="74"/>
      <c r="Q134" s="74"/>
      <c r="R134" s="80" t="e">
        <f t="shared" si="8"/>
        <v>#DIV/0!</v>
      </c>
      <c r="S134" s="83"/>
      <c r="T134" s="89"/>
      <c r="U134" s="83"/>
      <c r="V134" s="83"/>
      <c r="W134" s="93"/>
      <c r="X134" s="93"/>
      <c r="Y134" s="133" t="e">
        <f t="shared" ref="Y134:Y196" si="9">T134*X134/W134-X134</f>
        <v>#DIV/0!</v>
      </c>
      <c r="Z134" s="56"/>
      <c r="AA134" s="56"/>
    </row>
    <row r="135" spans="1:27">
      <c r="A135" s="60" t="s">
        <v>770</v>
      </c>
      <c r="B135" s="9">
        <v>131</v>
      </c>
      <c r="C135" s="68"/>
      <c r="D135" s="68">
        <f t="shared" si="6"/>
        <v>0</v>
      </c>
      <c r="E135" s="68"/>
      <c r="F135" s="68"/>
      <c r="G135" s="68"/>
      <c r="H135" s="68"/>
      <c r="I135" s="68"/>
      <c r="J135" s="68"/>
      <c r="K135" s="68"/>
      <c r="L135" s="9"/>
      <c r="M135" s="8"/>
      <c r="N135" s="8"/>
      <c r="O135" s="74"/>
      <c r="P135" s="74"/>
      <c r="Q135" s="74"/>
      <c r="R135" s="80" t="e">
        <f t="shared" si="8"/>
        <v>#DIV/0!</v>
      </c>
      <c r="S135" s="83"/>
      <c r="T135" s="89"/>
      <c r="U135" s="83"/>
      <c r="V135" s="83"/>
      <c r="W135" s="93"/>
      <c r="X135" s="93"/>
      <c r="Y135" s="133" t="e">
        <f t="shared" si="9"/>
        <v>#DIV/0!</v>
      </c>
      <c r="Z135" s="56"/>
      <c r="AA135" s="56"/>
    </row>
    <row r="136" spans="1:27">
      <c r="A136" s="60" t="s">
        <v>771</v>
      </c>
      <c r="B136" s="9">
        <v>132</v>
      </c>
      <c r="C136" s="68"/>
      <c r="D136" s="68">
        <f t="shared" si="6"/>
        <v>0</v>
      </c>
      <c r="E136" s="68"/>
      <c r="F136" s="68"/>
      <c r="G136" s="68"/>
      <c r="H136" s="68"/>
      <c r="I136" s="68"/>
      <c r="J136" s="68"/>
      <c r="K136" s="68"/>
      <c r="L136" s="9"/>
      <c r="M136" s="8"/>
      <c r="N136" s="8"/>
      <c r="O136" s="74"/>
      <c r="P136" s="74"/>
      <c r="Q136" s="74"/>
      <c r="R136" s="80" t="e">
        <f t="shared" si="8"/>
        <v>#DIV/0!</v>
      </c>
      <c r="S136" s="83"/>
      <c r="T136" s="89"/>
      <c r="U136" s="83"/>
      <c r="V136" s="83"/>
      <c r="W136" s="93"/>
      <c r="X136" s="93"/>
      <c r="Y136" s="133" t="e">
        <f t="shared" si="9"/>
        <v>#DIV/0!</v>
      </c>
      <c r="Z136" s="56"/>
      <c r="AA136" s="56"/>
    </row>
    <row r="137" spans="1:27">
      <c r="A137" s="60" t="s">
        <v>772</v>
      </c>
      <c r="B137" s="9">
        <v>133</v>
      </c>
      <c r="C137" s="68"/>
      <c r="D137" s="68">
        <f t="shared" si="6"/>
        <v>0</v>
      </c>
      <c r="E137" s="68"/>
      <c r="F137" s="68"/>
      <c r="G137" s="68"/>
      <c r="H137" s="68"/>
      <c r="I137" s="68"/>
      <c r="J137" s="68"/>
      <c r="K137" s="68"/>
      <c r="L137" s="9"/>
      <c r="M137" s="8"/>
      <c r="N137" s="8"/>
      <c r="O137" s="74"/>
      <c r="P137" s="74"/>
      <c r="Q137" s="74"/>
      <c r="R137" s="80" t="e">
        <f t="shared" si="8"/>
        <v>#DIV/0!</v>
      </c>
      <c r="S137" s="83"/>
      <c r="T137" s="89"/>
      <c r="U137" s="83"/>
      <c r="V137" s="83"/>
      <c r="W137" s="93"/>
      <c r="X137" s="93"/>
      <c r="Y137" s="133" t="e">
        <f t="shared" si="9"/>
        <v>#DIV/0!</v>
      </c>
      <c r="Z137" s="56"/>
      <c r="AA137" s="56"/>
    </row>
    <row r="138" spans="1:27">
      <c r="A138" s="60" t="s">
        <v>773</v>
      </c>
      <c r="B138" s="9">
        <v>134</v>
      </c>
      <c r="C138" s="68"/>
      <c r="D138" s="68">
        <f t="shared" si="6"/>
        <v>0</v>
      </c>
      <c r="E138" s="68"/>
      <c r="F138" s="68"/>
      <c r="G138" s="68"/>
      <c r="H138" s="68"/>
      <c r="I138" s="68"/>
      <c r="J138" s="68"/>
      <c r="K138" s="68"/>
      <c r="L138" s="9"/>
      <c r="M138" s="8"/>
      <c r="N138" s="8"/>
      <c r="O138" s="74"/>
      <c r="P138" s="74"/>
      <c r="Q138" s="74"/>
      <c r="R138" s="80" t="e">
        <f t="shared" si="8"/>
        <v>#DIV/0!</v>
      </c>
      <c r="S138" s="83"/>
      <c r="T138" s="89"/>
      <c r="U138" s="83"/>
      <c r="V138" s="83"/>
      <c r="W138" s="93"/>
      <c r="X138" s="93"/>
      <c r="Y138" s="133" t="e">
        <f t="shared" si="9"/>
        <v>#DIV/0!</v>
      </c>
      <c r="Z138" s="56"/>
      <c r="AA138" s="56"/>
    </row>
    <row r="139" spans="1:27">
      <c r="A139" s="60" t="s">
        <v>774</v>
      </c>
      <c r="B139" s="9">
        <v>135</v>
      </c>
      <c r="C139" s="68"/>
      <c r="D139" s="68">
        <f t="shared" si="6"/>
        <v>0</v>
      </c>
      <c r="E139" s="68"/>
      <c r="F139" s="68"/>
      <c r="G139" s="68"/>
      <c r="H139" s="68"/>
      <c r="I139" s="68"/>
      <c r="J139" s="68"/>
      <c r="K139" s="68"/>
      <c r="L139" s="9"/>
      <c r="M139" s="8"/>
      <c r="N139" s="8"/>
      <c r="O139" s="74"/>
      <c r="P139" s="74"/>
      <c r="Q139" s="74"/>
      <c r="R139" s="80" t="e">
        <f t="shared" si="8"/>
        <v>#DIV/0!</v>
      </c>
      <c r="S139" s="83"/>
      <c r="T139" s="89"/>
      <c r="U139" s="83"/>
      <c r="V139" s="83"/>
      <c r="W139" s="93"/>
      <c r="X139" s="93"/>
      <c r="Y139" s="133" t="e">
        <f t="shared" si="9"/>
        <v>#DIV/0!</v>
      </c>
      <c r="Z139" s="56"/>
      <c r="AA139" s="56"/>
    </row>
    <row r="140" spans="1:27">
      <c r="A140" s="60" t="s">
        <v>775</v>
      </c>
      <c r="B140" s="9">
        <v>136</v>
      </c>
      <c r="C140" s="68"/>
      <c r="D140" s="68">
        <f t="shared" si="6"/>
        <v>0</v>
      </c>
      <c r="E140" s="68"/>
      <c r="F140" s="68"/>
      <c r="G140" s="68"/>
      <c r="H140" s="68"/>
      <c r="I140" s="68"/>
      <c r="J140" s="68"/>
      <c r="K140" s="68"/>
      <c r="L140" s="9"/>
      <c r="M140" s="8"/>
      <c r="N140" s="8"/>
      <c r="O140" s="74"/>
      <c r="P140" s="74"/>
      <c r="Q140" s="74"/>
      <c r="R140" s="80" t="e">
        <f t="shared" si="8"/>
        <v>#DIV/0!</v>
      </c>
      <c r="S140" s="83"/>
      <c r="T140" s="89"/>
      <c r="U140" s="83"/>
      <c r="V140" s="83"/>
      <c r="W140" s="93"/>
      <c r="X140" s="93"/>
      <c r="Y140" s="133" t="e">
        <f t="shared" si="9"/>
        <v>#DIV/0!</v>
      </c>
      <c r="Z140" s="56"/>
      <c r="AA140" s="56"/>
    </row>
    <row r="141" spans="1:27">
      <c r="A141" s="60" t="s">
        <v>776</v>
      </c>
      <c r="B141" s="9">
        <v>137</v>
      </c>
      <c r="C141" s="68"/>
      <c r="D141" s="68">
        <f t="shared" si="6"/>
        <v>0</v>
      </c>
      <c r="E141" s="68"/>
      <c r="F141" s="68"/>
      <c r="G141" s="68"/>
      <c r="H141" s="68"/>
      <c r="I141" s="68"/>
      <c r="J141" s="68"/>
      <c r="K141" s="68"/>
      <c r="L141" s="9"/>
      <c r="M141" s="8"/>
      <c r="N141" s="8"/>
      <c r="O141" s="74"/>
      <c r="P141" s="74"/>
      <c r="Q141" s="74"/>
      <c r="R141" s="80" t="e">
        <f t="shared" si="8"/>
        <v>#DIV/0!</v>
      </c>
      <c r="S141" s="83"/>
      <c r="T141" s="89"/>
      <c r="U141" s="83"/>
      <c r="V141" s="83"/>
      <c r="W141" s="93"/>
      <c r="X141" s="93"/>
      <c r="Y141" s="133" t="e">
        <f t="shared" si="9"/>
        <v>#DIV/0!</v>
      </c>
      <c r="Z141" s="56"/>
      <c r="AA141" s="56"/>
    </row>
    <row r="142" spans="1:27">
      <c r="A142" s="60" t="s">
        <v>777</v>
      </c>
      <c r="B142" s="9">
        <v>138</v>
      </c>
      <c r="C142" s="68"/>
      <c r="D142" s="68">
        <f t="shared" si="6"/>
        <v>0</v>
      </c>
      <c r="E142" s="68"/>
      <c r="F142" s="68"/>
      <c r="G142" s="68"/>
      <c r="H142" s="68"/>
      <c r="I142" s="68"/>
      <c r="J142" s="68"/>
      <c r="K142" s="68"/>
      <c r="L142" s="9"/>
      <c r="M142" s="8"/>
      <c r="N142" s="8"/>
      <c r="O142" s="74"/>
      <c r="P142" s="74"/>
      <c r="Q142" s="74"/>
      <c r="R142" s="80" t="e">
        <f t="shared" si="8"/>
        <v>#DIV/0!</v>
      </c>
      <c r="S142" s="83"/>
      <c r="T142" s="89"/>
      <c r="U142" s="83"/>
      <c r="V142" s="83"/>
      <c r="W142" s="93"/>
      <c r="X142" s="93"/>
      <c r="Y142" s="133" t="e">
        <f t="shared" si="9"/>
        <v>#DIV/0!</v>
      </c>
      <c r="Z142" s="56"/>
      <c r="AA142" s="56"/>
    </row>
    <row r="143" spans="1:27">
      <c r="A143" s="60" t="s">
        <v>778</v>
      </c>
      <c r="B143" s="9">
        <v>139</v>
      </c>
      <c r="C143" s="68"/>
      <c r="D143" s="68">
        <f t="shared" si="6"/>
        <v>0</v>
      </c>
      <c r="E143" s="68"/>
      <c r="F143" s="68"/>
      <c r="G143" s="68"/>
      <c r="H143" s="68"/>
      <c r="I143" s="68"/>
      <c r="J143" s="68"/>
      <c r="K143" s="68"/>
      <c r="L143" s="9"/>
      <c r="M143" s="8"/>
      <c r="N143" s="8"/>
      <c r="O143" s="74"/>
      <c r="P143" s="74"/>
      <c r="Q143" s="74"/>
      <c r="R143" s="80" t="e">
        <f t="shared" si="8"/>
        <v>#DIV/0!</v>
      </c>
      <c r="S143" s="83"/>
      <c r="T143" s="89"/>
      <c r="U143" s="83"/>
      <c r="V143" s="83"/>
      <c r="W143" s="93"/>
      <c r="X143" s="93"/>
      <c r="Y143" s="133" t="e">
        <f t="shared" si="9"/>
        <v>#DIV/0!</v>
      </c>
      <c r="Z143" s="56"/>
      <c r="AA143" s="56"/>
    </row>
    <row r="144" spans="1:27">
      <c r="A144" s="60" t="s">
        <v>779</v>
      </c>
      <c r="B144" s="9">
        <v>140</v>
      </c>
      <c r="C144" s="68"/>
      <c r="D144" s="68">
        <f t="shared" si="6"/>
        <v>0</v>
      </c>
      <c r="E144" s="68"/>
      <c r="F144" s="68"/>
      <c r="G144" s="68"/>
      <c r="H144" s="68"/>
      <c r="I144" s="68"/>
      <c r="J144" s="68"/>
      <c r="K144" s="68"/>
      <c r="L144" s="9"/>
      <c r="M144" s="8"/>
      <c r="N144" s="8"/>
      <c r="O144" s="74"/>
      <c r="P144" s="74"/>
      <c r="Q144" s="74"/>
      <c r="R144" s="80" t="e">
        <f t="shared" si="8"/>
        <v>#DIV/0!</v>
      </c>
      <c r="S144" s="83"/>
      <c r="T144" s="89"/>
      <c r="U144" s="83"/>
      <c r="V144" s="83"/>
      <c r="W144" s="93"/>
      <c r="X144" s="93"/>
      <c r="Y144" s="133" t="e">
        <f t="shared" si="9"/>
        <v>#DIV/0!</v>
      </c>
      <c r="Z144" s="56"/>
      <c r="AA144" s="56"/>
    </row>
    <row r="145" spans="1:27">
      <c r="A145" s="60" t="s">
        <v>780</v>
      </c>
      <c r="B145" s="9">
        <v>141</v>
      </c>
      <c r="C145" s="68"/>
      <c r="D145" s="68">
        <f t="shared" si="6"/>
        <v>0</v>
      </c>
      <c r="E145" s="68"/>
      <c r="F145" s="68"/>
      <c r="G145" s="68"/>
      <c r="H145" s="68"/>
      <c r="I145" s="68"/>
      <c r="J145" s="68"/>
      <c r="K145" s="68"/>
      <c r="L145" s="9"/>
      <c r="M145" s="8"/>
      <c r="N145" s="8"/>
      <c r="O145" s="74"/>
      <c r="P145" s="74"/>
      <c r="Q145" s="74"/>
      <c r="R145" s="80" t="e">
        <f t="shared" si="8"/>
        <v>#DIV/0!</v>
      </c>
      <c r="S145" s="83"/>
      <c r="T145" s="89"/>
      <c r="U145" s="83"/>
      <c r="V145" s="83"/>
      <c r="W145" s="93"/>
      <c r="X145" s="93"/>
      <c r="Y145" s="133" t="e">
        <f t="shared" si="9"/>
        <v>#DIV/0!</v>
      </c>
      <c r="Z145" s="56"/>
      <c r="AA145" s="56"/>
    </row>
    <row r="146" spans="1:27">
      <c r="A146" s="60" t="s">
        <v>781</v>
      </c>
      <c r="B146" s="9">
        <v>142</v>
      </c>
      <c r="C146" s="68"/>
      <c r="D146" s="68">
        <f t="shared" si="6"/>
        <v>0</v>
      </c>
      <c r="E146" s="68"/>
      <c r="F146" s="68"/>
      <c r="G146" s="68"/>
      <c r="H146" s="68"/>
      <c r="I146" s="68"/>
      <c r="J146" s="68"/>
      <c r="K146" s="68"/>
      <c r="L146" s="9"/>
      <c r="M146" s="8"/>
      <c r="N146" s="8"/>
      <c r="O146" s="74"/>
      <c r="P146" s="74"/>
      <c r="Q146" s="74"/>
      <c r="R146" s="80" t="e">
        <f t="shared" si="8"/>
        <v>#DIV/0!</v>
      </c>
      <c r="S146" s="83"/>
      <c r="T146" s="89"/>
      <c r="U146" s="83"/>
      <c r="V146" s="83"/>
      <c r="W146" s="93"/>
      <c r="X146" s="93"/>
      <c r="Y146" s="133" t="e">
        <f t="shared" si="9"/>
        <v>#DIV/0!</v>
      </c>
      <c r="Z146" s="56"/>
      <c r="AA146" s="56"/>
    </row>
    <row r="147" spans="1:27">
      <c r="A147" s="60" t="s">
        <v>782</v>
      </c>
      <c r="B147" s="9">
        <v>143</v>
      </c>
      <c r="C147" s="68"/>
      <c r="D147" s="68">
        <f t="shared" si="6"/>
        <v>0</v>
      </c>
      <c r="E147" s="68"/>
      <c r="F147" s="68"/>
      <c r="G147" s="68"/>
      <c r="H147" s="68"/>
      <c r="I147" s="68"/>
      <c r="J147" s="68"/>
      <c r="K147" s="68"/>
      <c r="L147" s="9"/>
      <c r="M147" s="8"/>
      <c r="N147" s="8"/>
      <c r="O147" s="74"/>
      <c r="P147" s="74"/>
      <c r="Q147" s="74"/>
      <c r="R147" s="80" t="e">
        <f t="shared" si="8"/>
        <v>#DIV/0!</v>
      </c>
      <c r="S147" s="83"/>
      <c r="T147" s="89"/>
      <c r="U147" s="83"/>
      <c r="V147" s="83"/>
      <c r="W147" s="93"/>
      <c r="X147" s="93"/>
      <c r="Y147" s="133" t="e">
        <f t="shared" si="9"/>
        <v>#DIV/0!</v>
      </c>
      <c r="Z147" s="56"/>
      <c r="AA147" s="56"/>
    </row>
    <row r="148" spans="1:27">
      <c r="A148" s="60" t="s">
        <v>783</v>
      </c>
      <c r="B148" s="9">
        <v>144</v>
      </c>
      <c r="C148" s="68"/>
      <c r="D148" s="68">
        <f t="shared" si="6"/>
        <v>0</v>
      </c>
      <c r="E148" s="68"/>
      <c r="F148" s="68"/>
      <c r="G148" s="68"/>
      <c r="H148" s="68"/>
      <c r="I148" s="68"/>
      <c r="J148" s="68"/>
      <c r="K148" s="68"/>
      <c r="L148" s="9"/>
      <c r="M148" s="8"/>
      <c r="N148" s="8"/>
      <c r="O148" s="74"/>
      <c r="P148" s="74"/>
      <c r="Q148" s="74"/>
      <c r="R148" s="80" t="e">
        <f t="shared" si="8"/>
        <v>#DIV/0!</v>
      </c>
      <c r="S148" s="83"/>
      <c r="T148" s="89"/>
      <c r="U148" s="83"/>
      <c r="V148" s="83"/>
      <c r="W148" s="93"/>
      <c r="X148" s="93"/>
      <c r="Y148" s="133" t="e">
        <f t="shared" si="9"/>
        <v>#DIV/0!</v>
      </c>
      <c r="Z148" s="56"/>
      <c r="AA148" s="56"/>
    </row>
    <row r="149" spans="1:27">
      <c r="A149" s="60" t="s">
        <v>784</v>
      </c>
      <c r="B149" s="9">
        <v>145</v>
      </c>
      <c r="C149" s="68"/>
      <c r="D149" s="68">
        <f t="shared" si="6"/>
        <v>0</v>
      </c>
      <c r="E149" s="68"/>
      <c r="F149" s="68"/>
      <c r="G149" s="68"/>
      <c r="H149" s="68"/>
      <c r="I149" s="68"/>
      <c r="J149" s="68"/>
      <c r="K149" s="68"/>
      <c r="L149" s="9"/>
      <c r="M149" s="8"/>
      <c r="N149" s="8"/>
      <c r="O149" s="74"/>
      <c r="P149" s="74"/>
      <c r="Q149" s="75"/>
      <c r="R149" s="80" t="e">
        <f t="shared" si="8"/>
        <v>#DIV/0!</v>
      </c>
      <c r="S149" s="81"/>
      <c r="T149" s="87"/>
      <c r="U149" s="81"/>
      <c r="V149" s="81"/>
      <c r="W149" s="93"/>
      <c r="X149" s="93"/>
      <c r="Y149" s="133" t="e">
        <f t="shared" si="9"/>
        <v>#DIV/0!</v>
      </c>
      <c r="Z149" s="95"/>
      <c r="AA149" s="56"/>
    </row>
    <row r="150" spans="1:27">
      <c r="A150" s="60" t="s">
        <v>785</v>
      </c>
      <c r="B150" s="9">
        <v>146</v>
      </c>
      <c r="C150" s="68"/>
      <c r="D150" s="68">
        <f t="shared" si="6"/>
        <v>0</v>
      </c>
      <c r="E150" s="68"/>
      <c r="F150" s="68"/>
      <c r="G150" s="68"/>
      <c r="H150" s="68"/>
      <c r="I150" s="68"/>
      <c r="J150" s="68"/>
      <c r="K150" s="68"/>
      <c r="L150" s="9"/>
      <c r="M150" s="8"/>
      <c r="N150" s="8"/>
      <c r="O150" s="74"/>
      <c r="P150" s="74"/>
      <c r="Q150" s="75"/>
      <c r="R150" s="80" t="e">
        <f t="shared" si="8"/>
        <v>#DIV/0!</v>
      </c>
      <c r="S150" s="81"/>
      <c r="T150" s="87"/>
      <c r="U150" s="81"/>
      <c r="V150" s="81"/>
      <c r="W150" s="93"/>
      <c r="X150" s="93"/>
      <c r="Y150" s="133" t="e">
        <f t="shared" si="9"/>
        <v>#DIV/0!</v>
      </c>
      <c r="Z150" s="95"/>
      <c r="AA150" s="56"/>
    </row>
    <row r="151" spans="1:27">
      <c r="A151" s="60" t="s">
        <v>786</v>
      </c>
      <c r="B151" s="9">
        <v>147</v>
      </c>
      <c r="C151" s="68"/>
      <c r="D151" s="68">
        <f t="shared" si="6"/>
        <v>0</v>
      </c>
      <c r="E151" s="68"/>
      <c r="F151" s="68"/>
      <c r="G151" s="68"/>
      <c r="H151" s="68"/>
      <c r="I151" s="68"/>
      <c r="J151" s="68"/>
      <c r="K151" s="68"/>
      <c r="L151" s="9"/>
      <c r="M151" s="8"/>
      <c r="N151" s="8"/>
      <c r="O151" s="74"/>
      <c r="P151" s="74"/>
      <c r="Q151" s="76"/>
      <c r="R151" s="80" t="e">
        <f t="shared" si="8"/>
        <v>#DIV/0!</v>
      </c>
      <c r="S151" s="82"/>
      <c r="T151" s="88"/>
      <c r="U151" s="82"/>
      <c r="V151" s="82"/>
      <c r="W151" s="93"/>
      <c r="X151" s="93"/>
      <c r="Y151" s="133" t="e">
        <f t="shared" si="9"/>
        <v>#DIV/0!</v>
      </c>
      <c r="Z151" s="96"/>
      <c r="AA151" s="56"/>
    </row>
    <row r="152" spans="1:27">
      <c r="A152" s="60" t="s">
        <v>787</v>
      </c>
      <c r="B152" s="9">
        <v>148</v>
      </c>
      <c r="C152" s="68"/>
      <c r="D152" s="68">
        <f t="shared" si="6"/>
        <v>0</v>
      </c>
      <c r="E152" s="68"/>
      <c r="F152" s="68"/>
      <c r="G152" s="68"/>
      <c r="H152" s="68"/>
      <c r="I152" s="68"/>
      <c r="J152" s="68"/>
      <c r="K152" s="68"/>
      <c r="L152" s="9"/>
      <c r="M152" s="8"/>
      <c r="N152" s="8"/>
      <c r="O152" s="74"/>
      <c r="P152" s="74"/>
      <c r="Q152" s="76"/>
      <c r="R152" s="80" t="e">
        <f t="shared" si="8"/>
        <v>#DIV/0!</v>
      </c>
      <c r="S152" s="82"/>
      <c r="T152" s="88"/>
      <c r="U152" s="82"/>
      <c r="V152" s="82"/>
      <c r="W152" s="93"/>
      <c r="X152" s="93"/>
      <c r="Y152" s="133" t="e">
        <f t="shared" si="9"/>
        <v>#DIV/0!</v>
      </c>
      <c r="Z152" s="96"/>
      <c r="AA152" s="56"/>
    </row>
    <row r="153" spans="1:27">
      <c r="A153" s="60" t="s">
        <v>788</v>
      </c>
      <c r="B153" s="9">
        <v>149</v>
      </c>
      <c r="C153" s="68"/>
      <c r="D153" s="68">
        <f t="shared" si="6"/>
        <v>0</v>
      </c>
      <c r="E153" s="68"/>
      <c r="F153" s="68"/>
      <c r="G153" s="68"/>
      <c r="H153" s="68"/>
      <c r="I153" s="68"/>
      <c r="J153" s="68"/>
      <c r="K153" s="68"/>
      <c r="L153" s="9"/>
      <c r="M153" s="8"/>
      <c r="N153" s="8"/>
      <c r="O153" s="74"/>
      <c r="P153" s="74"/>
      <c r="Q153" s="76"/>
      <c r="R153" s="80" t="e">
        <f t="shared" si="8"/>
        <v>#DIV/0!</v>
      </c>
      <c r="S153" s="82"/>
      <c r="T153" s="88"/>
      <c r="U153" s="82"/>
      <c r="V153" s="82"/>
      <c r="W153" s="93"/>
      <c r="X153" s="93"/>
      <c r="Y153" s="133" t="e">
        <f t="shared" si="9"/>
        <v>#DIV/0!</v>
      </c>
      <c r="Z153" s="96"/>
      <c r="AA153" s="56"/>
    </row>
    <row r="154" spans="1:27">
      <c r="A154" s="60" t="s">
        <v>789</v>
      </c>
      <c r="B154" s="9">
        <v>150</v>
      </c>
      <c r="C154" s="68"/>
      <c r="D154" s="68">
        <f t="shared" si="6"/>
        <v>0</v>
      </c>
      <c r="E154" s="68"/>
      <c r="F154" s="68"/>
      <c r="G154" s="68"/>
      <c r="H154" s="68"/>
      <c r="I154" s="68"/>
      <c r="J154" s="68"/>
      <c r="K154" s="68"/>
      <c r="L154" s="9"/>
      <c r="M154" s="8"/>
      <c r="N154" s="8"/>
      <c r="O154" s="74"/>
      <c r="P154" s="74"/>
      <c r="Q154" s="74"/>
      <c r="R154" s="80" t="e">
        <f t="shared" si="8"/>
        <v>#DIV/0!</v>
      </c>
      <c r="S154" s="83"/>
      <c r="T154" s="89"/>
      <c r="U154" s="83"/>
      <c r="V154" s="83"/>
      <c r="W154" s="93"/>
      <c r="X154" s="93"/>
      <c r="Y154" s="133" t="e">
        <f t="shared" si="9"/>
        <v>#DIV/0!</v>
      </c>
      <c r="Z154" s="56"/>
      <c r="AA154" s="56"/>
    </row>
    <row r="155" spans="1:27">
      <c r="A155" s="60" t="s">
        <v>790</v>
      </c>
      <c r="B155" s="9">
        <v>151</v>
      </c>
      <c r="C155" s="68"/>
      <c r="D155" s="68">
        <f t="shared" si="6"/>
        <v>0</v>
      </c>
      <c r="E155" s="68"/>
      <c r="F155" s="68"/>
      <c r="G155" s="68"/>
      <c r="H155" s="68"/>
      <c r="I155" s="68"/>
      <c r="J155" s="68"/>
      <c r="K155" s="68"/>
      <c r="L155" s="9"/>
      <c r="M155" s="8"/>
      <c r="N155" s="8"/>
      <c r="O155" s="74"/>
      <c r="P155" s="74"/>
      <c r="Q155" s="74"/>
      <c r="R155" s="80" t="e">
        <f t="shared" si="8"/>
        <v>#DIV/0!</v>
      </c>
      <c r="S155" s="83"/>
      <c r="T155" s="89"/>
      <c r="U155" s="83"/>
      <c r="V155" s="83"/>
      <c r="W155" s="93"/>
      <c r="X155" s="93"/>
      <c r="Y155" s="133" t="e">
        <f t="shared" si="9"/>
        <v>#DIV/0!</v>
      </c>
      <c r="Z155" s="56"/>
      <c r="AA155" s="56"/>
    </row>
    <row r="156" spans="1:27">
      <c r="A156" s="60" t="s">
        <v>791</v>
      </c>
      <c r="B156" s="9">
        <v>152</v>
      </c>
      <c r="C156" s="68"/>
      <c r="D156" s="68">
        <f t="shared" si="6"/>
        <v>0</v>
      </c>
      <c r="E156" s="68"/>
      <c r="F156" s="68"/>
      <c r="G156" s="68"/>
      <c r="H156" s="68"/>
      <c r="I156" s="68"/>
      <c r="J156" s="68"/>
      <c r="K156" s="68"/>
      <c r="L156" s="9"/>
      <c r="M156" s="8"/>
      <c r="N156" s="8"/>
      <c r="O156" s="74"/>
      <c r="P156" s="74"/>
      <c r="Q156" s="74"/>
      <c r="R156" s="80" t="e">
        <f t="shared" si="8"/>
        <v>#DIV/0!</v>
      </c>
      <c r="S156" s="83"/>
      <c r="T156" s="89"/>
      <c r="U156" s="83"/>
      <c r="V156" s="83"/>
      <c r="W156" s="93"/>
      <c r="X156" s="93"/>
      <c r="Y156" s="133" t="e">
        <f t="shared" si="9"/>
        <v>#DIV/0!</v>
      </c>
      <c r="Z156" s="56"/>
      <c r="AA156" s="56"/>
    </row>
    <row r="157" spans="1:27">
      <c r="A157" s="60" t="s">
        <v>792</v>
      </c>
      <c r="B157" s="9">
        <v>153</v>
      </c>
      <c r="C157" s="68"/>
      <c r="D157" s="68">
        <f t="shared" si="6"/>
        <v>0</v>
      </c>
      <c r="E157" s="68"/>
      <c r="F157" s="68"/>
      <c r="G157" s="68"/>
      <c r="H157" s="68"/>
      <c r="I157" s="68"/>
      <c r="J157" s="68"/>
      <c r="K157" s="68"/>
      <c r="L157" s="9"/>
      <c r="M157" s="8"/>
      <c r="N157" s="8"/>
      <c r="O157" s="74"/>
      <c r="P157" s="74"/>
      <c r="Q157" s="74"/>
      <c r="R157" s="80" t="e">
        <f t="shared" si="8"/>
        <v>#DIV/0!</v>
      </c>
      <c r="S157" s="83"/>
      <c r="T157" s="89"/>
      <c r="U157" s="83"/>
      <c r="V157" s="83"/>
      <c r="W157" s="93"/>
      <c r="X157" s="93"/>
      <c r="Y157" s="133" t="e">
        <f t="shared" si="9"/>
        <v>#DIV/0!</v>
      </c>
      <c r="Z157" s="56"/>
      <c r="AA157" s="56"/>
    </row>
    <row r="158" spans="1:27">
      <c r="A158" s="60" t="s">
        <v>793</v>
      </c>
      <c r="B158" s="9">
        <v>154</v>
      </c>
      <c r="C158" s="68"/>
      <c r="D158" s="68">
        <f t="shared" si="6"/>
        <v>0</v>
      </c>
      <c r="E158" s="68"/>
      <c r="F158" s="68"/>
      <c r="G158" s="68"/>
      <c r="H158" s="68"/>
      <c r="I158" s="68"/>
      <c r="J158" s="68"/>
      <c r="K158" s="68"/>
      <c r="L158" s="9"/>
      <c r="M158" s="8"/>
      <c r="N158" s="8"/>
      <c r="O158" s="74"/>
      <c r="P158" s="74"/>
      <c r="Q158" s="74"/>
      <c r="R158" s="80" t="e">
        <f t="shared" si="8"/>
        <v>#DIV/0!</v>
      </c>
      <c r="S158" s="83"/>
      <c r="T158" s="89"/>
      <c r="U158" s="83"/>
      <c r="V158" s="83"/>
      <c r="W158" s="93"/>
      <c r="X158" s="93"/>
      <c r="Y158" s="133" t="e">
        <f t="shared" si="9"/>
        <v>#DIV/0!</v>
      </c>
      <c r="Z158" s="56"/>
      <c r="AA158" s="56"/>
    </row>
    <row r="159" spans="1:27">
      <c r="A159" s="60" t="s">
        <v>794</v>
      </c>
      <c r="B159" s="9">
        <v>155</v>
      </c>
      <c r="C159" s="68"/>
      <c r="D159" s="68">
        <f t="shared" si="6"/>
        <v>0</v>
      </c>
      <c r="E159" s="68"/>
      <c r="F159" s="68"/>
      <c r="G159" s="68"/>
      <c r="H159" s="68"/>
      <c r="I159" s="68"/>
      <c r="J159" s="68"/>
      <c r="K159" s="68"/>
      <c r="L159" s="9"/>
      <c r="M159" s="8"/>
      <c r="N159" s="8"/>
      <c r="O159" s="74"/>
      <c r="P159" s="74"/>
      <c r="Q159" s="74"/>
      <c r="R159" s="80" t="e">
        <f t="shared" si="8"/>
        <v>#DIV/0!</v>
      </c>
      <c r="S159" s="83"/>
      <c r="T159" s="89"/>
      <c r="U159" s="83"/>
      <c r="V159" s="83"/>
      <c r="W159" s="93"/>
      <c r="X159" s="93"/>
      <c r="Y159" s="133" t="e">
        <f t="shared" si="9"/>
        <v>#DIV/0!</v>
      </c>
      <c r="Z159" s="56"/>
      <c r="AA159" s="56"/>
    </row>
    <row r="160" spans="1:27">
      <c r="A160" s="60" t="s">
        <v>795</v>
      </c>
      <c r="B160" s="9">
        <v>156</v>
      </c>
      <c r="C160" s="68"/>
      <c r="D160" s="68">
        <f t="shared" si="6"/>
        <v>0</v>
      </c>
      <c r="E160" s="68"/>
      <c r="F160" s="68"/>
      <c r="G160" s="68"/>
      <c r="H160" s="68"/>
      <c r="I160" s="68"/>
      <c r="J160" s="68"/>
      <c r="K160" s="68"/>
      <c r="L160" s="9"/>
      <c r="M160" s="8"/>
      <c r="N160" s="8"/>
      <c r="O160" s="74"/>
      <c r="P160" s="74"/>
      <c r="Q160" s="74"/>
      <c r="R160" s="80" t="e">
        <f t="shared" si="8"/>
        <v>#DIV/0!</v>
      </c>
      <c r="S160" s="83"/>
      <c r="T160" s="89"/>
      <c r="U160" s="83"/>
      <c r="V160" s="83"/>
      <c r="W160" s="93"/>
      <c r="X160" s="93"/>
      <c r="Y160" s="133" t="e">
        <f t="shared" si="9"/>
        <v>#DIV/0!</v>
      </c>
      <c r="Z160" s="56"/>
      <c r="AA160" s="56"/>
    </row>
    <row r="161" spans="1:27">
      <c r="A161" s="60" t="s">
        <v>796</v>
      </c>
      <c r="B161" s="9">
        <v>157</v>
      </c>
      <c r="C161" s="68"/>
      <c r="D161" s="68">
        <f t="shared" si="6"/>
        <v>0</v>
      </c>
      <c r="E161" s="68"/>
      <c r="F161" s="68"/>
      <c r="G161" s="68"/>
      <c r="H161" s="68"/>
      <c r="I161" s="68"/>
      <c r="J161" s="68"/>
      <c r="K161" s="68"/>
      <c r="L161" s="9"/>
      <c r="M161" s="8"/>
      <c r="N161" s="8"/>
      <c r="O161" s="74"/>
      <c r="P161" s="74"/>
      <c r="Q161" s="74"/>
      <c r="R161" s="80" t="e">
        <f t="shared" si="8"/>
        <v>#DIV/0!</v>
      </c>
      <c r="S161" s="83"/>
      <c r="T161" s="89"/>
      <c r="U161" s="83"/>
      <c r="V161" s="83"/>
      <c r="W161" s="93"/>
      <c r="X161" s="93"/>
      <c r="Y161" s="133" t="e">
        <f t="shared" si="9"/>
        <v>#DIV/0!</v>
      </c>
      <c r="Z161" s="56"/>
      <c r="AA161" s="56"/>
    </row>
    <row r="162" spans="1:27">
      <c r="A162" s="60" t="s">
        <v>797</v>
      </c>
      <c r="B162" s="9">
        <v>158</v>
      </c>
      <c r="C162" s="68"/>
      <c r="D162" s="68">
        <f t="shared" si="6"/>
        <v>0</v>
      </c>
      <c r="E162" s="68"/>
      <c r="F162" s="68"/>
      <c r="G162" s="68"/>
      <c r="H162" s="68"/>
      <c r="I162" s="68"/>
      <c r="J162" s="68"/>
      <c r="K162" s="68"/>
      <c r="L162" s="9"/>
      <c r="M162" s="8"/>
      <c r="N162" s="8"/>
      <c r="O162" s="74"/>
      <c r="P162" s="74"/>
      <c r="Q162" s="74"/>
      <c r="R162" s="80" t="e">
        <f t="shared" si="8"/>
        <v>#DIV/0!</v>
      </c>
      <c r="S162" s="83"/>
      <c r="T162" s="89"/>
      <c r="U162" s="83"/>
      <c r="V162" s="83"/>
      <c r="W162" s="93"/>
      <c r="X162" s="93"/>
      <c r="Y162" s="133" t="e">
        <f t="shared" si="9"/>
        <v>#DIV/0!</v>
      </c>
      <c r="Z162" s="56"/>
      <c r="AA162" s="56"/>
    </row>
    <row r="163" spans="1:27">
      <c r="A163" s="149" t="s">
        <v>798</v>
      </c>
      <c r="B163" s="9">
        <v>159</v>
      </c>
      <c r="C163" s="69"/>
      <c r="D163" s="68">
        <f t="shared" si="6"/>
        <v>0</v>
      </c>
      <c r="E163" s="69"/>
      <c r="F163" s="69"/>
      <c r="G163" s="69"/>
      <c r="H163" s="69"/>
      <c r="I163" s="69"/>
      <c r="J163" s="69"/>
      <c r="K163" s="69"/>
      <c r="L163" s="71"/>
      <c r="M163" s="73"/>
      <c r="N163" s="73"/>
      <c r="O163" s="77"/>
      <c r="P163" s="77"/>
      <c r="Q163" s="77"/>
      <c r="R163" s="80" t="e">
        <f t="shared" si="8"/>
        <v>#DIV/0!</v>
      </c>
      <c r="S163" s="84"/>
      <c r="T163" s="90"/>
      <c r="U163" s="84"/>
      <c r="V163" s="84"/>
      <c r="W163" s="139"/>
      <c r="X163" s="93"/>
      <c r="Y163" s="133" t="e">
        <f t="shared" si="9"/>
        <v>#DIV/0!</v>
      </c>
      <c r="Z163" s="97"/>
      <c r="AA163" s="56"/>
    </row>
    <row r="164" spans="1:27">
      <c r="A164" s="60" t="s">
        <v>799</v>
      </c>
      <c r="B164" s="9">
        <v>160</v>
      </c>
      <c r="C164" s="68"/>
      <c r="D164" s="68">
        <f t="shared" si="6"/>
        <v>0</v>
      </c>
      <c r="E164" s="68"/>
      <c r="F164" s="68"/>
      <c r="G164" s="68"/>
      <c r="H164" s="68"/>
      <c r="I164" s="68"/>
      <c r="J164" s="68"/>
      <c r="K164" s="68"/>
      <c r="L164" s="9"/>
      <c r="M164" s="8"/>
      <c r="N164" s="8"/>
      <c r="O164" s="74"/>
      <c r="P164" s="74"/>
      <c r="Q164" s="74"/>
      <c r="R164" s="80" t="e">
        <f t="shared" si="8"/>
        <v>#DIV/0!</v>
      </c>
      <c r="S164" s="83"/>
      <c r="T164" s="89"/>
      <c r="U164" s="83"/>
      <c r="V164" s="83"/>
      <c r="W164" s="93"/>
      <c r="X164" s="93"/>
      <c r="Y164" s="133" t="e">
        <f t="shared" si="9"/>
        <v>#DIV/0!</v>
      </c>
      <c r="Z164" s="56"/>
      <c r="AA164" s="56"/>
    </row>
    <row r="165" spans="1:27">
      <c r="A165" s="61" t="s">
        <v>800</v>
      </c>
      <c r="B165" s="9">
        <v>161</v>
      </c>
      <c r="C165" s="70"/>
      <c r="D165" s="68">
        <f t="shared" si="6"/>
        <v>0</v>
      </c>
      <c r="E165" s="70"/>
      <c r="F165" s="70"/>
      <c r="G165" s="70"/>
      <c r="H165" s="70"/>
      <c r="I165" s="70"/>
      <c r="J165" s="70"/>
      <c r="K165" s="70"/>
      <c r="L165" s="18"/>
      <c r="M165" s="19"/>
      <c r="N165" s="19"/>
      <c r="O165" s="78"/>
      <c r="P165" s="78"/>
      <c r="Q165" s="78"/>
      <c r="R165" s="80" t="e">
        <f t="shared" si="8"/>
        <v>#DIV/0!</v>
      </c>
      <c r="S165" s="85"/>
      <c r="T165" s="91"/>
      <c r="U165" s="85"/>
      <c r="V165" s="85"/>
      <c r="W165" s="133"/>
      <c r="X165" s="93"/>
      <c r="Y165" s="133" t="e">
        <f t="shared" si="9"/>
        <v>#DIV/0!</v>
      </c>
      <c r="Z165" s="98"/>
      <c r="AA165" s="56"/>
    </row>
    <row r="166" spans="1:27">
      <c r="A166" s="60" t="s">
        <v>801</v>
      </c>
      <c r="B166" s="9">
        <v>162</v>
      </c>
      <c r="C166" s="70"/>
      <c r="D166" s="68">
        <f t="shared" ref="D166:D196" si="10">C166/800</f>
        <v>0</v>
      </c>
      <c r="E166" s="70"/>
      <c r="F166" s="70"/>
      <c r="G166" s="70"/>
      <c r="H166" s="70"/>
      <c r="I166" s="70"/>
      <c r="J166" s="70"/>
      <c r="K166" s="70"/>
      <c r="L166" s="18"/>
      <c r="M166" s="8"/>
      <c r="N166" s="8"/>
      <c r="O166" s="74"/>
      <c r="P166" s="74"/>
      <c r="Q166" s="74"/>
      <c r="R166" s="80" t="e">
        <f t="shared" si="8"/>
        <v>#DIV/0!</v>
      </c>
      <c r="S166" s="83"/>
      <c r="T166" s="89"/>
      <c r="U166" s="83"/>
      <c r="V166" s="83"/>
      <c r="W166" s="93"/>
      <c r="X166" s="93"/>
      <c r="Y166" s="133" t="e">
        <f t="shared" si="9"/>
        <v>#DIV/0!</v>
      </c>
      <c r="Z166" s="56"/>
      <c r="AA166" s="56"/>
    </row>
    <row r="167" spans="1:27">
      <c r="A167" s="60" t="s">
        <v>802</v>
      </c>
      <c r="B167" s="9">
        <v>163</v>
      </c>
      <c r="C167" s="70"/>
      <c r="D167" s="68">
        <f t="shared" si="10"/>
        <v>0</v>
      </c>
      <c r="E167" s="70"/>
      <c r="F167" s="70"/>
      <c r="G167" s="70"/>
      <c r="H167" s="70"/>
      <c r="I167" s="70"/>
      <c r="J167" s="70"/>
      <c r="K167" s="70"/>
      <c r="L167" s="18"/>
      <c r="M167" s="8"/>
      <c r="N167" s="8"/>
      <c r="O167" s="74"/>
      <c r="P167" s="74"/>
      <c r="Q167" s="74"/>
      <c r="R167" s="80" t="e">
        <f t="shared" si="8"/>
        <v>#DIV/0!</v>
      </c>
      <c r="S167" s="83"/>
      <c r="T167" s="89"/>
      <c r="U167" s="83"/>
      <c r="V167" s="83"/>
      <c r="W167" s="93"/>
      <c r="X167" s="93"/>
      <c r="Y167" s="133" t="e">
        <f t="shared" si="9"/>
        <v>#DIV/0!</v>
      </c>
      <c r="Z167" s="56"/>
      <c r="AA167" s="56"/>
    </row>
    <row r="168" spans="1:27">
      <c r="A168" s="60" t="s">
        <v>803</v>
      </c>
      <c r="B168" s="9">
        <v>164</v>
      </c>
      <c r="C168" s="70"/>
      <c r="D168" s="68">
        <f t="shared" si="10"/>
        <v>0</v>
      </c>
      <c r="E168" s="70"/>
      <c r="F168" s="70"/>
      <c r="G168" s="70"/>
      <c r="H168" s="70"/>
      <c r="I168" s="70"/>
      <c r="J168" s="70"/>
      <c r="K168" s="70"/>
      <c r="L168" s="18"/>
      <c r="M168" s="8"/>
      <c r="N168" s="8"/>
      <c r="O168" s="74"/>
      <c r="P168" s="74"/>
      <c r="Q168" s="74"/>
      <c r="R168" s="80" t="e">
        <f t="shared" si="8"/>
        <v>#DIV/0!</v>
      </c>
      <c r="S168" s="83"/>
      <c r="T168" s="89"/>
      <c r="U168" s="83"/>
      <c r="V168" s="83"/>
      <c r="W168" s="93"/>
      <c r="X168" s="93"/>
      <c r="Y168" s="133" t="e">
        <f t="shared" si="9"/>
        <v>#DIV/0!</v>
      </c>
      <c r="Z168" s="56"/>
      <c r="AA168" s="56"/>
    </row>
    <row r="169" spans="1:27">
      <c r="A169" s="60" t="s">
        <v>804</v>
      </c>
      <c r="B169" s="9">
        <v>165</v>
      </c>
      <c r="C169" s="70"/>
      <c r="D169" s="68">
        <f t="shared" si="10"/>
        <v>0</v>
      </c>
      <c r="E169" s="70"/>
      <c r="F169" s="70"/>
      <c r="G169" s="70"/>
      <c r="H169" s="70"/>
      <c r="I169" s="70"/>
      <c r="J169" s="70"/>
      <c r="K169" s="70"/>
      <c r="L169" s="18"/>
      <c r="M169" s="8"/>
      <c r="N169" s="8"/>
      <c r="O169" s="74"/>
      <c r="P169" s="74"/>
      <c r="Q169" s="74"/>
      <c r="R169" s="80" t="e">
        <f t="shared" si="8"/>
        <v>#DIV/0!</v>
      </c>
      <c r="S169" s="83"/>
      <c r="T169" s="89"/>
      <c r="U169" s="83"/>
      <c r="V169" s="83"/>
      <c r="W169" s="93"/>
      <c r="X169" s="93"/>
      <c r="Y169" s="133" t="e">
        <f t="shared" si="9"/>
        <v>#DIV/0!</v>
      </c>
      <c r="Z169" s="56"/>
      <c r="AA169" s="56"/>
    </row>
    <row r="170" spans="1:27">
      <c r="A170" s="60" t="s">
        <v>805</v>
      </c>
      <c r="B170" s="9">
        <v>166</v>
      </c>
      <c r="C170" s="70"/>
      <c r="D170" s="68">
        <f t="shared" si="10"/>
        <v>0</v>
      </c>
      <c r="E170" s="70"/>
      <c r="F170" s="70"/>
      <c r="G170" s="70"/>
      <c r="H170" s="70"/>
      <c r="I170" s="70"/>
      <c r="J170" s="70"/>
      <c r="K170" s="70"/>
      <c r="L170" s="18"/>
      <c r="M170" s="8"/>
      <c r="N170" s="8"/>
      <c r="O170" s="74"/>
      <c r="P170" s="74"/>
      <c r="Q170" s="74"/>
      <c r="R170" s="80" t="e">
        <f t="shared" si="8"/>
        <v>#DIV/0!</v>
      </c>
      <c r="S170" s="83"/>
      <c r="T170" s="89"/>
      <c r="U170" s="83"/>
      <c r="V170" s="83"/>
      <c r="W170" s="93"/>
      <c r="X170" s="93"/>
      <c r="Y170" s="133" t="e">
        <f t="shared" si="9"/>
        <v>#DIV/0!</v>
      </c>
      <c r="Z170" s="56"/>
      <c r="AA170" s="56"/>
    </row>
    <row r="171" spans="1:27">
      <c r="A171" s="60" t="s">
        <v>806</v>
      </c>
      <c r="B171" s="9">
        <v>167</v>
      </c>
      <c r="C171" s="70"/>
      <c r="D171" s="68">
        <f t="shared" si="10"/>
        <v>0</v>
      </c>
      <c r="E171" s="70"/>
      <c r="F171" s="70"/>
      <c r="G171" s="70"/>
      <c r="H171" s="70"/>
      <c r="I171" s="70"/>
      <c r="J171" s="70"/>
      <c r="K171" s="70"/>
      <c r="L171" s="18"/>
      <c r="M171" s="8"/>
      <c r="N171" s="8"/>
      <c r="O171" s="74"/>
      <c r="P171" s="74"/>
      <c r="Q171" s="74"/>
      <c r="R171" s="80" t="e">
        <f t="shared" si="8"/>
        <v>#DIV/0!</v>
      </c>
      <c r="S171" s="83"/>
      <c r="T171" s="89"/>
      <c r="U171" s="83"/>
      <c r="V171" s="83"/>
      <c r="W171" s="93"/>
      <c r="X171" s="93"/>
      <c r="Y171" s="133" t="e">
        <f t="shared" si="9"/>
        <v>#DIV/0!</v>
      </c>
      <c r="Z171" s="56"/>
      <c r="AA171" s="56"/>
    </row>
    <row r="172" spans="1:27">
      <c r="A172" s="60" t="s">
        <v>807</v>
      </c>
      <c r="B172" s="9">
        <v>168</v>
      </c>
      <c r="C172" s="70"/>
      <c r="D172" s="68">
        <f t="shared" si="10"/>
        <v>0</v>
      </c>
      <c r="E172" s="70"/>
      <c r="F172" s="70"/>
      <c r="G172" s="70"/>
      <c r="H172" s="70"/>
      <c r="I172" s="70"/>
      <c r="J172" s="70"/>
      <c r="K172" s="70"/>
      <c r="L172" s="18"/>
      <c r="M172" s="8"/>
      <c r="N172" s="8"/>
      <c r="O172" s="74"/>
      <c r="P172" s="74"/>
      <c r="Q172" s="74"/>
      <c r="R172" s="80" t="e">
        <f t="shared" si="8"/>
        <v>#DIV/0!</v>
      </c>
      <c r="S172" s="83"/>
      <c r="T172" s="89"/>
      <c r="U172" s="83"/>
      <c r="V172" s="83"/>
      <c r="W172" s="93"/>
      <c r="X172" s="93"/>
      <c r="Y172" s="133" t="e">
        <f t="shared" si="9"/>
        <v>#DIV/0!</v>
      </c>
      <c r="Z172" s="56"/>
      <c r="AA172" s="56"/>
    </row>
    <row r="173" spans="1:27">
      <c r="A173" s="60" t="s">
        <v>233</v>
      </c>
      <c r="B173" s="9">
        <v>169</v>
      </c>
      <c r="C173" s="68"/>
      <c r="D173" s="68">
        <f t="shared" si="10"/>
        <v>0</v>
      </c>
      <c r="E173" s="68"/>
      <c r="F173" s="68"/>
      <c r="G173" s="68"/>
      <c r="H173" s="68"/>
      <c r="I173" s="68"/>
      <c r="J173" s="68"/>
      <c r="K173" s="68"/>
      <c r="L173" s="9"/>
      <c r="M173" s="8"/>
      <c r="N173" s="8"/>
      <c r="O173" s="74"/>
      <c r="P173" s="74"/>
      <c r="Q173" s="74"/>
      <c r="R173" s="80" t="e">
        <f t="shared" si="8"/>
        <v>#DIV/0!</v>
      </c>
      <c r="S173" s="83"/>
      <c r="T173" s="89"/>
      <c r="U173" s="83"/>
      <c r="V173" s="83"/>
      <c r="W173" s="93"/>
      <c r="X173" s="93"/>
      <c r="Y173" s="133" t="e">
        <f t="shared" si="9"/>
        <v>#DIV/0!</v>
      </c>
      <c r="Z173" s="56"/>
      <c r="AA173" s="56"/>
    </row>
    <row r="174" spans="1:27">
      <c r="A174" s="60" t="s">
        <v>234</v>
      </c>
      <c r="B174" s="9">
        <v>170</v>
      </c>
      <c r="C174" s="68"/>
      <c r="D174" s="68">
        <f t="shared" si="10"/>
        <v>0</v>
      </c>
      <c r="E174" s="68"/>
      <c r="F174" s="68"/>
      <c r="G174" s="68"/>
      <c r="H174" s="68"/>
      <c r="I174" s="68"/>
      <c r="J174" s="68"/>
      <c r="K174" s="68"/>
      <c r="L174" s="9"/>
      <c r="M174" s="8"/>
      <c r="N174" s="8"/>
      <c r="O174" s="74"/>
      <c r="P174" s="74"/>
      <c r="Q174" s="74"/>
      <c r="R174" s="80" t="e">
        <f t="shared" si="8"/>
        <v>#DIV/0!</v>
      </c>
      <c r="S174" s="83"/>
      <c r="T174" s="89"/>
      <c r="U174" s="83"/>
      <c r="V174" s="83"/>
      <c r="W174" s="93"/>
      <c r="X174" s="93"/>
      <c r="Y174" s="133" t="e">
        <f t="shared" si="9"/>
        <v>#DIV/0!</v>
      </c>
      <c r="Z174" s="56"/>
      <c r="AA174" s="56"/>
    </row>
    <row r="175" spans="1:27">
      <c r="A175" s="60" t="s">
        <v>235</v>
      </c>
      <c r="B175" s="9">
        <v>171</v>
      </c>
      <c r="C175" s="68"/>
      <c r="D175" s="68">
        <f t="shared" si="10"/>
        <v>0</v>
      </c>
      <c r="E175" s="68"/>
      <c r="F175" s="68"/>
      <c r="G175" s="68"/>
      <c r="H175" s="68"/>
      <c r="I175" s="68"/>
      <c r="J175" s="68"/>
      <c r="K175" s="68"/>
      <c r="L175" s="9"/>
      <c r="M175" s="8"/>
      <c r="N175" s="8"/>
      <c r="O175" s="74"/>
      <c r="P175" s="74"/>
      <c r="Q175" s="74"/>
      <c r="R175" s="80" t="e">
        <f t="shared" si="8"/>
        <v>#DIV/0!</v>
      </c>
      <c r="S175" s="83"/>
      <c r="T175" s="89"/>
      <c r="U175" s="83"/>
      <c r="V175" s="83"/>
      <c r="W175" s="93"/>
      <c r="X175" s="93"/>
      <c r="Y175" s="133" t="e">
        <f t="shared" si="9"/>
        <v>#DIV/0!</v>
      </c>
      <c r="Z175" s="56"/>
      <c r="AA175" s="56"/>
    </row>
    <row r="176" spans="1:27">
      <c r="A176" s="60" t="s">
        <v>236</v>
      </c>
      <c r="B176" s="9">
        <v>172</v>
      </c>
      <c r="C176" s="68"/>
      <c r="D176" s="68">
        <f t="shared" si="10"/>
        <v>0</v>
      </c>
      <c r="E176" s="68"/>
      <c r="F176" s="68"/>
      <c r="G176" s="68"/>
      <c r="H176" s="68"/>
      <c r="I176" s="68"/>
      <c r="J176" s="68"/>
      <c r="K176" s="68"/>
      <c r="L176" s="9"/>
      <c r="M176" s="8"/>
      <c r="N176" s="8"/>
      <c r="O176" s="74"/>
      <c r="P176" s="74"/>
      <c r="Q176" s="74"/>
      <c r="R176" s="80" t="e">
        <f t="shared" ref="R176:R196" si="11">1500*P176/Q176</f>
        <v>#DIV/0!</v>
      </c>
      <c r="S176" s="83"/>
      <c r="T176" s="89"/>
      <c r="U176" s="83"/>
      <c r="V176" s="83"/>
      <c r="W176" s="93"/>
      <c r="X176" s="93"/>
      <c r="Y176" s="133" t="e">
        <f t="shared" si="9"/>
        <v>#DIV/0!</v>
      </c>
      <c r="Z176" s="56"/>
      <c r="AA176" s="56"/>
    </row>
    <row r="177" spans="1:27">
      <c r="A177" s="60" t="s">
        <v>237</v>
      </c>
      <c r="B177" s="9">
        <v>173</v>
      </c>
      <c r="C177" s="68"/>
      <c r="D177" s="68">
        <f t="shared" si="10"/>
        <v>0</v>
      </c>
      <c r="E177" s="68"/>
      <c r="F177" s="68"/>
      <c r="G177" s="68"/>
      <c r="H177" s="68"/>
      <c r="I177" s="68"/>
      <c r="J177" s="68"/>
      <c r="K177" s="68"/>
      <c r="L177" s="9"/>
      <c r="M177" s="8"/>
      <c r="N177" s="8"/>
      <c r="O177" s="74"/>
      <c r="P177" s="74"/>
      <c r="Q177" s="74"/>
      <c r="R177" s="80" t="e">
        <f t="shared" si="11"/>
        <v>#DIV/0!</v>
      </c>
      <c r="S177" s="83"/>
      <c r="T177" s="89"/>
      <c r="U177" s="83"/>
      <c r="V177" s="83"/>
      <c r="W177" s="93"/>
      <c r="X177" s="93"/>
      <c r="Y177" s="133" t="e">
        <f t="shared" si="9"/>
        <v>#DIV/0!</v>
      </c>
      <c r="Z177" s="56"/>
      <c r="AA177" s="56"/>
    </row>
    <row r="178" spans="1:27">
      <c r="A178" s="60" t="s">
        <v>238</v>
      </c>
      <c r="B178" s="9">
        <v>174</v>
      </c>
      <c r="C178" s="68"/>
      <c r="D178" s="68">
        <f t="shared" si="10"/>
        <v>0</v>
      </c>
      <c r="E178" s="68"/>
      <c r="F178" s="68"/>
      <c r="G178" s="68"/>
      <c r="H178" s="68"/>
      <c r="I178" s="68"/>
      <c r="J178" s="68"/>
      <c r="K178" s="68"/>
      <c r="L178" s="9"/>
      <c r="M178" s="8"/>
      <c r="N178" s="8"/>
      <c r="O178" s="74"/>
      <c r="P178" s="74"/>
      <c r="Q178" s="74"/>
      <c r="R178" s="80" t="e">
        <f t="shared" si="11"/>
        <v>#DIV/0!</v>
      </c>
      <c r="S178" s="83"/>
      <c r="T178" s="89"/>
      <c r="U178" s="83"/>
      <c r="V178" s="83"/>
      <c r="W178" s="93"/>
      <c r="X178" s="93"/>
      <c r="Y178" s="133" t="e">
        <f t="shared" si="9"/>
        <v>#DIV/0!</v>
      </c>
      <c r="Z178" s="56"/>
      <c r="AA178" s="56"/>
    </row>
    <row r="179" spans="1:27">
      <c r="A179" s="60" t="s">
        <v>239</v>
      </c>
      <c r="B179" s="9">
        <v>175</v>
      </c>
      <c r="C179" s="68"/>
      <c r="D179" s="68">
        <f t="shared" si="10"/>
        <v>0</v>
      </c>
      <c r="E179" s="68"/>
      <c r="F179" s="68"/>
      <c r="G179" s="68"/>
      <c r="H179" s="68"/>
      <c r="I179" s="68"/>
      <c r="J179" s="68"/>
      <c r="K179" s="68"/>
      <c r="L179" s="9"/>
      <c r="M179" s="8"/>
      <c r="N179" s="8"/>
      <c r="O179" s="74"/>
      <c r="P179" s="74"/>
      <c r="Q179" s="74"/>
      <c r="R179" s="80" t="e">
        <f t="shared" si="11"/>
        <v>#DIV/0!</v>
      </c>
      <c r="S179" s="83"/>
      <c r="T179" s="89"/>
      <c r="U179" s="83"/>
      <c r="V179" s="83"/>
      <c r="W179" s="93"/>
      <c r="X179" s="93"/>
      <c r="Y179" s="133" t="e">
        <f t="shared" si="9"/>
        <v>#DIV/0!</v>
      </c>
      <c r="Z179" s="56"/>
      <c r="AA179" s="56"/>
    </row>
    <row r="180" spans="1:27">
      <c r="A180" s="60" t="s">
        <v>240</v>
      </c>
      <c r="B180" s="9">
        <v>176</v>
      </c>
      <c r="C180" s="68"/>
      <c r="D180" s="68">
        <f t="shared" si="10"/>
        <v>0</v>
      </c>
      <c r="E180" s="68"/>
      <c r="F180" s="68"/>
      <c r="G180" s="68"/>
      <c r="H180" s="68"/>
      <c r="I180" s="68"/>
      <c r="J180" s="68"/>
      <c r="K180" s="68"/>
      <c r="L180" s="9"/>
      <c r="M180" s="8"/>
      <c r="N180" s="8"/>
      <c r="O180" s="74"/>
      <c r="P180" s="74"/>
      <c r="Q180" s="74"/>
      <c r="R180" s="80" t="e">
        <f t="shared" si="11"/>
        <v>#DIV/0!</v>
      </c>
      <c r="S180" s="83"/>
      <c r="T180" s="89"/>
      <c r="U180" s="83"/>
      <c r="V180" s="83"/>
      <c r="W180" s="93"/>
      <c r="X180" s="93"/>
      <c r="Y180" s="133" t="e">
        <f t="shared" si="9"/>
        <v>#DIV/0!</v>
      </c>
      <c r="Z180" s="56"/>
      <c r="AA180" s="56"/>
    </row>
    <row r="181" spans="1:27">
      <c r="A181" s="60" t="s">
        <v>241</v>
      </c>
      <c r="B181" s="9">
        <v>177</v>
      </c>
      <c r="C181" s="68"/>
      <c r="D181" s="68">
        <f t="shared" si="10"/>
        <v>0</v>
      </c>
      <c r="E181" s="68"/>
      <c r="F181" s="68"/>
      <c r="G181" s="68"/>
      <c r="H181" s="68"/>
      <c r="I181" s="68"/>
      <c r="J181" s="68"/>
      <c r="K181" s="68"/>
      <c r="L181" s="9"/>
      <c r="M181" s="8"/>
      <c r="N181" s="8"/>
      <c r="O181" s="74"/>
      <c r="P181" s="74"/>
      <c r="Q181" s="74"/>
      <c r="R181" s="80" t="e">
        <f t="shared" si="11"/>
        <v>#DIV/0!</v>
      </c>
      <c r="S181" s="83"/>
      <c r="T181" s="89"/>
      <c r="U181" s="83"/>
      <c r="V181" s="83"/>
      <c r="W181" s="93"/>
      <c r="X181" s="93"/>
      <c r="Y181" s="133" t="e">
        <f t="shared" si="9"/>
        <v>#DIV/0!</v>
      </c>
      <c r="Z181" s="56"/>
      <c r="AA181" s="56"/>
    </row>
    <row r="182" spans="1:27">
      <c r="A182" s="60" t="s">
        <v>242</v>
      </c>
      <c r="B182" s="9">
        <v>178</v>
      </c>
      <c r="C182" s="68"/>
      <c r="D182" s="68">
        <f t="shared" si="10"/>
        <v>0</v>
      </c>
      <c r="E182" s="68"/>
      <c r="F182" s="68"/>
      <c r="G182" s="68"/>
      <c r="H182" s="68"/>
      <c r="I182" s="68"/>
      <c r="J182" s="68"/>
      <c r="K182" s="68"/>
      <c r="L182" s="9"/>
      <c r="M182" s="8"/>
      <c r="N182" s="8"/>
      <c r="O182" s="74"/>
      <c r="P182" s="74"/>
      <c r="Q182" s="74"/>
      <c r="R182" s="80" t="e">
        <f t="shared" si="11"/>
        <v>#DIV/0!</v>
      </c>
      <c r="S182" s="83"/>
      <c r="T182" s="89"/>
      <c r="U182" s="83"/>
      <c r="V182" s="83"/>
      <c r="W182" s="93"/>
      <c r="X182" s="93"/>
      <c r="Y182" s="133" t="e">
        <f t="shared" si="9"/>
        <v>#DIV/0!</v>
      </c>
      <c r="Z182" s="56"/>
      <c r="AA182" s="56"/>
    </row>
    <row r="183" spans="1:27">
      <c r="A183" s="60" t="s">
        <v>243</v>
      </c>
      <c r="B183" s="9">
        <v>179</v>
      </c>
      <c r="C183" s="68"/>
      <c r="D183" s="68">
        <f t="shared" si="10"/>
        <v>0</v>
      </c>
      <c r="E183" s="68"/>
      <c r="F183" s="68"/>
      <c r="G183" s="68"/>
      <c r="H183" s="68"/>
      <c r="I183" s="68"/>
      <c r="J183" s="68"/>
      <c r="K183" s="68"/>
      <c r="L183" s="9"/>
      <c r="M183" s="8"/>
      <c r="N183" s="8"/>
      <c r="O183" s="74"/>
      <c r="P183" s="74"/>
      <c r="Q183" s="74"/>
      <c r="R183" s="80" t="e">
        <f t="shared" si="11"/>
        <v>#DIV/0!</v>
      </c>
      <c r="S183" s="83"/>
      <c r="T183" s="89"/>
      <c r="U183" s="83"/>
      <c r="V183" s="83"/>
      <c r="W183" s="93"/>
      <c r="X183" s="93"/>
      <c r="Y183" s="133" t="e">
        <f t="shared" si="9"/>
        <v>#DIV/0!</v>
      </c>
      <c r="Z183" s="56"/>
      <c r="AA183" s="56"/>
    </row>
    <row r="184" spans="1:27">
      <c r="A184" s="60" t="s">
        <v>244</v>
      </c>
      <c r="B184" s="9">
        <v>180</v>
      </c>
      <c r="C184" s="68"/>
      <c r="D184" s="68">
        <f t="shared" si="10"/>
        <v>0</v>
      </c>
      <c r="E184" s="68"/>
      <c r="F184" s="68"/>
      <c r="G184" s="68"/>
      <c r="H184" s="68"/>
      <c r="I184" s="68"/>
      <c r="J184" s="68"/>
      <c r="K184" s="68"/>
      <c r="L184" s="9"/>
      <c r="M184" s="8"/>
      <c r="N184" s="8"/>
      <c r="O184" s="74"/>
      <c r="P184" s="74"/>
      <c r="Q184" s="74"/>
      <c r="R184" s="80" t="e">
        <f t="shared" si="11"/>
        <v>#DIV/0!</v>
      </c>
      <c r="S184" s="83"/>
      <c r="T184" s="89"/>
      <c r="U184" s="83"/>
      <c r="V184" s="83"/>
      <c r="W184" s="93"/>
      <c r="X184" s="93"/>
      <c r="Y184" s="133" t="e">
        <f t="shared" si="9"/>
        <v>#DIV/0!</v>
      </c>
      <c r="Z184" s="56"/>
      <c r="AA184" s="56"/>
    </row>
    <row r="185" spans="1:27">
      <c r="A185" s="60" t="s">
        <v>245</v>
      </c>
      <c r="B185" s="9">
        <v>181</v>
      </c>
      <c r="C185" s="68"/>
      <c r="D185" s="68">
        <f t="shared" si="10"/>
        <v>0</v>
      </c>
      <c r="E185" s="68"/>
      <c r="F185" s="68"/>
      <c r="G185" s="68"/>
      <c r="H185" s="68"/>
      <c r="I185" s="68"/>
      <c r="J185" s="68"/>
      <c r="K185" s="68"/>
      <c r="L185" s="9"/>
      <c r="M185" s="8"/>
      <c r="N185" s="8"/>
      <c r="O185" s="74"/>
      <c r="P185" s="74"/>
      <c r="Q185" s="74"/>
      <c r="R185" s="80" t="e">
        <f t="shared" si="11"/>
        <v>#DIV/0!</v>
      </c>
      <c r="S185" s="83"/>
      <c r="T185" s="89"/>
      <c r="U185" s="83"/>
      <c r="V185" s="83"/>
      <c r="W185" s="93"/>
      <c r="X185" s="93"/>
      <c r="Y185" s="133" t="e">
        <f t="shared" si="9"/>
        <v>#DIV/0!</v>
      </c>
      <c r="Z185" s="56"/>
      <c r="AA185" s="56"/>
    </row>
    <row r="186" spans="1:27">
      <c r="A186" s="60" t="s">
        <v>246</v>
      </c>
      <c r="B186" s="9">
        <v>182</v>
      </c>
      <c r="C186" s="68"/>
      <c r="D186" s="68">
        <f t="shared" si="10"/>
        <v>0</v>
      </c>
      <c r="E186" s="68"/>
      <c r="F186" s="68"/>
      <c r="G186" s="68"/>
      <c r="H186" s="68"/>
      <c r="I186" s="68"/>
      <c r="J186" s="68"/>
      <c r="K186" s="68"/>
      <c r="L186" s="9"/>
      <c r="M186" s="8"/>
      <c r="N186" s="8"/>
      <c r="O186" s="74"/>
      <c r="P186" s="74"/>
      <c r="Q186" s="74"/>
      <c r="R186" s="80" t="e">
        <f t="shared" si="11"/>
        <v>#DIV/0!</v>
      </c>
      <c r="S186" s="83"/>
      <c r="T186" s="89"/>
      <c r="U186" s="83"/>
      <c r="V186" s="83"/>
      <c r="W186" s="93"/>
      <c r="X186" s="93"/>
      <c r="Y186" s="133" t="e">
        <f t="shared" si="9"/>
        <v>#DIV/0!</v>
      </c>
      <c r="Z186" s="56"/>
      <c r="AA186" s="56"/>
    </row>
    <row r="187" spans="1:27">
      <c r="A187" s="60" t="s">
        <v>247</v>
      </c>
      <c r="B187" s="9">
        <v>183</v>
      </c>
      <c r="C187" s="68"/>
      <c r="D187" s="68">
        <f t="shared" si="10"/>
        <v>0</v>
      </c>
      <c r="E187" s="68"/>
      <c r="F187" s="68"/>
      <c r="G187" s="68"/>
      <c r="H187" s="68"/>
      <c r="I187" s="68"/>
      <c r="J187" s="68"/>
      <c r="K187" s="68"/>
      <c r="L187" s="9"/>
      <c r="M187" s="8"/>
      <c r="N187" s="8"/>
      <c r="O187" s="8"/>
      <c r="P187" s="74"/>
      <c r="Q187" s="74"/>
      <c r="R187" s="80" t="e">
        <f t="shared" si="11"/>
        <v>#DIV/0!</v>
      </c>
      <c r="S187" s="83"/>
      <c r="T187" s="89"/>
      <c r="U187" s="83"/>
      <c r="V187" s="83"/>
      <c r="W187" s="93"/>
      <c r="X187" s="93"/>
      <c r="Y187" s="133" t="e">
        <f t="shared" si="9"/>
        <v>#DIV/0!</v>
      </c>
      <c r="Z187" s="56"/>
      <c r="AA187" s="56"/>
    </row>
    <row r="188" spans="1:27">
      <c r="A188" s="60" t="s">
        <v>248</v>
      </c>
      <c r="B188" s="9">
        <v>184</v>
      </c>
      <c r="C188" s="68"/>
      <c r="D188" s="68">
        <f t="shared" si="10"/>
        <v>0</v>
      </c>
      <c r="E188" s="68"/>
      <c r="F188" s="68"/>
      <c r="G188" s="68"/>
      <c r="H188" s="68"/>
      <c r="I188" s="68"/>
      <c r="J188" s="68"/>
      <c r="K188" s="68"/>
      <c r="L188" s="9"/>
      <c r="M188" s="8"/>
      <c r="N188" s="8"/>
      <c r="O188" s="8"/>
      <c r="P188" s="74"/>
      <c r="Q188" s="74"/>
      <c r="R188" s="80" t="e">
        <f t="shared" si="11"/>
        <v>#DIV/0!</v>
      </c>
      <c r="S188" s="83"/>
      <c r="T188" s="89"/>
      <c r="U188" s="83"/>
      <c r="V188" s="83"/>
      <c r="W188" s="93"/>
      <c r="X188" s="93"/>
      <c r="Y188" s="133" t="e">
        <f t="shared" si="9"/>
        <v>#DIV/0!</v>
      </c>
      <c r="Z188" s="56"/>
      <c r="AA188" s="56"/>
    </row>
    <row r="189" spans="1:27">
      <c r="A189" s="60" t="s">
        <v>249</v>
      </c>
      <c r="B189" s="9">
        <v>185</v>
      </c>
      <c r="C189" s="68"/>
      <c r="D189" s="68">
        <f t="shared" si="10"/>
        <v>0</v>
      </c>
      <c r="E189" s="68"/>
      <c r="F189" s="68"/>
      <c r="G189" s="68"/>
      <c r="H189" s="68"/>
      <c r="I189" s="68"/>
      <c r="J189" s="68"/>
      <c r="K189" s="68"/>
      <c r="L189" s="9"/>
      <c r="M189" s="8"/>
      <c r="N189" s="8"/>
      <c r="O189" s="8"/>
      <c r="P189" s="74"/>
      <c r="Q189" s="74"/>
      <c r="R189" s="80" t="e">
        <f t="shared" si="11"/>
        <v>#DIV/0!</v>
      </c>
      <c r="S189" s="83"/>
      <c r="T189" s="89"/>
      <c r="U189" s="83"/>
      <c r="V189" s="83"/>
      <c r="W189" s="93"/>
      <c r="X189" s="93"/>
      <c r="Y189" s="133" t="e">
        <f t="shared" si="9"/>
        <v>#DIV/0!</v>
      </c>
      <c r="Z189" s="56"/>
      <c r="AA189" s="56"/>
    </row>
    <row r="190" spans="1:27">
      <c r="A190" s="60" t="s">
        <v>250</v>
      </c>
      <c r="B190" s="9">
        <v>186</v>
      </c>
      <c r="C190" s="68"/>
      <c r="D190" s="68">
        <f t="shared" si="10"/>
        <v>0</v>
      </c>
      <c r="E190" s="68"/>
      <c r="F190" s="68"/>
      <c r="G190" s="68"/>
      <c r="H190" s="68"/>
      <c r="I190" s="68"/>
      <c r="J190" s="68"/>
      <c r="K190" s="68"/>
      <c r="L190" s="9"/>
      <c r="M190" s="8"/>
      <c r="N190" s="8"/>
      <c r="O190" s="8"/>
      <c r="P190" s="74"/>
      <c r="Q190" s="74"/>
      <c r="R190" s="80" t="e">
        <f t="shared" si="11"/>
        <v>#DIV/0!</v>
      </c>
      <c r="S190" s="83"/>
      <c r="T190" s="89"/>
      <c r="U190" s="83"/>
      <c r="V190" s="83"/>
      <c r="W190" s="93"/>
      <c r="X190" s="93"/>
      <c r="Y190" s="133" t="e">
        <f t="shared" si="9"/>
        <v>#DIV/0!</v>
      </c>
      <c r="Z190" s="56"/>
      <c r="AA190" s="56"/>
    </row>
    <row r="191" spans="1:27">
      <c r="A191" s="60" t="s">
        <v>251</v>
      </c>
      <c r="B191" s="9">
        <v>187</v>
      </c>
      <c r="C191" s="68"/>
      <c r="D191" s="68">
        <f t="shared" si="10"/>
        <v>0</v>
      </c>
      <c r="E191" s="68"/>
      <c r="F191" s="68"/>
      <c r="G191" s="68"/>
      <c r="H191" s="68"/>
      <c r="I191" s="68"/>
      <c r="J191" s="68"/>
      <c r="K191" s="68"/>
      <c r="L191" s="9"/>
      <c r="M191" s="8"/>
      <c r="N191" s="8"/>
      <c r="O191" s="8"/>
      <c r="P191" s="74"/>
      <c r="Q191" s="74"/>
      <c r="R191" s="80" t="e">
        <f t="shared" si="11"/>
        <v>#DIV/0!</v>
      </c>
      <c r="S191" s="83"/>
      <c r="T191" s="89"/>
      <c r="U191" s="83"/>
      <c r="V191" s="83"/>
      <c r="W191" s="93"/>
      <c r="X191" s="93"/>
      <c r="Y191" s="133" t="e">
        <f t="shared" si="9"/>
        <v>#DIV/0!</v>
      </c>
      <c r="Z191" s="56"/>
      <c r="AA191" s="56"/>
    </row>
    <row r="192" spans="1:27">
      <c r="A192" s="60" t="s">
        <v>252</v>
      </c>
      <c r="B192" s="9">
        <v>188</v>
      </c>
      <c r="C192" s="68"/>
      <c r="D192" s="68">
        <f t="shared" si="10"/>
        <v>0</v>
      </c>
      <c r="E192" s="68"/>
      <c r="F192" s="68"/>
      <c r="G192" s="68"/>
      <c r="H192" s="68"/>
      <c r="I192" s="68"/>
      <c r="J192" s="68"/>
      <c r="K192" s="68"/>
      <c r="L192" s="9"/>
      <c r="M192" s="8"/>
      <c r="N192" s="8"/>
      <c r="O192" s="8"/>
      <c r="P192" s="74"/>
      <c r="Q192" s="74"/>
      <c r="R192" s="80" t="e">
        <f t="shared" si="11"/>
        <v>#DIV/0!</v>
      </c>
      <c r="S192" s="83"/>
      <c r="T192" s="89"/>
      <c r="U192" s="83"/>
      <c r="V192" s="83"/>
      <c r="W192" s="93"/>
      <c r="X192" s="93"/>
      <c r="Y192" s="133" t="e">
        <f t="shared" si="9"/>
        <v>#DIV/0!</v>
      </c>
      <c r="Z192" s="56"/>
      <c r="AA192" s="56"/>
    </row>
    <row r="193" spans="1:27">
      <c r="A193" s="60" t="s">
        <v>253</v>
      </c>
      <c r="B193" s="9">
        <v>189</v>
      </c>
      <c r="C193" s="68"/>
      <c r="D193" s="68">
        <f t="shared" si="10"/>
        <v>0</v>
      </c>
      <c r="E193" s="68"/>
      <c r="F193" s="68"/>
      <c r="G193" s="68"/>
      <c r="H193" s="68"/>
      <c r="I193" s="68"/>
      <c r="J193" s="68"/>
      <c r="K193" s="68"/>
      <c r="L193" s="9"/>
      <c r="M193" s="8"/>
      <c r="N193" s="8"/>
      <c r="O193" s="8"/>
      <c r="P193" s="74"/>
      <c r="Q193" s="74"/>
      <c r="R193" s="80" t="e">
        <f t="shared" si="11"/>
        <v>#DIV/0!</v>
      </c>
      <c r="S193" s="83"/>
      <c r="T193" s="89"/>
      <c r="U193" s="83"/>
      <c r="V193" s="83"/>
      <c r="W193" s="93"/>
      <c r="X193" s="93"/>
      <c r="Y193" s="133" t="e">
        <f t="shared" si="9"/>
        <v>#DIV/0!</v>
      </c>
      <c r="Z193" s="56"/>
      <c r="AA193" s="56"/>
    </row>
    <row r="194" spans="1:27">
      <c r="A194" s="60" t="s">
        <v>254</v>
      </c>
      <c r="B194" s="9">
        <v>190</v>
      </c>
      <c r="C194" s="68"/>
      <c r="D194" s="68">
        <f t="shared" si="10"/>
        <v>0</v>
      </c>
      <c r="E194" s="68"/>
      <c r="F194" s="68"/>
      <c r="G194" s="68"/>
      <c r="H194" s="68"/>
      <c r="I194" s="68"/>
      <c r="J194" s="68"/>
      <c r="K194" s="68"/>
      <c r="L194" s="9"/>
      <c r="M194" s="8"/>
      <c r="N194" s="8"/>
      <c r="O194" s="8"/>
      <c r="P194" s="74"/>
      <c r="Q194" s="74"/>
      <c r="R194" s="80" t="e">
        <f t="shared" si="11"/>
        <v>#DIV/0!</v>
      </c>
      <c r="S194" s="83"/>
      <c r="T194" s="89"/>
      <c r="U194" s="83"/>
      <c r="V194" s="83"/>
      <c r="W194" s="93"/>
      <c r="X194" s="93"/>
      <c r="Y194" s="133" t="e">
        <f t="shared" si="9"/>
        <v>#DIV/0!</v>
      </c>
      <c r="Z194" s="56"/>
      <c r="AA194" s="56"/>
    </row>
    <row r="195" spans="1:27">
      <c r="A195" s="60" t="s">
        <v>255</v>
      </c>
      <c r="B195" s="9">
        <v>191</v>
      </c>
      <c r="C195" s="68"/>
      <c r="D195" s="68">
        <f t="shared" si="10"/>
        <v>0</v>
      </c>
      <c r="E195" s="68"/>
      <c r="F195" s="68"/>
      <c r="G195" s="68"/>
      <c r="H195" s="68"/>
      <c r="I195" s="68"/>
      <c r="J195" s="68"/>
      <c r="K195" s="68"/>
      <c r="L195" s="9"/>
      <c r="M195" s="8"/>
      <c r="N195" s="8"/>
      <c r="O195" s="8"/>
      <c r="P195" s="74"/>
      <c r="Q195" s="74"/>
      <c r="R195" s="80" t="e">
        <f t="shared" si="11"/>
        <v>#DIV/0!</v>
      </c>
      <c r="S195" s="83"/>
      <c r="T195" s="89"/>
      <c r="U195" s="83"/>
      <c r="V195" s="83"/>
      <c r="W195" s="93"/>
      <c r="X195" s="93"/>
      <c r="Y195" s="133" t="e">
        <f t="shared" si="9"/>
        <v>#DIV/0!</v>
      </c>
      <c r="Z195" s="56"/>
      <c r="AA195" s="56"/>
    </row>
    <row r="196" spans="1:27">
      <c r="A196" s="60" t="s">
        <v>256</v>
      </c>
      <c r="B196" s="9">
        <v>192</v>
      </c>
      <c r="C196" s="68"/>
      <c r="D196" s="68">
        <f t="shared" si="10"/>
        <v>0</v>
      </c>
      <c r="E196" s="68"/>
      <c r="F196" s="68"/>
      <c r="G196" s="68"/>
      <c r="H196" s="68"/>
      <c r="I196" s="68"/>
      <c r="J196" s="68"/>
      <c r="K196" s="68"/>
      <c r="L196" s="9"/>
      <c r="M196" s="8"/>
      <c r="N196" s="8"/>
      <c r="O196" s="8"/>
      <c r="P196" s="74"/>
      <c r="Q196" s="74"/>
      <c r="R196" s="80" t="e">
        <f t="shared" si="11"/>
        <v>#DIV/0!</v>
      </c>
      <c r="S196" s="83"/>
      <c r="T196" s="89"/>
      <c r="U196" s="83"/>
      <c r="V196" s="83"/>
      <c r="W196" s="93"/>
      <c r="X196" s="93"/>
      <c r="Y196" s="133" t="e">
        <f t="shared" si="9"/>
        <v>#DIV/0!</v>
      </c>
      <c r="Z196" s="56"/>
      <c r="AA196" s="56"/>
    </row>
  </sheetData>
  <customSheetViews>
    <customSheetView guid="{A4BD9991-0908-4EDC-898A-8A5DE615ED00}" scale="70" showPageBreaks="1" view="pageBreakPreview">
      <selection activeCell="O4" sqref="O4"/>
      <pageMargins left="0.7" right="0.7" top="0.75" bottom="0.75" header="0.3" footer="0.3"/>
      <pageSetup orientation="landscape" r:id="rId1"/>
      <headerFooter>
        <oddFooter>&amp;L&amp;D</oddFooter>
      </headerFooter>
    </customSheetView>
  </customSheetViews>
  <mergeCells count="7">
    <mergeCell ref="C2:K2"/>
    <mergeCell ref="L2:N2"/>
    <mergeCell ref="S2:V2"/>
    <mergeCell ref="A1:AA1"/>
    <mergeCell ref="W2:Y2"/>
    <mergeCell ref="Z2:AA2"/>
    <mergeCell ref="O2:R2"/>
  </mergeCells>
  <pageMargins left="0.7" right="0.7" top="0.75" bottom="0.75" header="0.3" footer="0.3"/>
  <pageSetup orientation="landscape" r:id="rId2"/>
  <headerFooter>
    <oddFooter>&amp;L&amp;D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17"/>
  <sheetViews>
    <sheetView workbookViewId="0">
      <selection activeCell="F1" sqref="F1:F1048576"/>
    </sheetView>
  </sheetViews>
  <sheetFormatPr defaultRowHeight="15"/>
  <sheetData>
    <row r="1" spans="1:9" ht="72" customHeight="1">
      <c r="A1" s="633" t="s">
        <v>614</v>
      </c>
      <c r="B1" s="630" t="s">
        <v>594</v>
      </c>
      <c r="C1" s="630" t="s">
        <v>595</v>
      </c>
      <c r="D1" s="634" t="s">
        <v>956</v>
      </c>
      <c r="E1" s="634" t="s">
        <v>2306</v>
      </c>
      <c r="F1" s="634" t="s">
        <v>596</v>
      </c>
      <c r="G1" s="630" t="s">
        <v>5981</v>
      </c>
      <c r="H1" s="630" t="s">
        <v>5982</v>
      </c>
      <c r="I1" s="630" t="s">
        <v>5983</v>
      </c>
    </row>
    <row r="2" spans="1:9" ht="15.75" thickBot="1">
      <c r="A2" s="631">
        <v>1</v>
      </c>
      <c r="B2" s="631"/>
      <c r="C2" s="631"/>
      <c r="D2" s="631"/>
      <c r="E2" s="631"/>
      <c r="F2" s="631"/>
      <c r="G2" s="631"/>
      <c r="H2" s="631"/>
      <c r="I2" s="631"/>
    </row>
    <row r="3" spans="1:9" ht="15.75" thickBot="1">
      <c r="A3" s="631">
        <v>2</v>
      </c>
      <c r="B3" s="631"/>
      <c r="C3" s="631"/>
      <c r="D3" s="631"/>
      <c r="E3" s="631"/>
      <c r="F3" s="631"/>
      <c r="G3" s="631"/>
      <c r="H3" s="631"/>
      <c r="I3" s="631"/>
    </row>
    <row r="4" spans="1:9" ht="15.75" thickBot="1">
      <c r="A4" s="631">
        <v>3</v>
      </c>
      <c r="B4" s="631"/>
      <c r="C4" s="631"/>
      <c r="D4" s="631"/>
      <c r="E4" s="631"/>
      <c r="F4" s="631"/>
      <c r="G4" s="631"/>
      <c r="H4" s="631"/>
      <c r="I4" s="631"/>
    </row>
    <row r="5" spans="1:9" ht="15.75" thickBot="1">
      <c r="A5" s="631">
        <v>4</v>
      </c>
      <c r="B5" s="631"/>
      <c r="C5" s="631"/>
      <c r="D5" s="631"/>
      <c r="E5" s="631"/>
      <c r="F5" s="631"/>
      <c r="G5" s="631"/>
      <c r="H5" s="631"/>
      <c r="I5" s="631"/>
    </row>
    <row r="6" spans="1:9" ht="15.75" thickBot="1">
      <c r="A6" s="631">
        <v>5</v>
      </c>
      <c r="B6" s="631"/>
      <c r="C6" s="631"/>
      <c r="D6" s="631"/>
      <c r="E6" s="631"/>
      <c r="F6" s="631"/>
      <c r="G6" s="631"/>
      <c r="H6" s="631"/>
      <c r="I6" s="631"/>
    </row>
    <row r="7" spans="1:9" ht="15.75" thickBot="1">
      <c r="A7" s="631">
        <v>6</v>
      </c>
      <c r="B7" s="631"/>
      <c r="C7" s="631"/>
      <c r="D7" s="631"/>
      <c r="E7" s="631"/>
      <c r="F7" s="631"/>
      <c r="G7" s="631"/>
      <c r="H7" s="631"/>
      <c r="I7" s="631"/>
    </row>
    <row r="8" spans="1:9" ht="15.75" thickBot="1">
      <c r="A8" s="631">
        <v>7</v>
      </c>
      <c r="B8" s="631"/>
      <c r="C8" s="631"/>
      <c r="D8" s="631"/>
      <c r="E8" s="631"/>
      <c r="F8" s="631"/>
      <c r="G8" s="631"/>
      <c r="H8" s="631"/>
      <c r="I8" s="631"/>
    </row>
    <row r="9" spans="1:9" ht="15.75" thickBot="1">
      <c r="A9" s="631">
        <v>8</v>
      </c>
      <c r="B9" s="631"/>
      <c r="C9" s="631"/>
      <c r="D9" s="631"/>
      <c r="E9" s="631"/>
      <c r="F9" s="631"/>
      <c r="G9" s="631"/>
      <c r="H9" s="631"/>
      <c r="I9" s="631"/>
    </row>
    <row r="10" spans="1:9" ht="15.75" thickBot="1">
      <c r="A10" s="631">
        <v>9</v>
      </c>
      <c r="B10" s="631"/>
      <c r="C10" s="631"/>
      <c r="D10" s="631"/>
      <c r="E10" s="631"/>
      <c r="F10" s="631"/>
      <c r="G10" s="631"/>
      <c r="H10" s="631"/>
      <c r="I10" s="631"/>
    </row>
    <row r="11" spans="1:9" ht="15.75" thickBot="1">
      <c r="A11" s="631">
        <v>10</v>
      </c>
      <c r="B11" s="631"/>
      <c r="C11" s="631"/>
      <c r="D11" s="631"/>
      <c r="E11" s="631"/>
      <c r="F11" s="631"/>
      <c r="G11" s="631"/>
      <c r="H11" s="631"/>
      <c r="I11" s="631"/>
    </row>
    <row r="12" spans="1:9" ht="15.75" thickBot="1">
      <c r="A12" s="631">
        <v>11</v>
      </c>
      <c r="B12" s="631"/>
      <c r="C12" s="631"/>
      <c r="D12" s="631"/>
      <c r="E12" s="631"/>
      <c r="F12" s="631"/>
      <c r="G12" s="631"/>
      <c r="H12" s="631"/>
      <c r="I12" s="631"/>
    </row>
    <row r="13" spans="1:9" ht="15.75" thickBot="1">
      <c r="A13" s="631">
        <v>12</v>
      </c>
      <c r="B13" s="631"/>
      <c r="C13" s="631"/>
      <c r="D13" s="631"/>
      <c r="E13" s="631"/>
      <c r="F13" s="631"/>
      <c r="G13" s="631"/>
      <c r="H13" s="631"/>
      <c r="I13" s="631"/>
    </row>
    <row r="14" spans="1:9" ht="15.75" thickBot="1">
      <c r="A14" s="631">
        <v>13</v>
      </c>
      <c r="B14" s="631"/>
      <c r="C14" s="631"/>
      <c r="D14" s="631"/>
      <c r="E14" s="631"/>
      <c r="F14" s="631"/>
      <c r="G14" s="631"/>
      <c r="H14" s="631"/>
      <c r="I14" s="631"/>
    </row>
    <row r="15" spans="1:9" ht="15.75" thickBot="1">
      <c r="A15" s="631">
        <v>14</v>
      </c>
      <c r="B15" s="631"/>
      <c r="C15" s="631"/>
      <c r="D15" s="631"/>
      <c r="E15" s="631"/>
      <c r="F15" s="631"/>
      <c r="G15" s="631"/>
      <c r="H15" s="631"/>
      <c r="I15" s="631"/>
    </row>
    <row r="16" spans="1:9" ht="15.75" thickBot="1">
      <c r="A16" s="631">
        <v>15</v>
      </c>
      <c r="B16" s="631"/>
      <c r="C16" s="631"/>
      <c r="D16" s="631"/>
      <c r="E16" s="631"/>
      <c r="F16" s="631"/>
      <c r="G16" s="631"/>
      <c r="H16" s="631"/>
      <c r="I16" s="631"/>
    </row>
    <row r="17" spans="1:9" ht="15.75" thickBot="1">
      <c r="A17" s="631">
        <v>16</v>
      </c>
      <c r="B17" s="631"/>
      <c r="C17" s="631"/>
      <c r="D17" s="631"/>
      <c r="E17" s="631"/>
      <c r="F17" s="631"/>
      <c r="G17" s="631"/>
      <c r="H17" s="631"/>
      <c r="I17" s="631"/>
    </row>
  </sheetData>
  <customSheetViews>
    <customSheetView guid="{A4BD9991-0908-4EDC-898A-8A5DE615ED00}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17"/>
  <sheetViews>
    <sheetView workbookViewId="0">
      <selection sqref="A1:I17"/>
    </sheetView>
  </sheetViews>
  <sheetFormatPr defaultRowHeight="15"/>
  <sheetData>
    <row r="1" spans="1:9" ht="106.5" customHeight="1">
      <c r="A1" s="633" t="s">
        <v>614</v>
      </c>
      <c r="B1" s="630" t="s">
        <v>2307</v>
      </c>
      <c r="C1" s="634" t="s">
        <v>1055</v>
      </c>
      <c r="D1" s="634" t="s">
        <v>2304</v>
      </c>
      <c r="E1" s="634" t="s">
        <v>2305</v>
      </c>
      <c r="F1" s="634" t="s">
        <v>2306</v>
      </c>
      <c r="G1" s="634" t="s">
        <v>596</v>
      </c>
      <c r="H1" s="630" t="s">
        <v>2308</v>
      </c>
      <c r="I1" s="630" t="s">
        <v>2309</v>
      </c>
    </row>
    <row r="2" spans="1:9" ht="15.75" thickBot="1">
      <c r="A2" s="631">
        <v>1</v>
      </c>
      <c r="B2" s="631"/>
      <c r="C2" s="631"/>
      <c r="D2" s="632"/>
      <c r="E2" s="632"/>
      <c r="F2" s="631"/>
      <c r="G2" s="631"/>
      <c r="H2" s="631"/>
      <c r="I2" s="631"/>
    </row>
    <row r="3" spans="1:9" ht="15.75" thickBot="1">
      <c r="A3" s="631">
        <v>2</v>
      </c>
      <c r="B3" s="631"/>
      <c r="C3" s="631"/>
      <c r="D3" s="632"/>
      <c r="E3" s="632"/>
      <c r="F3" s="631"/>
      <c r="G3" s="631"/>
      <c r="H3" s="631"/>
      <c r="I3" s="631"/>
    </row>
    <row r="4" spans="1:9" ht="15.75" thickBot="1">
      <c r="A4" s="631">
        <v>3</v>
      </c>
      <c r="B4" s="631"/>
      <c r="C4" s="631"/>
      <c r="D4" s="632"/>
      <c r="E4" s="632"/>
      <c r="F4" s="631"/>
      <c r="G4" s="631"/>
      <c r="H4" s="631"/>
      <c r="I4" s="631"/>
    </row>
    <row r="5" spans="1:9" ht="15.75" thickBot="1">
      <c r="A5" s="631">
        <v>4</v>
      </c>
      <c r="B5" s="631"/>
      <c r="C5" s="631"/>
      <c r="D5" s="632"/>
      <c r="E5" s="632"/>
      <c r="F5" s="631"/>
      <c r="G5" s="631"/>
      <c r="H5" s="631"/>
      <c r="I5" s="631"/>
    </row>
    <row r="6" spans="1:9" ht="15.75" thickBot="1">
      <c r="A6" s="631">
        <v>5</v>
      </c>
      <c r="B6" s="631"/>
      <c r="C6" s="631"/>
      <c r="D6" s="632"/>
      <c r="E6" s="632"/>
      <c r="F6" s="631"/>
      <c r="G6" s="631"/>
      <c r="H6" s="631"/>
      <c r="I6" s="631"/>
    </row>
    <row r="7" spans="1:9" ht="15.75" thickBot="1">
      <c r="A7" s="631">
        <v>6</v>
      </c>
      <c r="B7" s="631"/>
      <c r="C7" s="631"/>
      <c r="D7" s="632"/>
      <c r="E7" s="632"/>
      <c r="F7" s="631"/>
      <c r="G7" s="631"/>
      <c r="H7" s="631"/>
      <c r="I7" s="631"/>
    </row>
    <row r="8" spans="1:9" ht="15.75" thickBot="1">
      <c r="A8" s="631">
        <v>7</v>
      </c>
      <c r="B8" s="631"/>
      <c r="C8" s="631"/>
      <c r="D8" s="632"/>
      <c r="E8" s="632"/>
      <c r="F8" s="631"/>
      <c r="G8" s="631"/>
      <c r="H8" s="631"/>
      <c r="I8" s="631"/>
    </row>
    <row r="9" spans="1:9" ht="15.75" thickBot="1">
      <c r="A9" s="631">
        <v>8</v>
      </c>
      <c r="B9" s="631"/>
      <c r="C9" s="631"/>
      <c r="D9" s="632"/>
      <c r="E9" s="632"/>
      <c r="F9" s="631"/>
      <c r="G9" s="631"/>
      <c r="H9" s="631"/>
      <c r="I9" s="631"/>
    </row>
    <row r="10" spans="1:9" ht="15.75" thickBot="1">
      <c r="A10" s="631">
        <v>9</v>
      </c>
      <c r="B10" s="631"/>
      <c r="C10" s="631"/>
      <c r="D10" s="632"/>
      <c r="E10" s="632"/>
      <c r="F10" s="631"/>
      <c r="G10" s="631"/>
      <c r="H10" s="631"/>
      <c r="I10" s="631"/>
    </row>
    <row r="11" spans="1:9" ht="15.75" thickBot="1">
      <c r="A11" s="631">
        <v>10</v>
      </c>
      <c r="B11" s="631"/>
      <c r="C11" s="631"/>
      <c r="D11" s="632"/>
      <c r="E11" s="632"/>
      <c r="F11" s="631"/>
      <c r="G11" s="631"/>
      <c r="H11" s="631"/>
      <c r="I11" s="631"/>
    </row>
    <row r="12" spans="1:9" ht="15.75" thickBot="1">
      <c r="A12" s="631">
        <v>11</v>
      </c>
      <c r="B12" s="631"/>
      <c r="C12" s="631"/>
      <c r="D12" s="632"/>
      <c r="E12" s="632"/>
      <c r="F12" s="631"/>
      <c r="G12" s="631"/>
      <c r="H12" s="631"/>
      <c r="I12" s="631"/>
    </row>
    <row r="13" spans="1:9" ht="15.75" thickBot="1">
      <c r="A13" s="631">
        <v>12</v>
      </c>
      <c r="B13" s="631"/>
      <c r="C13" s="631"/>
      <c r="D13" s="632"/>
      <c r="E13" s="632"/>
      <c r="F13" s="631"/>
      <c r="G13" s="631"/>
      <c r="H13" s="631"/>
      <c r="I13" s="631"/>
    </row>
    <row r="14" spans="1:9" ht="15.75" thickBot="1">
      <c r="A14" s="631">
        <v>13</v>
      </c>
      <c r="B14" s="631"/>
      <c r="C14" s="631"/>
      <c r="D14" s="632"/>
      <c r="E14" s="632"/>
      <c r="F14" s="631"/>
      <c r="G14" s="631"/>
      <c r="H14" s="631"/>
      <c r="I14" s="631"/>
    </row>
    <row r="15" spans="1:9" ht="15.75" thickBot="1">
      <c r="A15" s="631">
        <v>14</v>
      </c>
      <c r="B15" s="631"/>
      <c r="C15" s="631"/>
      <c r="D15" s="632"/>
      <c r="E15" s="632"/>
      <c r="F15" s="631"/>
      <c r="G15" s="631"/>
      <c r="H15" s="631"/>
      <c r="I15" s="631"/>
    </row>
    <row r="16" spans="1:9" ht="15.75" thickBot="1">
      <c r="A16" s="631">
        <v>15</v>
      </c>
      <c r="B16" s="631"/>
      <c r="C16" s="631"/>
      <c r="D16" s="632"/>
      <c r="E16" s="632"/>
      <c r="F16" s="631"/>
      <c r="G16" s="631"/>
      <c r="H16" s="631"/>
      <c r="I16" s="631"/>
    </row>
    <row r="17" spans="1:9" ht="15.75" thickBot="1">
      <c r="A17" s="631">
        <v>16</v>
      </c>
      <c r="B17" s="631"/>
      <c r="C17" s="631"/>
      <c r="D17" s="632"/>
      <c r="E17" s="632"/>
      <c r="F17" s="631"/>
      <c r="G17" s="631"/>
      <c r="H17" s="631"/>
      <c r="I17" s="631"/>
    </row>
  </sheetData>
  <customSheetViews>
    <customSheetView guid="{A4BD9991-0908-4EDC-898A-8A5DE615ED00}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4576-C4E4-4270-8C96-A0BCD0294DC6}">
  <sheetPr codeName="Sheet16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1"/>
  <dimension ref="A1:B20"/>
  <sheetViews>
    <sheetView workbookViewId="0"/>
  </sheetViews>
  <sheetFormatPr defaultRowHeight="15"/>
  <sheetData>
    <row r="1" spans="1:1">
      <c r="A1" t="s">
        <v>567</v>
      </c>
    </row>
    <row r="2" spans="1:1">
      <c r="A2" t="s">
        <v>568</v>
      </c>
    </row>
    <row r="3" spans="1:1">
      <c r="A3" t="s">
        <v>569</v>
      </c>
    </row>
    <row r="4" spans="1:1">
      <c r="A4" t="s">
        <v>570</v>
      </c>
    </row>
    <row r="5" spans="1:1">
      <c r="A5" t="s">
        <v>571</v>
      </c>
    </row>
    <row r="18" spans="1:2">
      <c r="A18" s="890" t="s">
        <v>260</v>
      </c>
      <c r="B18" s="890"/>
    </row>
    <row r="19" spans="1:2">
      <c r="A19" s="8" t="s">
        <v>261</v>
      </c>
      <c r="B19" s="1"/>
    </row>
    <row r="20" spans="1:2">
      <c r="A20" s="8" t="s">
        <v>262</v>
      </c>
      <c r="B20" s="1"/>
    </row>
  </sheetData>
  <customSheetViews>
    <customSheetView guid="{A4BD9991-0908-4EDC-898A-8A5DE615ED00}">
      <pageMargins left="0.7" right="0.7" top="0.75" bottom="0.75" header="0.3" footer="0.3"/>
      <pageSetup orientation="portrait" r:id="rId1"/>
    </customSheetView>
  </customSheetViews>
  <mergeCells count="1">
    <mergeCell ref="A18:B18"/>
  </mergeCell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cd21404-6275-41ec-8004-31a569d78c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72C750D9CD9A42B5448AD325E00EFA" ma:contentTypeVersion="13" ma:contentTypeDescription="Create a new document." ma:contentTypeScope="" ma:versionID="ec34341e61459a45150baf5b30f8d3fa">
  <xsd:schema xmlns:xsd="http://www.w3.org/2001/XMLSchema" xmlns:xs="http://www.w3.org/2001/XMLSchema" xmlns:p="http://schemas.microsoft.com/office/2006/metadata/properties" xmlns:ns2="acd21404-6275-41ec-8004-31a569d78c58" xmlns:ns3="5df28b07-0217-4431-90c0-c616c377b09a" targetNamespace="http://schemas.microsoft.com/office/2006/metadata/properties" ma:root="true" ma:fieldsID="aa4ad3f836bffd179033f6e4fc0647cf" ns2:_="" ns3:_="">
    <xsd:import namespace="acd21404-6275-41ec-8004-31a569d78c58"/>
    <xsd:import namespace="5df28b07-0217-4431-90c0-c616c377b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21404-6275-41ec-8004-31a569d78c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28b07-0217-4431-90c0-c616c377b0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F568F5-3041-48E1-BDD8-1D71187AA391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acd21404-6275-41ec-8004-31a569d78c58"/>
    <ds:schemaRef ds:uri="http://schemas.microsoft.com/office/infopath/2007/PartnerControls"/>
    <ds:schemaRef ds:uri="http://schemas.openxmlformats.org/package/2006/metadata/core-properties"/>
    <ds:schemaRef ds:uri="5df28b07-0217-4431-90c0-c616c377b09a"/>
  </ds:schemaRefs>
</ds:datastoreItem>
</file>

<file path=customXml/itemProps2.xml><?xml version="1.0" encoding="utf-8"?>
<ds:datastoreItem xmlns:ds="http://schemas.openxmlformats.org/officeDocument/2006/customXml" ds:itemID="{B633C5E7-EE9C-4181-82CB-44C0C2532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d21404-6275-41ec-8004-31a569d78c58"/>
    <ds:schemaRef ds:uri="5df28b07-0217-4431-90c0-c616c377b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D116D4-E2DC-42ED-B76D-06FFEFC899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SourceData</vt:lpstr>
      <vt:lpstr>Extraction Record</vt:lpstr>
      <vt:lpstr>Initial QC</vt:lpstr>
      <vt:lpstr>LP-16s</vt:lpstr>
      <vt:lpstr>LP-10X</vt:lpstr>
      <vt:lpstr>LP-ATAC</vt:lpstr>
      <vt:lpstr>LP-RNA</vt:lpstr>
      <vt:lpstr>LP-smRNA</vt:lpstr>
      <vt:lpstr>LP-WGS</vt:lpstr>
      <vt:lpstr>LP-WES</vt:lpstr>
      <vt:lpstr>LP-HiC</vt:lpstr>
      <vt:lpstr>LP-WGBS</vt:lpstr>
      <vt:lpstr>LP-Nextera</vt:lpstr>
      <vt:lpstr>LP-ddRAD</vt:lpstr>
      <vt:lpstr>Barcodes</vt:lpstr>
      <vt:lpstr>Barcode Seq</vt:lpstr>
      <vt:lpstr>10X indexplate</vt:lpstr>
      <vt:lpstr>Final QC</vt:lpstr>
      <vt:lpstr>Initial QC Report</vt:lpstr>
      <vt:lpstr>FL QC Report</vt:lpstr>
      <vt:lpstr>Sheet2</vt:lpstr>
      <vt:lpstr>Sheet1</vt:lpstr>
      <vt:lpstr>Transfer</vt:lpstr>
    </vt:vector>
  </TitlesOfParts>
  <Company>GENEWIZ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Zhao, GW/US</dc:creator>
  <cp:lastModifiedBy>Grace Box</cp:lastModifiedBy>
  <cp:lastPrinted>2018-10-25T21:05:08Z</cp:lastPrinted>
  <dcterms:created xsi:type="dcterms:W3CDTF">2014-04-14T19:33:07Z</dcterms:created>
  <dcterms:modified xsi:type="dcterms:W3CDTF">2023-03-21T22:03:48Z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0x0101009972C750D9CD9A42B5448AD325E00EFA</vt:lpwstr>
  </property>
</Properties>
</file>