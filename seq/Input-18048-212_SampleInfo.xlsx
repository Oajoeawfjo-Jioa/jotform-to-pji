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e.rogers\Desktop\"/>
    </mc:Choice>
  </mc:AlternateContent>
  <xr:revisionPtr revIDLastSave="0" documentId="13_ncr:1_{0702CB27-65B4-4546-AD05-70F2A09D8BBB}" xr6:coauthVersionLast="47" xr6:coauthVersionMax="47" xr10:uidLastSave="{00000000-0000-0000-0000-000000000000}"/>
  <workbookProtection workbookAlgorithmName="SHA-512" workbookHashValue="rQJseBS+HXLy63MUzt2VIb2y+Qr3r+YPfWlBfL2MF00H7GTjqgKHeh2eWi4ARdTxMMeOxlZIJgKxCLFVHxbdwg==" workbookSaltValue="Es2ec9q4r6CSE8aZltjVZg==" workbookSpinCount="100000" lockStructure="1"/>
  <bookViews>
    <workbookView xWindow="28680" yWindow="-120" windowWidth="29040" windowHeight="15720" xr2:uid="{D8E86B53-6630-4BF2-A56B-3D91702E0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<sst xmlns="http://schemas.openxmlformats.org/spreadsheetml/2006/main" count="109" uniqueCount="41">
  <si>
    <r>
      <rPr>
        <b/>
        <sz val="16"/>
        <color theme="1" tint="0.34998626667073579"/>
        <rFont val="Calibri"/>
        <family val="2"/>
      </rPr>
      <t xml:space="preserve">Sample ID 
</t>
    </r>
    <r>
      <rPr>
        <sz val="16"/>
        <color theme="1" tint="0.34998626667073579"/>
        <rFont val="Calibri"/>
        <family val="2"/>
      </rPr>
      <t>(as shown on tube/plate)</t>
    </r>
  </si>
  <si>
    <t xml:space="preserve">Species </t>
  </si>
  <si>
    <t>Isolation or
Purification Method</t>
  </si>
  <si>
    <t>Biosafety levels (BSL)</t>
  </si>
  <si>
    <r>
      <rPr>
        <b/>
        <sz val="16"/>
        <color theme="1" tint="0.34998626667073579"/>
        <rFont val="Calibri"/>
        <family val="2"/>
      </rPr>
      <t>Volume</t>
    </r>
    <r>
      <rPr>
        <sz val="16"/>
        <color theme="1" tint="0.34998626667073579"/>
        <rFont val="Calibri"/>
        <family val="2"/>
      </rPr>
      <t xml:space="preserve"> (uL)</t>
    </r>
  </si>
  <si>
    <r>
      <rPr>
        <b/>
        <sz val="16"/>
        <color theme="1" tint="0.34998626667073579"/>
        <rFont val="Calibri"/>
        <family val="2"/>
      </rPr>
      <t>Concentration</t>
    </r>
    <r>
      <rPr>
        <sz val="16"/>
        <color theme="1" tint="0.34998626667073579"/>
        <rFont val="Calibri"/>
        <family val="2"/>
      </rPr>
      <t xml:space="preserve"> 
(Qubit)</t>
    </r>
  </si>
  <si>
    <t>Special Instructions</t>
  </si>
  <si>
    <r>
      <rPr>
        <b/>
        <sz val="16"/>
        <color theme="1" tint="0.34998626667073579"/>
        <rFont val="Calibri"/>
        <family val="2"/>
      </rPr>
      <t>Sample Type</t>
    </r>
    <r>
      <rPr>
        <sz val="16"/>
        <color theme="1" tint="0.34998626667073579"/>
        <rFont val="Calibri"/>
        <family val="2"/>
      </rPr>
      <t xml:space="preserve">
(cells, tissue, FFPE, DNA, RNA, etc.)</t>
    </r>
  </si>
  <si>
    <r>
      <t xml:space="preserve">Is Your DNA sample RNase treated? </t>
    </r>
    <r>
      <rPr>
        <b/>
        <sz val="16"/>
        <color theme="1" tint="0.34998626667073579"/>
        <rFont val="Calibri"/>
        <family val="2"/>
      </rPr>
      <t>or</t>
    </r>
    <r>
      <rPr>
        <sz val="16"/>
        <color theme="1" tint="0.34998626667073579"/>
        <rFont val="Calibri"/>
        <family val="2"/>
      </rPr>
      <t xml:space="preserve">
Is Your RNA sample DNase treated?</t>
    </r>
  </si>
  <si>
    <r>
      <rPr>
        <b/>
        <sz val="16"/>
        <color theme="1" tint="0.34998626667073579"/>
        <rFont val="Calibri"/>
        <family val="2"/>
      </rPr>
      <t>Descriptions</t>
    </r>
    <r>
      <rPr>
        <sz val="16"/>
        <color theme="1" tint="0.34998626667073579"/>
        <rFont val="Calibri"/>
        <family val="2"/>
      </rPr>
      <t xml:space="preserve">
(storage buffer)</t>
    </r>
  </si>
  <si>
    <r>
      <t xml:space="preserve">Amount 
</t>
    </r>
    <r>
      <rPr>
        <sz val="16"/>
        <color theme="1" tint="0.34998626667073579"/>
        <rFont val="Calibri"/>
        <family val="2"/>
      </rPr>
      <t>(ng, ug or cell number)</t>
    </r>
  </si>
  <si>
    <r>
      <rPr>
        <b/>
        <sz val="16"/>
        <color theme="1" tint="0.34998626667073579"/>
        <rFont val="Calibri"/>
        <family val="2"/>
      </rPr>
      <t xml:space="preserve">Plate ID </t>
    </r>
    <r>
      <rPr>
        <sz val="16"/>
        <color theme="1" tint="0.34998626667073579"/>
        <rFont val="Calibri"/>
        <family val="2"/>
      </rPr>
      <t xml:space="preserve">
(if submit plate)</t>
    </r>
  </si>
  <si>
    <r>
      <t xml:space="preserve">Well Position
</t>
    </r>
    <r>
      <rPr>
        <sz val="16"/>
        <color theme="1" tint="0.34998626667073579"/>
        <rFont val="Calibri"/>
        <family val="2"/>
      </rPr>
      <t>(A1, B1, C1, etc.)</t>
    </r>
  </si>
  <si>
    <t>54 (E1 unstim)</t>
  </si>
  <si>
    <t>55 (E2 unstim)</t>
  </si>
  <si>
    <t>56 (E3 unstim)</t>
  </si>
  <si>
    <t>57 (G1 unstim)</t>
  </si>
  <si>
    <t>58 (G2 unstim)</t>
  </si>
  <si>
    <t>59  (G3 unstim)</t>
  </si>
  <si>
    <t>60 (H1 unstim)</t>
  </si>
  <si>
    <t>61 (H2 unstim)</t>
  </si>
  <si>
    <t>62 (H3 unstim)</t>
  </si>
  <si>
    <t>63 (WT1 unstim)</t>
  </si>
  <si>
    <t>64 (WT2 unstim)</t>
  </si>
  <si>
    <t>65 (WT3 unstim)</t>
  </si>
  <si>
    <t>66 (E1 stim)</t>
  </si>
  <si>
    <t>67(E2 stim)</t>
  </si>
  <si>
    <t>68(E3 stim)</t>
  </si>
  <si>
    <t>69 (G1 stim)</t>
  </si>
  <si>
    <t>70 (G2 stim)</t>
  </si>
  <si>
    <t>71 (G3 stim)</t>
  </si>
  <si>
    <t>72(H1 stim)</t>
  </si>
  <si>
    <t>73(H2 stim)</t>
  </si>
  <si>
    <t>74(H3 stim)</t>
  </si>
  <si>
    <t>75(WT1 stim)</t>
  </si>
  <si>
    <t>76(WT2 stim)</t>
  </si>
  <si>
    <t>77(WT3 stim)</t>
  </si>
  <si>
    <t>human T cell</t>
  </si>
  <si>
    <t>RNA</t>
  </si>
  <si>
    <t>25ul</t>
  </si>
  <si>
    <t>20ul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</si>
</sst>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6"/>
      <color theme="1" tint="0.34998626667073579"/>
      <name val="Calibri"/>
      <family val="2"/>
    </font>
    <font>
      <b/>
      <sz val="16"/>
      <color theme="1" tint="0.34998626667073579"/>
      <name val="Calibri"/>
      <family val="2"/>
    </font>
    <font>
      <b/>
      <sz val="16"/>
      <color rgb="FFFF0000"/>
      <name val="Calibri"/>
      <family val="2"/>
    </font>
    <font>
      <sz val="18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7F8F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1" applyFont="1" applyFill="1" applyAlignment="1" applyProtection="1">
      <alignment horizontal="left" wrapText="1"/>
      <protection locked="0"/>
    </xf>
    <xf numFmtId="0" fontId="0" fillId="3" borderId="1" xfId="1" applyFont="1" applyFill="1" applyAlignment="1" applyProtection="1">
      <alignment horizontal="left" wrapText="1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0143-4FA8-47BC-A357-B4383DE33E64}">
  <dimension ref="A1:M982"/>
  <sheetViews>
    <sheetView tabSelected="1" zoomScale="80" zoomScaleNormal="80" workbookViewId="0">
      <pane ySplit="1" topLeftCell="A2" activePane="bottomLeft" state="frozen"/>
      <selection pane="bottomLeft" activeCell="K9" sqref="K9"/>
    </sheetView>
  </sheetViews>
  <sheetFormatPr defaultColWidth="8.85546875" defaultRowHeight="15" x14ac:dyDescent="0.25"/>
  <cols>
    <col min="1" max="1" width="32.42578125" customWidth="1"/>
    <col min="2" max="2" width="44.42578125" customWidth="1"/>
    <col min="3" max="3" width="49" customWidth="1"/>
    <col min="4" max="4" width="20.7109375" customWidth="1"/>
    <col min="5" max="5" width="15.7109375" customWidth="1"/>
    <col min="6" max="6" width="20.7109375" customWidth="1"/>
    <col min="7" max="7" width="16" bestFit="1" customWidth="1"/>
    <col min="8" max="8" width="17" bestFit="1" customWidth="1"/>
    <col min="9" max="9" width="19.85546875" bestFit="1" customWidth="1"/>
    <col min="10" max="10" width="29.7109375" customWidth="1"/>
    <col min="11" max="11" width="20.7109375" customWidth="1"/>
    <col min="12" max="12" width="21.28515625" customWidth="1"/>
    <col min="13" max="13" width="21.7109375" customWidth="1"/>
  </cols>
  <sheetData>
    <row r="1" spans="1:13" ht="63" x14ac:dyDescent="0.25">
      <c r="A1" s="1" t="s">
        <v>0</v>
      </c>
      <c r="B1" s="1" t="s">
        <v>7</v>
      </c>
      <c r="C1" s="1" t="s">
        <v>8</v>
      </c>
      <c r="D1" s="1" t="s">
        <v>9</v>
      </c>
      <c r="E1" s="2" t="s">
        <v>1</v>
      </c>
      <c r="F1" s="2" t="s">
        <v>2</v>
      </c>
      <c r="G1" s="3" t="s">
        <v>3</v>
      </c>
      <c r="H1" s="1" t="s">
        <v>4</v>
      </c>
      <c r="I1" s="1" t="s">
        <v>5</v>
      </c>
      <c r="J1" s="2" t="s">
        <v>10</v>
      </c>
      <c r="K1" s="2" t="s">
        <v>6</v>
      </c>
      <c r="L1" s="1" t="s">
        <v>11</v>
      </c>
      <c r="M1" s="2" t="s">
        <v>12</v>
      </c>
    </row>
    <row r="2" spans="1:13" ht="46.5" x14ac:dyDescent="0.35">
      <c r="A2" s="4" t="s">
        <v>13</v>
      </c>
      <c r="B2" s="4" t="s">
        <v>38</v>
      </c>
      <c r="C2" s="4"/>
      <c r="D2" s="4"/>
      <c r="E2" s="4" t="s">
        <v>37</v>
      </c>
      <c r="F2" s="4"/>
      <c r="G2" s="4"/>
      <c r="H2" s="4" t="s">
        <v>39</v>
      </c>
      <c r="I2" s="5">
        <v>52.4</v>
      </c>
      <c r="J2" s="4">
        <f>I2*25</f>
        <v>1310</v>
      </c>
      <c r="K2" s="4"/>
      <c r="L2" s="4"/>
      <c r="M2" s="4"/>
    </row>
    <row r="3" spans="1:13" ht="46.5" x14ac:dyDescent="0.35">
      <c r="A3" s="4" t="s">
        <v>14</v>
      </c>
      <c r="B3" s="4" t="s">
        <v>38</v>
      </c>
      <c r="C3" s="4"/>
      <c r="D3" s="4"/>
      <c r="E3" s="4" t="s">
        <v>37</v>
      </c>
      <c r="F3" s="4"/>
      <c r="G3" s="4"/>
      <c r="H3" s="4" t="s">
        <v>39</v>
      </c>
      <c r="I3" s="5">
        <v>53.4</v>
      </c>
      <c r="J3" s="4">
        <f t="shared" ref="J3:J13" si="0">I3*25</f>
        <v>1335</v>
      </c>
      <c r="K3" s="4"/>
      <c r="L3" s="4"/>
      <c r="M3" s="4"/>
    </row>
    <row r="4" spans="1:13" ht="46.5" x14ac:dyDescent="0.35">
      <c r="A4" s="4" t="s">
        <v>15</v>
      </c>
      <c r="B4" s="4" t="s">
        <v>38</v>
      </c>
      <c r="C4" s="4"/>
      <c r="D4" s="4"/>
      <c r="E4" s="4" t="s">
        <v>37</v>
      </c>
      <c r="F4" s="4"/>
      <c r="G4" s="4"/>
      <c r="H4" s="4" t="s">
        <v>39</v>
      </c>
      <c r="I4" s="5">
        <v>29.9</v>
      </c>
      <c r="J4" s="4">
        <f t="shared" si="0"/>
        <v>747.5</v>
      </c>
      <c r="K4" s="4"/>
      <c r="L4" s="4"/>
      <c r="M4" s="4"/>
    </row>
    <row r="5" spans="1:13" ht="46.5" x14ac:dyDescent="0.35">
      <c r="A5" s="4" t="s">
        <v>16</v>
      </c>
      <c r="B5" s="4" t="s">
        <v>38</v>
      </c>
      <c r="C5" s="4"/>
      <c r="D5" s="4"/>
      <c r="E5" s="4" t="s">
        <v>37</v>
      </c>
      <c r="F5" s="4"/>
      <c r="G5" s="4"/>
      <c r="H5" s="4" t="s">
        <v>39</v>
      </c>
      <c r="I5" s="5">
        <v>41.7</v>
      </c>
      <c r="J5" s="4">
        <f t="shared" si="0"/>
        <v>1042.5</v>
      </c>
      <c r="K5" s="4"/>
      <c r="L5" s="4"/>
      <c r="M5" s="4"/>
    </row>
    <row r="6" spans="1:13" ht="46.5" x14ac:dyDescent="0.35">
      <c r="A6" s="4" t="s">
        <v>17</v>
      </c>
      <c r="B6" s="4" t="s">
        <v>38</v>
      </c>
      <c r="C6" s="4"/>
      <c r="D6" s="4"/>
      <c r="E6" s="4" t="s">
        <v>37</v>
      </c>
      <c r="F6" s="4"/>
      <c r="G6" s="4"/>
      <c r="H6" s="4" t="s">
        <v>39</v>
      </c>
      <c r="I6" s="5">
        <v>39.5</v>
      </c>
      <c r="J6" s="4">
        <f t="shared" si="0"/>
        <v>987.5</v>
      </c>
      <c r="K6" s="4"/>
      <c r="L6" s="4"/>
      <c r="M6" s="4"/>
    </row>
    <row r="7" spans="1:13" ht="46.5" x14ac:dyDescent="0.35">
      <c r="A7" s="4" t="s">
        <v>18</v>
      </c>
      <c r="B7" s="4" t="s">
        <v>38</v>
      </c>
      <c r="C7" s="4"/>
      <c r="D7" s="4"/>
      <c r="E7" s="4" t="s">
        <v>37</v>
      </c>
      <c r="F7" s="4"/>
      <c r="G7" s="4"/>
      <c r="H7" s="4" t="s">
        <v>39</v>
      </c>
      <c r="I7" s="5">
        <v>48.2</v>
      </c>
      <c r="J7" s="4">
        <f t="shared" si="0"/>
        <v>1205</v>
      </c>
      <c r="K7" s="4"/>
      <c r="L7" s="4"/>
      <c r="M7" s="4"/>
    </row>
    <row r="8" spans="1:13" ht="46.5" x14ac:dyDescent="0.35">
      <c r="A8" s="4" t="s">
        <v>19</v>
      </c>
      <c r="B8" s="4" t="s">
        <v>38</v>
      </c>
      <c r="C8" s="4"/>
      <c r="D8" s="4"/>
      <c r="E8" s="4" t="s">
        <v>37</v>
      </c>
      <c r="F8" s="4"/>
      <c r="G8" s="4"/>
      <c r="H8" s="4" t="s">
        <v>39</v>
      </c>
      <c r="I8" s="5">
        <v>40.6</v>
      </c>
      <c r="J8" s="4">
        <f t="shared" si="0"/>
        <v>1015</v>
      </c>
      <c r="K8" s="4"/>
      <c r="L8" s="4"/>
      <c r="M8" s="4"/>
    </row>
    <row r="9" spans="1:13" ht="46.5" x14ac:dyDescent="0.35">
      <c r="A9" s="4" t="s">
        <v>20</v>
      </c>
      <c r="B9" s="4" t="s">
        <v>38</v>
      </c>
      <c r="C9" s="4"/>
      <c r="D9" s="4"/>
      <c r="E9" s="4" t="s">
        <v>37</v>
      </c>
      <c r="F9" s="4"/>
      <c r="G9" s="4"/>
      <c r="H9" s="4" t="s">
        <v>39</v>
      </c>
      <c r="I9" s="5">
        <v>75.400000000000006</v>
      </c>
      <c r="J9" s="4">
        <f t="shared" si="0"/>
        <v>1885.0000000000002</v>
      </c>
      <c r="K9" s="4"/>
      <c r="L9" s="4"/>
      <c r="M9" s="4"/>
    </row>
    <row r="10" spans="1:13" ht="46.5" x14ac:dyDescent="0.35">
      <c r="A10" s="4" t="s">
        <v>21</v>
      </c>
      <c r="B10" s="4" t="s">
        <v>38</v>
      </c>
      <c r="C10" s="4"/>
      <c r="D10" s="4"/>
      <c r="E10" s="4" t="s">
        <v>37</v>
      </c>
      <c r="F10" s="4"/>
      <c r="G10" s="4"/>
      <c r="H10" s="4" t="s">
        <v>39</v>
      </c>
      <c r="I10" s="5">
        <v>53.8</v>
      </c>
      <c r="J10" s="4">
        <f t="shared" si="0"/>
        <v>1345</v>
      </c>
      <c r="K10" s="4"/>
      <c r="L10" s="4"/>
      <c r="M10" s="4"/>
    </row>
    <row r="11" spans="1:13" ht="46.5" x14ac:dyDescent="0.35">
      <c r="A11" s="4" t="s">
        <v>22</v>
      </c>
      <c r="B11" s="4" t="s">
        <v>38</v>
      </c>
      <c r="C11" s="4"/>
      <c r="D11" s="4"/>
      <c r="E11" s="4" t="s">
        <v>37</v>
      </c>
      <c r="F11" s="4"/>
      <c r="G11" s="4"/>
      <c r="H11" s="4" t="s">
        <v>39</v>
      </c>
      <c r="I11" s="5">
        <v>34.6</v>
      </c>
      <c r="J11" s="4">
        <f t="shared" si="0"/>
        <v>865</v>
      </c>
      <c r="K11" s="4"/>
      <c r="L11" s="4"/>
      <c r="M11" s="4"/>
    </row>
    <row r="12" spans="1:13" ht="46.5" x14ac:dyDescent="0.35">
      <c r="A12" s="4" t="s">
        <v>23</v>
      </c>
      <c r="B12" s="4" t="s">
        <v>38</v>
      </c>
      <c r="C12" s="4"/>
      <c r="D12" s="4"/>
      <c r="E12" s="4" t="s">
        <v>37</v>
      </c>
      <c r="F12" s="4"/>
      <c r="G12" s="4"/>
      <c r="H12" s="4" t="s">
        <v>39</v>
      </c>
      <c r="I12" s="5">
        <v>46.9</v>
      </c>
      <c r="J12" s="4">
        <f t="shared" si="0"/>
        <v>1172.5</v>
      </c>
      <c r="K12" s="4"/>
      <c r="L12" s="4"/>
      <c r="M12" s="4"/>
    </row>
    <row r="13" spans="1:13" ht="46.5" x14ac:dyDescent="0.35">
      <c r="A13" s="4" t="s">
        <v>24</v>
      </c>
      <c r="B13" s="4" t="s">
        <v>38</v>
      </c>
      <c r="C13" s="4"/>
      <c r="D13" s="4"/>
      <c r="E13" s="4" t="s">
        <v>37</v>
      </c>
      <c r="F13" s="4"/>
      <c r="G13" s="4"/>
      <c r="H13" s="4" t="s">
        <v>39</v>
      </c>
      <c r="I13" s="5">
        <v>37.299999999999997</v>
      </c>
      <c r="J13" s="4">
        <f t="shared" si="0"/>
        <v>932.49999999999989</v>
      </c>
      <c r="K13" s="4"/>
      <c r="L13" s="4"/>
      <c r="M13" s="4"/>
    </row>
    <row r="14" spans="1:13" ht="46.5" x14ac:dyDescent="0.35">
      <c r="A14" s="4" t="s">
        <v>25</v>
      </c>
      <c r="B14" s="4" t="s">
        <v>38</v>
      </c>
      <c r="C14" s="4"/>
      <c r="D14" s="4"/>
      <c r="E14" s="4" t="s">
        <v>37</v>
      </c>
      <c r="F14" s="4"/>
      <c r="G14" s="4"/>
      <c r="H14" s="4" t="s">
        <v>40</v>
      </c>
      <c r="I14" s="5">
        <v>69.5</v>
      </c>
      <c r="J14" s="4">
        <f>I14*20</f>
        <v>1390</v>
      </c>
      <c r="K14" s="4"/>
      <c r="L14" s="4"/>
      <c r="M14" s="4"/>
    </row>
    <row r="15" spans="1:13" ht="46.5" x14ac:dyDescent="0.35">
      <c r="A15" s="4" t="s">
        <v>26</v>
      </c>
      <c r="B15" s="4" t="s">
        <v>38</v>
      </c>
      <c r="C15" s="4"/>
      <c r="D15" s="4"/>
      <c r="E15" s="4" t="s">
        <v>37</v>
      </c>
      <c r="F15" s="4"/>
      <c r="G15" s="4"/>
      <c r="H15" s="4" t="s">
        <v>40</v>
      </c>
      <c r="I15" s="5">
        <v>68.7</v>
      </c>
      <c r="J15" s="4">
        <f t="shared" ref="J15:J25" si="1">I15*20</f>
        <v>1374</v>
      </c>
      <c r="K15" s="4"/>
      <c r="L15" s="4"/>
      <c r="M15" s="4"/>
    </row>
    <row r="16" spans="1:13" ht="46.5" x14ac:dyDescent="0.35">
      <c r="A16" s="4" t="s">
        <v>27</v>
      </c>
      <c r="B16" s="4" t="s">
        <v>38</v>
      </c>
      <c r="C16" s="4"/>
      <c r="D16" s="4"/>
      <c r="E16" s="4" t="s">
        <v>37</v>
      </c>
      <c r="F16" s="4"/>
      <c r="G16" s="4"/>
      <c r="H16" s="4" t="s">
        <v>40</v>
      </c>
      <c r="I16" s="5">
        <v>68.7</v>
      </c>
      <c r="J16" s="4">
        <f t="shared" si="1"/>
        <v>1374</v>
      </c>
      <c r="K16" s="4"/>
      <c r="L16" s="4"/>
      <c r="M16" s="4"/>
    </row>
    <row r="17" spans="1:13" ht="46.5" x14ac:dyDescent="0.35">
      <c r="A17" s="4" t="s">
        <v>28</v>
      </c>
      <c r="B17" s="4" t="s">
        <v>38</v>
      </c>
      <c r="C17" s="4"/>
      <c r="D17" s="4"/>
      <c r="E17" s="4" t="s">
        <v>37</v>
      </c>
      <c r="F17" s="4"/>
      <c r="G17" s="4"/>
      <c r="H17" s="4" t="s">
        <v>40</v>
      </c>
      <c r="I17" s="4">
        <v>96.9</v>
      </c>
      <c r="J17" s="4">
        <f t="shared" si="1"/>
        <v>1938</v>
      </c>
      <c r="K17" s="4"/>
      <c r="L17" s="4"/>
      <c r="M17" s="4"/>
    </row>
    <row r="18" spans="1:13" ht="46.5" x14ac:dyDescent="0.35">
      <c r="A18" s="4" t="s">
        <v>29</v>
      </c>
      <c r="B18" s="4" t="s">
        <v>38</v>
      </c>
      <c r="C18" s="4"/>
      <c r="D18" s="4"/>
      <c r="E18" s="4" t="s">
        <v>37</v>
      </c>
      <c r="F18" s="4"/>
      <c r="G18" s="4"/>
      <c r="H18" s="4" t="s">
        <v>40</v>
      </c>
      <c r="I18" s="4">
        <v>105.6</v>
      </c>
      <c r="J18" s="4">
        <f t="shared" si="1"/>
        <v>2112</v>
      </c>
      <c r="K18" s="4"/>
      <c r="L18" s="4"/>
      <c r="M18" s="4"/>
    </row>
    <row r="19" spans="1:13" ht="46.5" x14ac:dyDescent="0.35">
      <c r="A19" s="4" t="s">
        <v>30</v>
      </c>
      <c r="B19" s="4" t="s">
        <v>38</v>
      </c>
      <c r="C19" s="4"/>
      <c r="D19" s="4"/>
      <c r="E19" s="4" t="s">
        <v>37</v>
      </c>
      <c r="F19" s="4"/>
      <c r="G19" s="4"/>
      <c r="H19" s="4" t="s">
        <v>40</v>
      </c>
      <c r="I19" s="4">
        <v>125.4</v>
      </c>
      <c r="J19" s="4">
        <f t="shared" si="1"/>
        <v>2508</v>
      </c>
      <c r="K19" s="4"/>
      <c r="L19" s="4"/>
      <c r="M19" s="4"/>
    </row>
    <row r="20" spans="1:13" ht="46.5" x14ac:dyDescent="0.35">
      <c r="A20" s="4" t="s">
        <v>31</v>
      </c>
      <c r="B20" s="4" t="s">
        <v>38</v>
      </c>
      <c r="C20" s="4"/>
      <c r="D20" s="4"/>
      <c r="E20" s="4" t="s">
        <v>37</v>
      </c>
      <c r="F20" s="4"/>
      <c r="G20" s="4"/>
      <c r="H20" s="4" t="s">
        <v>40</v>
      </c>
      <c r="I20" s="4">
        <v>121.8</v>
      </c>
      <c r="J20" s="4">
        <f t="shared" si="1"/>
        <v>2436</v>
      </c>
      <c r="K20" s="4"/>
      <c r="L20" s="4"/>
      <c r="M20" s="4"/>
    </row>
    <row r="21" spans="1:13" ht="46.5" x14ac:dyDescent="0.35">
      <c r="A21" s="4" t="s">
        <v>32</v>
      </c>
      <c r="B21" s="4" t="s">
        <v>38</v>
      </c>
      <c r="C21" s="4"/>
      <c r="D21" s="4"/>
      <c r="E21" s="4" t="s">
        <v>37</v>
      </c>
      <c r="F21" s="4"/>
      <c r="G21" s="4"/>
      <c r="H21" s="4" t="s">
        <v>40</v>
      </c>
      <c r="I21" s="4">
        <v>97.7</v>
      </c>
      <c r="J21" s="4">
        <f t="shared" si="1"/>
        <v>1954</v>
      </c>
      <c r="K21" s="4"/>
      <c r="L21" s="4"/>
      <c r="M21" s="4"/>
    </row>
    <row r="22" spans="1:13" ht="46.5" x14ac:dyDescent="0.35">
      <c r="A22" s="4" t="s">
        <v>33</v>
      </c>
      <c r="B22" s="4" t="s">
        <v>38</v>
      </c>
      <c r="C22" s="4"/>
      <c r="D22" s="4"/>
      <c r="E22" s="4" t="s">
        <v>37</v>
      </c>
      <c r="F22" s="4"/>
      <c r="G22" s="4"/>
      <c r="H22" s="4" t="s">
        <v>40</v>
      </c>
      <c r="I22" s="4">
        <v>84.2</v>
      </c>
      <c r="J22" s="4">
        <f t="shared" si="1"/>
        <v>1684</v>
      </c>
      <c r="K22" s="4"/>
      <c r="L22" s="4"/>
      <c r="M22" s="4"/>
    </row>
    <row r="23" spans="1:13" ht="46.5" x14ac:dyDescent="0.35">
      <c r="A23" s="4" t="s">
        <v>34</v>
      </c>
      <c r="B23" s="4" t="s">
        <v>38</v>
      </c>
      <c r="C23" s="4"/>
      <c r="D23" s="4"/>
      <c r="E23" s="4" t="s">
        <v>37</v>
      </c>
      <c r="F23" s="4"/>
      <c r="G23" s="4"/>
      <c r="H23" s="4" t="s">
        <v>40</v>
      </c>
      <c r="I23" s="4">
        <v>122.2</v>
      </c>
      <c r="J23" s="4">
        <f t="shared" si="1"/>
        <v>2444</v>
      </c>
      <c r="K23" s="4"/>
      <c r="L23" s="4"/>
      <c r="M23" s="4"/>
    </row>
    <row r="24" spans="1:13" ht="46.5" x14ac:dyDescent="0.35">
      <c r="A24" s="4" t="s">
        <v>35</v>
      </c>
      <c r="B24" s="4" t="s">
        <v>38</v>
      </c>
      <c r="C24" s="4"/>
      <c r="D24" s="4"/>
      <c r="E24" s="4" t="s">
        <v>37</v>
      </c>
      <c r="F24" s="4"/>
      <c r="G24" s="4"/>
      <c r="H24" s="4" t="s">
        <v>40</v>
      </c>
      <c r="I24" s="4">
        <v>42.8</v>
      </c>
      <c r="J24" s="4">
        <f t="shared" si="1"/>
        <v>856</v>
      </c>
      <c r="K24" s="4"/>
      <c r="L24" s="4"/>
      <c r="M24" s="4"/>
    </row>
    <row r="25" spans="1:13" ht="46.5" x14ac:dyDescent="0.35">
      <c r="A25" s="4" t="s">
        <v>36</v>
      </c>
      <c r="B25" s="4" t="s">
        <v>38</v>
      </c>
      <c r="C25" s="4"/>
      <c r="D25" s="4"/>
      <c r="E25" s="4" t="s">
        <v>37</v>
      </c>
      <c r="F25" s="4"/>
      <c r="G25" s="4"/>
      <c r="H25" s="4" t="s">
        <v>40</v>
      </c>
      <c r="I25" s="4">
        <v>114.6</v>
      </c>
      <c r="J25" s="4">
        <f t="shared" si="1"/>
        <v>2292</v>
      </c>
      <c r="K25" s="4"/>
      <c r="L25" s="4"/>
      <c r="M25" s="4"/>
    </row>
    <row r="26" spans="1:13" ht="23.2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23.2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3.2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23.2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3.2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3.2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3.2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23.2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3.2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23.2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3.2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23.2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3.2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23.2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3.2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23.2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3.2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23.2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3.2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23.2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3.2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23.2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3.2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23.2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3.2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23.25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3.2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23.2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3.25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23.25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3.25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23.25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3.25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23.25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3.2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23.2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3.2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23.2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3.2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23.2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3.2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23.2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3.2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23.2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3.2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23.2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3.2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23.2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3.2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23.2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3.2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23.2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3.2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23.2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3.2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23.2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3.2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23.2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3.2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23.2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3.2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23.2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3.2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23.2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3.2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23.2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3.2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23.2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3.2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23.2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3.2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23.2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3.2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23.2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3.2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23.2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3.2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23.2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3.2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23.2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3.2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23.2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3.2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23.2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3.2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23.2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23.2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23.2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23.2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23.2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23.2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23.2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23.2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23.2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23.2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23.2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23.2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23.2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23.2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23.2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23.2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23.2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23.2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23.2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23.2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23.2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23.2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23.2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23.2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23.2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23.2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23.2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23.2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23.2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23.2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23.25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23.2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23.25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23.2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23.25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23.2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23.25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23.2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23.25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23.2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23.25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23.2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23.25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23.2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23.25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23.2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23.25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23.2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23.25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23.2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23.25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23.2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23.25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23.2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23.25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23.2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23.25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23.25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23.25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23.25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23.25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23.25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23.25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23.25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23.25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23.25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23.25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23.25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23.25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23.25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23.25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23.25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23.25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23.25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23.25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23.25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23.25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23.25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23.25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23.25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23.25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23.25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23.25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23.25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23.25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23.25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23.25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23.25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23.25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23.25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23.25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23.25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23.25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23.25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23.25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23.25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23.25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23.25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23.25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23.25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23.25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23.25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23.25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23.25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23.25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23.25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23.25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23.25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23.25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23.25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23.25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23.25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23.25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23.25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23.25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23.25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23.25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23.25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23.25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23.25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23.25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23.25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23.25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23.25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23.25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23.25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23.25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23.25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23.25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23.25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23.25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23.25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23.25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23.25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23.25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23.25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23.25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23.25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23.25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23.25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23.25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23.25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23.25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23.25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23.25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23.25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23.25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23.25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23.25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23.25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23.25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23.25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23.25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23.25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23.25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23.25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23.25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23.25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23.25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23.25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23.25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23.25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23.25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23.25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23.25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23.25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23.25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23.25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23.25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23.25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23.25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23.25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23.25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23.25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23.25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23.25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23.25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23.25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23.25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23.25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23.25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23.25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23.25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23.25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23.25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23.25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23.25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23.25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23.25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23.25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23.25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23.25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23.25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23.25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23.25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23.25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23.25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23.25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23.25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23.25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23.25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23.25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23.25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23.25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23.25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23.25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23.25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23.25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23.25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23.25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23.25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23.25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23.25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23.25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23.25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23.25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23.25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23.25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23.25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23.25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23.25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23.25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23.25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23.25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23.25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23.25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23.25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23.25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23.25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23.25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23.25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23.25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23.25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23.25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23.25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23.25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23.25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23.2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23.25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23.2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23.25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23.2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23.25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23.2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23.25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23.2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23.25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23.2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23.25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23.2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23.25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23.2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23.25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23.2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23.25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23.2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23.25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23.2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23.25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23.2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23.25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23.2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23.25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23.2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23.25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23.2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23.25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23.2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23.25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23.2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23.25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23.2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23.25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23.2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23.25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23.2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23.25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23.2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23.25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23.2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23.25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23.2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23.25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23.2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23.25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23.2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23.25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23.2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23.25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23.2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23.25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23.2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23.25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23.2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23.25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23.2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23.25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23.2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23.25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23.2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23.25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23.2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23.25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23.2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23.25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23.2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23.25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23.2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23.25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23.2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23.25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23.2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23.25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23.2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23.25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23.2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23.25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23.2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23.25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23.2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23.25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23.2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23.25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23.2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23.25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23.2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23.25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23.2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23.25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23.2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23.25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23.2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23.25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23.2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23.25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23.2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23.25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23.2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23.25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23.2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23.25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23.2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23.25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23.2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23.25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23.2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23.25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23.2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23.25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23.2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23.25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23.2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23.25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23.2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23.25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23.2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23.25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23.2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23.25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23.2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23.25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23.2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23.25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23.2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23.25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23.2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23.25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23.2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23.25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23.2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23.25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23.2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23.25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23.2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23.25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23.2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23.25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23.2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23.25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23.2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23.25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23.2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23.25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23.2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23.25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23.2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23.25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23.2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23.25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23.2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23.25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23.2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23.25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23.2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23.25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23.2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23.25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23.2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23.25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23.2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23.25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23.2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23.25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23.2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23.25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23.2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23.25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23.2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23.25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23.2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23.25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23.2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23.25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23.2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23.25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23.2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23.25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23.2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23.25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23.2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23.25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23.2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23.25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23.2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23.25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23.2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23.25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23.2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23.25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23.2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23.25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23.2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23.25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23.2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23.25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23.2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23.25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23.2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23.25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23.2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23.25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23.2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23.25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23.2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23.25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23.2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23.25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23.2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23.25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23.2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23.25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23.2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23.25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23.2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23.25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23.2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23.25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23.2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23.25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23.2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23.25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23.2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23.25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23.2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23.25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23.2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23.25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23.2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23.25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23.2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23.25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23.2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23.25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23.2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23.25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23.2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23.25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23.2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23.25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23.2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23.25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23.2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23.25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23.2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23.25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23.2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23.25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23.2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23.25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23.2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23.25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23.2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23.25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23.2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23.25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23.2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23.25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23.2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23.25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23.2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23.25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23.2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23.25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23.2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23.25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23.2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23.25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23.2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23.25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23.2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23.25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23.2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23.25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23.2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23.25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23.2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23.25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23.2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23.25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23.2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23.25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23.2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23.25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23.2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23.25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23.2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23.25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23.2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23.25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23.2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23.25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23.2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23.25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23.2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23.25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23.2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23.25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23.2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23.25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23.2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23.25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23.2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23.25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23.2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23.25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23.2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23.25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23.2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23.25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23.2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23.25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23.2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23.25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23.2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23.25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23.2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23.25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23.2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23.25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23.2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23.25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23.2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23.25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23.2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23.25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23.2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23.25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23.2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23.25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23.2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23.25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23.2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23.25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23.2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23.25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23.2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23.25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23.2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23.25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23.2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23.25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23.2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23.25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23.2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23.25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23.2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23.25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23.2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23.25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23.2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23.25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23.2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23.25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23.2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23.25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23.2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23.25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23.2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23.25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23.2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23.25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23.2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23.25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23.2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23.25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23.2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23.25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23.2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23.25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23.2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23.25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23.2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23.25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23.2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23.25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23.2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23.25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23.2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23.25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23.2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23.25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23.2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23.25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23.2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23.25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23.2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23.25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23.2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23.25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23.2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23.25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23.2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23.25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23.2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23.25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23.2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23.25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23.2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23.25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23.2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23.25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23.2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23.25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23.2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23.25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23.2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23.25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23.2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23.25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23.2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23.25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23.2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23.25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23.2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23.25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23.2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23.2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23.2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23.2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23.2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23.2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23.2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23.2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23.2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23.2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23.2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23.2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23.2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23.2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23.2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23.2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23.2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23.2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23.2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23.2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23.2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23.2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23.2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23.25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23.2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23.25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23.2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23.25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23.2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23.25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23.2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23.25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23.2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23.25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23.2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23.25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23.2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23.25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23.2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23.25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23.2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23.25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23.2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23.25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23.2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23.25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23.2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23.25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23.2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23.25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23.2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23.25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23.2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23.25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23.2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23.25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23.2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23.25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23.2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23.25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23.2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23.25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23.2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23.25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23.2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23.25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23.2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23.25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23.2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23.25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23.2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23.25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23.2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23.25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23.2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23.25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23.2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23.25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23.2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23.25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23.2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23.25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23.2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23.25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23.2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23.25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23.2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23.25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23.2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23.25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23.2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23.25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23.2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23.25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23.2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23.25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23.2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23.25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23.2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23.25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23.2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23.25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23.2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23.25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23.2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23.25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23.2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23.25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23.2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23.25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23.2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23.25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23.2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23.25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23.2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23.25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23.2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23.25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23.2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23.25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23.2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23.25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23.2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23.25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23.2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23.25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23.2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23.25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23.2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23.25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23.2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23.25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23.2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23.25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23.2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23.25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23.2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23.25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23.2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23.25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23.25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23.25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23.25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23.25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23.25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23.25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23.25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23.25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23.25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23.25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23.25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23.25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23.25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23.25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23.25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23.25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23.25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23.25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23.25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23.25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23.25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23.25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23.25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23.25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23.2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23.25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23.2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23.2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23.2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23.2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23.2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23.2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23.2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23.2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23.2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23.25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23.2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23.25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23.25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23.25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23.25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23.25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23.25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23.25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23.25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23.25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23.25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23.25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23.2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23.25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23.2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23.25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23.2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23.25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23.2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23.25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23.25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23.25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23.25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23.25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23.25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23.25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23.25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23.25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23.25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23.25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23.25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23.25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23.25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23.25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23.25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23.25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23.25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23.25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23.25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23.25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23.25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</sheetData>
  <sheetProtection algorithmName="SHA-512" hashValue="sMRuQBdOpHy2EgiLpfuOx9aFZOqbe2huvM6gtHgRpZy3q1YuOms7QfDKOF+/Biyy7erq7jx778jhqvEnJvNgcg==" saltValue="AlIScd0Nv03uud8TguvudQ==" spinCount="100000" sheet="1" objects="1" scenarios="1"/>
  <dataValidations count="1">
    <dataValidation allowBlank="1" showInputMessage="1" showErrorMessage="1" prompt="Cell in media, cell in lysis buffer, cryopreserved pellet, tissue, FFPE, DNA, RNA" sqref="B1:D1" xr:uid="{E5E23FC9-4161-44E7-B586-8E8DFEC0173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Zhuosheng Gu</dc:creator>
  <cp:lastModifiedBy>Denise Rogers</cp:lastModifiedBy>
  <dcterms:created xsi:type="dcterms:W3CDTF">2022-01-28T20:33:27Z</dcterms:created>
  <dcterms:modified xsi:type="dcterms:W3CDTF">2025-01-08T16:39:46Z</dcterms:modified>
</cp:coreProperties>
</file>